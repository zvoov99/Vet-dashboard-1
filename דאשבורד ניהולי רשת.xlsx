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havatdaat-my.sharepoint.com/personal/zeev_gans_chavatdaat_co_il/Documents/Documents/ניהול רשת/"/>
    </mc:Choice>
  </mc:AlternateContent>
  <xr:revisionPtr revIDLastSave="58" documentId="8_{14888470-7009-4D57-9AA8-31D9844CD071}" xr6:coauthVersionLast="47" xr6:coauthVersionMax="47" xr10:uidLastSave="{8483A896-8BAD-4CB6-BE10-5BB2CA2B0DDA}"/>
  <bookViews>
    <workbookView xWindow="-110" yWindow="-110" windowWidth="19420" windowHeight="10300" tabRatio="963" firstSheet="12" activeTab="19" xr2:uid="{15A78E14-D324-4440-947A-B0202CFEB2DF}"/>
  </bookViews>
  <sheets>
    <sheet name="סיכום -  סניפים ומחלקות" sheetId="11" r:id="rId1"/>
    <sheet name="הכנסות - מרכז" sheetId="12" r:id="rId2"/>
    <sheet name="סעיפי הכנסות" sheetId="20" r:id="rId3"/>
    <sheet name="וטרמקט ואלסמד" sheetId="18" r:id="rId4"/>
    <sheet name="וטמרקט ואלסמד 2-4.26" sheetId="22" r:id="rId5"/>
    <sheet name="רופאים בחשבונית" sheetId="19" r:id="rId6"/>
    <sheet name="נתוני רחובות" sheetId="1" r:id="rId7"/>
    <sheet name="נתוני ב&quot;ש" sheetId="2" r:id="rId8"/>
    <sheet name="נתוני חיפה" sheetId="3" r:id="rId9"/>
    <sheet name="נתוני מוצקין" sheetId="4" r:id="rId10"/>
    <sheet name="סה&quot;כ כ&quot;ס" sheetId="10" r:id="rId11"/>
    <sheet name="נתוני כ&quot;ס - חירום" sheetId="5" r:id="rId12"/>
    <sheet name="נתוני כ&quot;ס - נוירו " sheetId="6" r:id="rId13"/>
    <sheet name="נתוני כ&quot;ס - הדמיה" sheetId="7" r:id="rId14"/>
    <sheet name="נתוני כ&quot;ס - כירורגיה" sheetId="8" r:id="rId15"/>
    <sheet name="נתוני כ&quot;ס - קרדיולוגיה" sheetId="17" r:id="rId16"/>
    <sheet name="נתוני כ&quot;ס - הרדמה" sheetId="16" r:id="rId17"/>
    <sheet name="נתוני כ&quot;ס - אחר" sheetId="9" r:id="rId18"/>
    <sheet name="גיליון3" sheetId="15" r:id="rId19"/>
    <sheet name="כ&quot;ס ללא מע&quot;מ  2.26" sheetId="21" r:id="rId20"/>
    <sheet name="גליון1" sheetId="13" state="hidden" r:id="rId21"/>
    <sheet name="השוואה חודשית 11.25 מול 10.25" sheetId="14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localSheetId="20" hidden="1">גליון1!$A$10:$O$323</definedName>
    <definedName name="_xlnm._FilterDatabase" localSheetId="1" hidden="1">'הכנסות - מרכז'!$A$1:$N$25</definedName>
    <definedName name="_xlnm._FilterDatabase" localSheetId="11" hidden="1">'נתוני כ"ס - חירום'!$A$1:$P$93</definedName>
    <definedName name="_xlnm._FilterDatabase" localSheetId="14" hidden="1">'נתוני כ"ס - כירורגיה'!$A$1:$M$23</definedName>
    <definedName name="_xlnm._FilterDatabase" localSheetId="9" hidden="1">'נתוני מוצקין'!$A$1:$L$17</definedName>
    <definedName name="_xlnm._FilterDatabase" localSheetId="6" hidden="1">'נתוני רחובות'!$B$1:$I$56</definedName>
    <definedName name="_xlnm._FilterDatabase" localSheetId="10" hidden="1">'סה"כ כ"ס'!$A$2:$Y$200</definedName>
  </definedNames>
  <calcPr calcId="191029"/>
  <pivotCaches>
    <pivotCache cacheId="0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8" i="12" l="1"/>
  <c r="AA7" i="19"/>
  <c r="AA4" i="19"/>
  <c r="K104" i="11" s="1"/>
  <c r="AA92" i="19"/>
  <c r="AA12" i="19" s="1"/>
  <c r="AE94" i="19"/>
  <c r="AE93" i="19"/>
  <c r="AE92" i="19"/>
  <c r="AE90" i="19"/>
  <c r="AA90" i="19" s="1"/>
  <c r="AA10" i="19" s="1"/>
  <c r="AE87" i="19"/>
  <c r="AE86" i="19"/>
  <c r="AE85" i="19"/>
  <c r="AE84" i="19"/>
  <c r="AA84" i="19" s="1"/>
  <c r="AA11" i="19" s="1"/>
  <c r="AE83" i="19"/>
  <c r="AE82" i="19"/>
  <c r="AA6" i="19" s="1"/>
  <c r="AE81" i="19"/>
  <c r="AA5" i="19" s="1"/>
  <c r="AE80" i="19"/>
  <c r="K82" i="11"/>
  <c r="K68" i="11"/>
  <c r="K166" i="11"/>
  <c r="S16" i="22"/>
  <c r="K152" i="11" s="1"/>
  <c r="R16" i="22"/>
  <c r="S15" i="22"/>
  <c r="R15" i="22"/>
  <c r="S14" i="22"/>
  <c r="K194" i="11" s="1"/>
  <c r="R14" i="22"/>
  <c r="S13" i="22"/>
  <c r="K180" i="11" s="1"/>
  <c r="R13" i="22"/>
  <c r="S12" i="22"/>
  <c r="R12" i="22"/>
  <c r="K66" i="11" s="1"/>
  <c r="S11" i="22"/>
  <c r="R11" i="22"/>
  <c r="S10" i="22"/>
  <c r="K54" i="11" s="1"/>
  <c r="R10" i="22"/>
  <c r="K52" i="11" s="1"/>
  <c r="S9" i="22"/>
  <c r="R9" i="22"/>
  <c r="R17" i="22" s="1"/>
  <c r="R35" i="2"/>
  <c r="K59" i="1"/>
  <c r="K63" i="1"/>
  <c r="M54" i="3"/>
  <c r="M17" i="4"/>
  <c r="K160" i="11" l="1"/>
  <c r="K146" i="11"/>
  <c r="K132" i="11"/>
  <c r="S17" i="22"/>
  <c r="K40" i="11"/>
  <c r="K62" i="1"/>
  <c r="R31" i="2"/>
  <c r="R34" i="2" s="1"/>
  <c r="M57" i="3"/>
  <c r="M56" i="3" l="1"/>
  <c r="M22" i="4" l="1"/>
  <c r="K188" i="11" s="1"/>
  <c r="N20" i="9"/>
  <c r="N21" i="9"/>
  <c r="N22" i="8"/>
  <c r="N7" i="9"/>
  <c r="N18" i="9"/>
  <c r="N30" i="5"/>
  <c r="N46" i="5"/>
  <c r="N8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3" i="5"/>
  <c r="N84" i="5"/>
  <c r="N85" i="5"/>
  <c r="N86" i="5"/>
  <c r="N87" i="5"/>
  <c r="N88" i="5"/>
  <c r="N89" i="5"/>
  <c r="N90" i="5"/>
  <c r="N91" i="5"/>
  <c r="N2" i="5"/>
  <c r="M21" i="4" l="1"/>
  <c r="K190" i="11" s="1"/>
  <c r="N93" i="5"/>
  <c r="N97" i="5"/>
  <c r="K34" i="11" s="1"/>
  <c r="Y191" i="10"/>
  <c r="N96" i="5" l="1"/>
  <c r="K33" i="11"/>
  <c r="K35" i="11" s="1"/>
  <c r="K36" i="11"/>
  <c r="K47" i="11"/>
  <c r="K53" i="11" s="1"/>
  <c r="K24" i="11"/>
  <c r="K61" i="11"/>
  <c r="K75" i="11"/>
  <c r="K89" i="11"/>
  <c r="K97" i="11" s="1"/>
  <c r="K103" i="11"/>
  <c r="K107" i="11" s="1"/>
  <c r="K117" i="11"/>
  <c r="K125" i="11" s="1"/>
  <c r="K145" i="11"/>
  <c r="K151" i="11" s="1"/>
  <c r="K148" i="11"/>
  <c r="K159" i="11"/>
  <c r="K165" i="11" s="1"/>
  <c r="K162" i="11"/>
  <c r="K173" i="11"/>
  <c r="K179" i="11" s="1"/>
  <c r="K174" i="11"/>
  <c r="K176" i="11"/>
  <c r="K187" i="11"/>
  <c r="K189" i="11" s="1"/>
  <c r="K105" i="11" l="1"/>
  <c r="K177" i="11"/>
  <c r="K55" i="11"/>
  <c r="K195" i="11"/>
  <c r="K193" i="11"/>
  <c r="K175" i="11"/>
  <c r="K163" i="11"/>
  <c r="K161" i="11"/>
  <c r="K111" i="11"/>
  <c r="K149" i="11"/>
  <c r="K109" i="11"/>
  <c r="K147" i="11"/>
  <c r="K191" i="11"/>
  <c r="K69" i="11"/>
  <c r="K95" i="11"/>
  <c r="K67" i="11"/>
  <c r="K41" i="11"/>
  <c r="K181" i="11"/>
  <c r="K153" i="11"/>
  <c r="K39" i="11"/>
  <c r="K37" i="11"/>
  <c r="K83" i="11"/>
  <c r="K26" i="11"/>
  <c r="K11" i="11" s="1"/>
  <c r="K112" i="11"/>
  <c r="K113" i="11" s="1"/>
  <c r="K154" i="11"/>
  <c r="K155" i="11" s="1"/>
  <c r="K182" i="11"/>
  <c r="K183" i="11" s="1"/>
  <c r="K196" i="11"/>
  <c r="K197" i="11" s="1"/>
  <c r="K42" i="11"/>
  <c r="K43" i="11" s="1"/>
  <c r="K9" i="11"/>
  <c r="K168" i="11"/>
  <c r="K169" i="11" s="1"/>
  <c r="K167" i="11"/>
  <c r="K81" i="11"/>
  <c r="K123" i="11"/>
  <c r="L13" i="22"/>
  <c r="K9" i="22"/>
  <c r="J52" i="11" s="1"/>
  <c r="I52" i="11"/>
  <c r="J194" i="11"/>
  <c r="J68" i="11"/>
  <c r="L9" i="22"/>
  <c r="J54" i="11" s="1"/>
  <c r="K10" i="22"/>
  <c r="L10" i="22"/>
  <c r="J82" i="11" s="1"/>
  <c r="K11" i="22"/>
  <c r="J66" i="11" s="1"/>
  <c r="L11" i="22"/>
  <c r="K12" i="22"/>
  <c r="L12" i="22"/>
  <c r="J180" i="11" s="1"/>
  <c r="K13" i="22"/>
  <c r="K14" i="22"/>
  <c r="L14" i="22"/>
  <c r="J166" i="11" s="1"/>
  <c r="K15" i="22"/>
  <c r="L15" i="22"/>
  <c r="J152" i="11" s="1"/>
  <c r="L8" i="22"/>
  <c r="J40" i="11" s="1"/>
  <c r="K8" i="22"/>
  <c r="K16" i="22" s="1"/>
  <c r="J16" i="22"/>
  <c r="I16" i="22"/>
  <c r="M27" i="8"/>
  <c r="P94" i="12"/>
  <c r="P82" i="12"/>
  <c r="J131" i="11" s="1"/>
  <c r="J33" i="11"/>
  <c r="J39" i="11" s="1"/>
  <c r="J47" i="11"/>
  <c r="J61" i="11"/>
  <c r="J75" i="11"/>
  <c r="J89" i="11"/>
  <c r="J95" i="11" s="1"/>
  <c r="J103" i="11"/>
  <c r="J107" i="11" s="1"/>
  <c r="J104" i="11"/>
  <c r="J117" i="11"/>
  <c r="J123" i="11" s="1"/>
  <c r="J132" i="11"/>
  <c r="J145" i="11"/>
  <c r="J151" i="11" s="1"/>
  <c r="J159" i="11"/>
  <c r="J165" i="11" s="1"/>
  <c r="J173" i="11"/>
  <c r="J179" i="11" s="1"/>
  <c r="J187" i="11"/>
  <c r="J193" i="11" s="1"/>
  <c r="AE72" i="19"/>
  <c r="AE73" i="19"/>
  <c r="AE74" i="19"/>
  <c r="AE75" i="19"/>
  <c r="AE62" i="19"/>
  <c r="Z5" i="19" s="1"/>
  <c r="AE63" i="19"/>
  <c r="Z6" i="19" s="1"/>
  <c r="AE64" i="19"/>
  <c r="Z7" i="19" s="1"/>
  <c r="AE65" i="19"/>
  <c r="AE66" i="19"/>
  <c r="AE67" i="19"/>
  <c r="AE68" i="19"/>
  <c r="AE69" i="19"/>
  <c r="AE70" i="19"/>
  <c r="AE71" i="19"/>
  <c r="Z10" i="19" s="1"/>
  <c r="AE61" i="19"/>
  <c r="Z4" i="19" s="1"/>
  <c r="L57" i="3"/>
  <c r="L16" i="22" l="1"/>
  <c r="J69" i="11"/>
  <c r="J105" i="11"/>
  <c r="J55" i="11"/>
  <c r="J112" i="11"/>
  <c r="J113" i="11" s="1"/>
  <c r="J195" i="11"/>
  <c r="J111" i="11"/>
  <c r="J41" i="11"/>
  <c r="J109" i="11"/>
  <c r="J181" i="11"/>
  <c r="J53" i="11"/>
  <c r="J24" i="11"/>
  <c r="J9" i="11" s="1"/>
  <c r="J67" i="11"/>
  <c r="J153" i="11"/>
  <c r="J26" i="11"/>
  <c r="J11" i="11" s="1"/>
  <c r="J133" i="11"/>
  <c r="J137" i="11"/>
  <c r="J139" i="11"/>
  <c r="J19" i="11"/>
  <c r="J4" i="11" s="1"/>
  <c r="J167" i="11"/>
  <c r="J125" i="11"/>
  <c r="J81" i="11"/>
  <c r="J83" i="11"/>
  <c r="J97" i="11"/>
  <c r="Z11" i="19"/>
  <c r="J174" i="11" s="1"/>
  <c r="J175" i="11" s="1"/>
  <c r="Z12" i="19"/>
  <c r="J25" i="11" l="1"/>
  <c r="J27" i="11"/>
  <c r="J10" i="11"/>
  <c r="J12" i="11"/>
  <c r="N3" i="4" l="1"/>
  <c r="N6" i="4"/>
  <c r="N11" i="4"/>
  <c r="N12" i="4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B94" i="12"/>
  <c r="J15" i="11" l="1"/>
  <c r="M78" i="5"/>
  <c r="M77" i="5"/>
  <c r="K26" i="9"/>
  <c r="M21" i="9"/>
  <c r="L21" i="9"/>
  <c r="K21" i="9"/>
  <c r="M20" i="9"/>
  <c r="L20" i="9"/>
  <c r="K20" i="9"/>
  <c r="K82" i="5"/>
  <c r="K46" i="5"/>
  <c r="K30" i="5"/>
  <c r="J57" i="1"/>
  <c r="J3" i="1"/>
  <c r="J4" i="1"/>
  <c r="J6" i="1"/>
  <c r="J7" i="1"/>
  <c r="J8" i="1"/>
  <c r="J9" i="1"/>
  <c r="J10" i="1"/>
  <c r="J11" i="1"/>
  <c r="J12" i="1"/>
  <c r="J13" i="1"/>
  <c r="J14" i="1"/>
  <c r="J15" i="1"/>
  <c r="J16" i="1"/>
  <c r="J17" i="1"/>
  <c r="J19" i="1"/>
  <c r="J20" i="1"/>
  <c r="J21" i="1"/>
  <c r="J22" i="1"/>
  <c r="J23" i="1"/>
  <c r="J24" i="1"/>
  <c r="J25" i="1"/>
  <c r="J27" i="1"/>
  <c r="J28" i="1"/>
  <c r="J29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2" i="1"/>
  <c r="J59" i="1" s="1"/>
  <c r="Q35" i="2"/>
  <c r="Q36" i="2" s="1"/>
  <c r="J160" i="11" s="1"/>
  <c r="Q31" i="2"/>
  <c r="P31" i="2"/>
  <c r="L22" i="4"/>
  <c r="J188" i="11" s="1"/>
  <c r="L17" i="4"/>
  <c r="Q34" i="2" l="1"/>
  <c r="J162" i="11" s="1"/>
  <c r="J163" i="11" s="1"/>
  <c r="J161" i="11"/>
  <c r="J63" i="1"/>
  <c r="J64" i="1" s="1"/>
  <c r="J146" i="11" s="1"/>
  <c r="J147" i="11" s="1"/>
  <c r="J189" i="11"/>
  <c r="AF55" i="19"/>
  <c r="AF56" i="19"/>
  <c r="AG57" i="19"/>
  <c r="AF57" i="19" s="1"/>
  <c r="J168" i="11" l="1"/>
  <c r="J169" i="11" s="1"/>
  <c r="J62" i="1"/>
  <c r="J148" i="11" s="1"/>
  <c r="J149" i="11" s="1"/>
  <c r="L54" i="3"/>
  <c r="L56" i="3" s="1"/>
  <c r="J176" i="11" s="1"/>
  <c r="J154" i="11" l="1"/>
  <c r="J155" i="11" s="1"/>
  <c r="J177" i="11"/>
  <c r="J182" i="11"/>
  <c r="J183" i="11" s="1"/>
  <c r="M19" i="5"/>
  <c r="M33" i="5"/>
  <c r="M18" i="5"/>
  <c r="M11" i="5"/>
  <c r="M63" i="5"/>
  <c r="M58" i="5"/>
  <c r="M39" i="5"/>
  <c r="M68" i="5"/>
  <c r="M72" i="5"/>
  <c r="M79" i="5"/>
  <c r="M49" i="5"/>
  <c r="M38" i="5"/>
  <c r="M9" i="5"/>
  <c r="M32" i="5"/>
  <c r="M43" i="5"/>
  <c r="M90" i="5"/>
  <c r="M42" i="5"/>
  <c r="M66" i="5"/>
  <c r="M74" i="5"/>
  <c r="M31" i="5"/>
  <c r="M89" i="5"/>
  <c r="M8" i="5"/>
  <c r="M88" i="5"/>
  <c r="M60" i="5"/>
  <c r="M29" i="5"/>
  <c r="M3" i="5"/>
  <c r="M18" i="9"/>
  <c r="M87" i="5"/>
  <c r="M34" i="5"/>
  <c r="M86" i="5"/>
  <c r="M25" i="5"/>
  <c r="M47" i="5"/>
  <c r="M41" i="5"/>
  <c r="M65" i="5"/>
  <c r="M7" i="5"/>
  <c r="M50" i="5"/>
  <c r="M17" i="5"/>
  <c r="M16" i="5"/>
  <c r="M85" i="5"/>
  <c r="M81" i="5"/>
  <c r="M26" i="5"/>
  <c r="M75" i="5"/>
  <c r="M35" i="5"/>
  <c r="M52" i="5"/>
  <c r="M48" i="5"/>
  <c r="M15" i="5"/>
  <c r="M10" i="5"/>
  <c r="M14" i="5"/>
  <c r="M84" i="5"/>
  <c r="M20" i="5"/>
  <c r="M83" i="5"/>
  <c r="M12" i="5"/>
  <c r="M5" i="5"/>
  <c r="M55" i="5"/>
  <c r="M82" i="5"/>
  <c r="M76" i="5"/>
  <c r="M56" i="5"/>
  <c r="M4" i="5"/>
  <c r="M54" i="5"/>
  <c r="M46" i="5"/>
  <c r="M30" i="5"/>
  <c r="M37" i="5"/>
  <c r="M13" i="5"/>
  <c r="M24" i="5"/>
  <c r="M36" i="5"/>
  <c r="M23" i="5"/>
  <c r="M21" i="5"/>
  <c r="M61" i="5"/>
  <c r="M2" i="5" l="1"/>
  <c r="M97" i="5" s="1"/>
  <c r="J34" i="11" s="1"/>
  <c r="J35" i="11" s="1"/>
  <c r="X191" i="10"/>
  <c r="M93" i="5" l="1"/>
  <c r="M96" i="5" l="1"/>
  <c r="J36" i="11" s="1"/>
  <c r="J37" i="11" l="1"/>
  <c r="J42" i="11"/>
  <c r="J43" i="11" s="1"/>
  <c r="A3" i="9" l="1"/>
  <c r="A4" i="9"/>
  <c r="A5" i="9"/>
  <c r="A6" i="9"/>
  <c r="M7" i="9"/>
  <c r="A8" i="9"/>
  <c r="A9" i="9"/>
  <c r="A10" i="9"/>
  <c r="N10" i="9" s="1"/>
  <c r="A11" i="9"/>
  <c r="A12" i="9"/>
  <c r="A13" i="9"/>
  <c r="A14" i="9"/>
  <c r="N14" i="9" s="1"/>
  <c r="A15" i="9"/>
  <c r="A16" i="9"/>
  <c r="A17" i="9"/>
  <c r="A19" i="9"/>
  <c r="A2" i="9"/>
  <c r="A3" i="16"/>
  <c r="A4" i="16"/>
  <c r="A5" i="16"/>
  <c r="A2" i="16"/>
  <c r="A3" i="17"/>
  <c r="A2" i="17"/>
  <c r="A3" i="8"/>
  <c r="A4" i="8"/>
  <c r="A5" i="8"/>
  <c r="A6" i="8"/>
  <c r="A7" i="8"/>
  <c r="A8" i="8"/>
  <c r="A9" i="8"/>
  <c r="A10" i="8"/>
  <c r="A11" i="8"/>
  <c r="N11" i="8" s="1"/>
  <c r="A12" i="8"/>
  <c r="A13" i="8"/>
  <c r="A14" i="8"/>
  <c r="A15" i="8"/>
  <c r="A16" i="8"/>
  <c r="A17" i="8"/>
  <c r="A18" i="8"/>
  <c r="A19" i="8"/>
  <c r="A20" i="8"/>
  <c r="A21" i="8"/>
  <c r="A2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2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2" i="6"/>
  <c r="L22" i="5"/>
  <c r="L27" i="5"/>
  <c r="L28" i="5"/>
  <c r="L40" i="5"/>
  <c r="L45" i="5"/>
  <c r="L51" i="5"/>
  <c r="L53" i="5"/>
  <c r="L57" i="5"/>
  <c r="L59" i="5"/>
  <c r="L64" i="5"/>
  <c r="L67" i="5"/>
  <c r="L69" i="5"/>
  <c r="L73" i="5"/>
  <c r="L80" i="5"/>
  <c r="W4" i="10"/>
  <c r="L3" i="5" s="1"/>
  <c r="W5" i="10"/>
  <c r="L4" i="5" s="1"/>
  <c r="W6" i="10"/>
  <c r="L5" i="5" s="1"/>
  <c r="W7" i="10"/>
  <c r="L6" i="5" s="1"/>
  <c r="W8" i="10"/>
  <c r="L7" i="5" s="1"/>
  <c r="W9" i="10"/>
  <c r="L8" i="5" s="1"/>
  <c r="W10" i="10"/>
  <c r="L9" i="5" s="1"/>
  <c r="W13" i="10"/>
  <c r="L10" i="5" s="1"/>
  <c r="W14" i="10"/>
  <c r="L11" i="5" s="1"/>
  <c r="W15" i="10"/>
  <c r="L12" i="5" s="1"/>
  <c r="W17" i="10"/>
  <c r="L13" i="5" s="1"/>
  <c r="W18" i="10"/>
  <c r="L14" i="5" s="1"/>
  <c r="W19" i="10"/>
  <c r="L15" i="5" s="1"/>
  <c r="W22" i="10"/>
  <c r="L16" i="5" s="1"/>
  <c r="W23" i="10"/>
  <c r="L17" i="5" s="1"/>
  <c r="W25" i="10"/>
  <c r="L18" i="5" s="1"/>
  <c r="W26" i="10"/>
  <c r="L19" i="5" s="1"/>
  <c r="W27" i="10"/>
  <c r="L20" i="5" s="1"/>
  <c r="W28" i="10"/>
  <c r="L21" i="5" s="1"/>
  <c r="W30" i="10"/>
  <c r="L23" i="5" s="1"/>
  <c r="W31" i="10"/>
  <c r="L24" i="5" s="1"/>
  <c r="W32" i="10"/>
  <c r="L25" i="5" s="1"/>
  <c r="W33" i="10"/>
  <c r="L26" i="5" s="1"/>
  <c r="W36" i="10"/>
  <c r="L29" i="5" s="1"/>
  <c r="W37" i="10"/>
  <c r="L30" i="5" s="1"/>
  <c r="W38" i="10"/>
  <c r="L31" i="5" s="1"/>
  <c r="W40" i="10"/>
  <c r="L32" i="5" s="1"/>
  <c r="W41" i="10"/>
  <c r="L33" i="5" s="1"/>
  <c r="W42" i="10"/>
  <c r="L34" i="5" s="1"/>
  <c r="W43" i="10"/>
  <c r="L35" i="5" s="1"/>
  <c r="W44" i="10"/>
  <c r="L36" i="5" s="1"/>
  <c r="W45" i="10"/>
  <c r="L37" i="5" s="1"/>
  <c r="W46" i="10"/>
  <c r="L38" i="5" s="1"/>
  <c r="W47" i="10"/>
  <c r="L39" i="5" s="1"/>
  <c r="W49" i="10"/>
  <c r="L41" i="5" s="1"/>
  <c r="W50" i="10"/>
  <c r="L42" i="5" s="1"/>
  <c r="W51" i="10"/>
  <c r="L43" i="5" s="1"/>
  <c r="W52" i="10"/>
  <c r="L44" i="5" s="1"/>
  <c r="W54" i="10"/>
  <c r="L46" i="5" s="1"/>
  <c r="W55" i="10"/>
  <c r="L47" i="5" s="1"/>
  <c r="W56" i="10"/>
  <c r="L48" i="5" s="1"/>
  <c r="W57" i="10"/>
  <c r="L49" i="5" s="1"/>
  <c r="W58" i="10"/>
  <c r="L50" i="5" s="1"/>
  <c r="W60" i="10"/>
  <c r="L52" i="5" s="1"/>
  <c r="W62" i="10"/>
  <c r="L54" i="5" s="1"/>
  <c r="W64" i="10"/>
  <c r="L55" i="5" s="1"/>
  <c r="W65" i="10"/>
  <c r="L56" i="5" s="1"/>
  <c r="W70" i="10"/>
  <c r="L58" i="5" s="1"/>
  <c r="W73" i="10"/>
  <c r="L60" i="5" s="1"/>
  <c r="W74" i="10"/>
  <c r="L61" i="5" s="1"/>
  <c r="W75" i="10"/>
  <c r="L62" i="5" s="1"/>
  <c r="W76" i="10"/>
  <c r="L63" i="5" s="1"/>
  <c r="W78" i="10"/>
  <c r="L65" i="5" s="1"/>
  <c r="W79" i="10"/>
  <c r="L66" i="5" s="1"/>
  <c r="W81" i="10"/>
  <c r="L68" i="5" s="1"/>
  <c r="W83" i="10"/>
  <c r="L70" i="5" s="1"/>
  <c r="W84" i="10"/>
  <c r="L71" i="5" s="1"/>
  <c r="W85" i="10"/>
  <c r="L72" i="5" s="1"/>
  <c r="W87" i="10"/>
  <c r="L74" i="5" s="1"/>
  <c r="W88" i="10"/>
  <c r="L75" i="5" s="1"/>
  <c r="W89" i="10"/>
  <c r="L76" i="5" s="1"/>
  <c r="W90" i="10"/>
  <c r="W91" i="10"/>
  <c r="W92" i="10"/>
  <c r="W93" i="10"/>
  <c r="W94" i="10"/>
  <c r="W95" i="10"/>
  <c r="W96" i="10"/>
  <c r="W97" i="10"/>
  <c r="W98" i="10"/>
  <c r="W99" i="10"/>
  <c r="W100" i="10"/>
  <c r="W102" i="10"/>
  <c r="W103" i="10"/>
  <c r="W104" i="10"/>
  <c r="W105" i="10"/>
  <c r="W106" i="10"/>
  <c r="W107" i="10"/>
  <c r="W109" i="10"/>
  <c r="W110" i="10"/>
  <c r="W111" i="10"/>
  <c r="W112" i="10"/>
  <c r="W113" i="10"/>
  <c r="W114" i="10"/>
  <c r="W115" i="10"/>
  <c r="L79" i="5" s="1"/>
  <c r="W116" i="10"/>
  <c r="W117" i="10"/>
  <c r="W120" i="10"/>
  <c r="W123" i="10"/>
  <c r="W124" i="10"/>
  <c r="W125" i="10"/>
  <c r="W126" i="10"/>
  <c r="W127" i="10"/>
  <c r="W128" i="10"/>
  <c r="W129" i="10"/>
  <c r="W130" i="10"/>
  <c r="W131" i="10"/>
  <c r="W134" i="10"/>
  <c r="W135" i="10"/>
  <c r="W136" i="10"/>
  <c r="W137" i="10"/>
  <c r="W138" i="10"/>
  <c r="W139" i="10"/>
  <c r="W140" i="10"/>
  <c r="W141" i="10"/>
  <c r="W142" i="10"/>
  <c r="W143" i="10"/>
  <c r="W145" i="10"/>
  <c r="W147" i="10"/>
  <c r="W148" i="10"/>
  <c r="W149" i="10"/>
  <c r="W150" i="10"/>
  <c r="W151" i="10"/>
  <c r="W153" i="10"/>
  <c r="W154" i="10"/>
  <c r="W155" i="10"/>
  <c r="W157" i="10"/>
  <c r="W158" i="10"/>
  <c r="W161" i="10"/>
  <c r="W164" i="10"/>
  <c r="W165" i="10"/>
  <c r="W166" i="10"/>
  <c r="W167" i="10"/>
  <c r="W168" i="10"/>
  <c r="W169" i="10"/>
  <c r="W170" i="10"/>
  <c r="W171" i="10"/>
  <c r="W172" i="10"/>
  <c r="W173" i="10"/>
  <c r="L82" i="5" s="1"/>
  <c r="W175" i="10"/>
  <c r="W176" i="10"/>
  <c r="W177" i="10"/>
  <c r="W178" i="10"/>
  <c r="L81" i="5" s="1"/>
  <c r="W179" i="10"/>
  <c r="W3" i="10"/>
  <c r="V191" i="10"/>
  <c r="M2" i="6" l="1"/>
  <c r="N2" i="6"/>
  <c r="M16" i="6"/>
  <c r="N16" i="6"/>
  <c r="M15" i="6"/>
  <c r="N15" i="6"/>
  <c r="M14" i="6"/>
  <c r="N14" i="6"/>
  <c r="M13" i="6"/>
  <c r="N13" i="6"/>
  <c r="M12" i="6"/>
  <c r="N12" i="6"/>
  <c r="M11" i="6"/>
  <c r="N11" i="6"/>
  <c r="M10" i="6"/>
  <c r="M20" i="6" s="1"/>
  <c r="J48" i="11" s="1"/>
  <c r="N10" i="6"/>
  <c r="M9" i="6"/>
  <c r="N9" i="6"/>
  <c r="M8" i="6"/>
  <c r="N8" i="6"/>
  <c r="M7" i="6"/>
  <c r="N7" i="6"/>
  <c r="M6" i="6"/>
  <c r="N6" i="6"/>
  <c r="M5" i="6"/>
  <c r="N5" i="6"/>
  <c r="M4" i="6"/>
  <c r="N4" i="6"/>
  <c r="M3" i="6"/>
  <c r="N3" i="6"/>
  <c r="M2" i="7"/>
  <c r="N2" i="7"/>
  <c r="M15" i="7"/>
  <c r="N15" i="7"/>
  <c r="M14" i="7"/>
  <c r="N14" i="7"/>
  <c r="M13" i="7"/>
  <c r="N13" i="7"/>
  <c r="M12" i="7"/>
  <c r="N12" i="7"/>
  <c r="M11" i="7"/>
  <c r="N11" i="7"/>
  <c r="M10" i="7"/>
  <c r="N10" i="7"/>
  <c r="M9" i="7"/>
  <c r="N9" i="7"/>
  <c r="M8" i="7"/>
  <c r="N8" i="7"/>
  <c r="M7" i="7"/>
  <c r="N7" i="7"/>
  <c r="M6" i="7"/>
  <c r="N6" i="7"/>
  <c r="M5" i="7"/>
  <c r="N5" i="7"/>
  <c r="M4" i="7"/>
  <c r="M16" i="7" s="1"/>
  <c r="N4" i="7"/>
  <c r="M3" i="7"/>
  <c r="N3" i="7"/>
  <c r="M2" i="8"/>
  <c r="N2" i="8"/>
  <c r="M21" i="8"/>
  <c r="N21" i="8"/>
  <c r="M20" i="8"/>
  <c r="N20" i="8"/>
  <c r="M19" i="8"/>
  <c r="N19" i="8"/>
  <c r="M18" i="8"/>
  <c r="N18" i="8"/>
  <c r="M17" i="8"/>
  <c r="N17" i="8"/>
  <c r="M16" i="8"/>
  <c r="N16" i="8"/>
  <c r="M15" i="8"/>
  <c r="N15" i="8"/>
  <c r="M14" i="8"/>
  <c r="N14" i="8"/>
  <c r="M13" i="8"/>
  <c r="N13" i="8"/>
  <c r="M12" i="8"/>
  <c r="N12" i="8"/>
  <c r="M10" i="8"/>
  <c r="N10" i="8"/>
  <c r="M9" i="8"/>
  <c r="N9" i="8"/>
  <c r="M8" i="8"/>
  <c r="N8" i="8"/>
  <c r="M7" i="8"/>
  <c r="N7" i="8"/>
  <c r="M6" i="8"/>
  <c r="N6" i="8"/>
  <c r="M5" i="8"/>
  <c r="N5" i="8"/>
  <c r="M4" i="8"/>
  <c r="N4" i="8"/>
  <c r="M3" i="8"/>
  <c r="M26" i="8" s="1"/>
  <c r="J76" i="11" s="1"/>
  <c r="N3" i="8"/>
  <c r="M2" i="17"/>
  <c r="M4" i="17" s="1"/>
  <c r="N2" i="17"/>
  <c r="N4" i="17" s="1"/>
  <c r="N7" i="17" s="1"/>
  <c r="K92" i="11" s="1"/>
  <c r="K93" i="11" s="1"/>
  <c r="M3" i="17"/>
  <c r="M8" i="17" s="1"/>
  <c r="J90" i="11" s="1"/>
  <c r="J91" i="11" s="1"/>
  <c r="N3" i="17"/>
  <c r="N8" i="17" s="1"/>
  <c r="K90" i="11" s="1"/>
  <c r="M2" i="16"/>
  <c r="M10" i="16" s="1"/>
  <c r="J118" i="11" s="1"/>
  <c r="N2" i="16"/>
  <c r="M5" i="16"/>
  <c r="N5" i="16"/>
  <c r="M4" i="16"/>
  <c r="N4" i="16"/>
  <c r="M3" i="16"/>
  <c r="N3" i="16"/>
  <c r="M2" i="9"/>
  <c r="N2" i="9"/>
  <c r="M19" i="9"/>
  <c r="N19" i="9"/>
  <c r="M17" i="9"/>
  <c r="N17" i="9"/>
  <c r="M16" i="9"/>
  <c r="N16" i="9"/>
  <c r="M15" i="9"/>
  <c r="M27" i="9" s="1"/>
  <c r="N15" i="9"/>
  <c r="N27" i="9" s="1"/>
  <c r="M13" i="9"/>
  <c r="N13" i="9"/>
  <c r="M12" i="9"/>
  <c r="N12" i="9"/>
  <c r="M11" i="9"/>
  <c r="N11" i="9"/>
  <c r="M9" i="9"/>
  <c r="N9" i="9"/>
  <c r="M8" i="9"/>
  <c r="N8" i="9"/>
  <c r="M6" i="9"/>
  <c r="N6" i="9"/>
  <c r="M5" i="9"/>
  <c r="N5" i="9"/>
  <c r="M4" i="9"/>
  <c r="N4" i="9"/>
  <c r="N26" i="9" s="1"/>
  <c r="M3" i="9"/>
  <c r="N3" i="9"/>
  <c r="M17" i="6"/>
  <c r="L11" i="8"/>
  <c r="M11" i="8"/>
  <c r="L14" i="9"/>
  <c r="M14" i="9"/>
  <c r="L10" i="9"/>
  <c r="M10" i="9"/>
  <c r="W191" i="10"/>
  <c r="L2" i="9"/>
  <c r="L5" i="9"/>
  <c r="L8" i="9"/>
  <c r="L9" i="9"/>
  <c r="L6" i="9"/>
  <c r="L4" i="9"/>
  <c r="L3" i="9"/>
  <c r="L11" i="9"/>
  <c r="L12" i="9"/>
  <c r="L13" i="6"/>
  <c r="L13" i="7"/>
  <c r="L10" i="7"/>
  <c r="L9" i="7"/>
  <c r="L15" i="9"/>
  <c r="L5" i="7"/>
  <c r="L15" i="6"/>
  <c r="L15" i="7"/>
  <c r="L14" i="6"/>
  <c r="L14" i="7"/>
  <c r="L5" i="16"/>
  <c r="L6" i="8"/>
  <c r="L2" i="8"/>
  <c r="L10" i="8"/>
  <c r="L20" i="8"/>
  <c r="L5" i="8"/>
  <c r="L2" i="16"/>
  <c r="L12" i="6"/>
  <c r="L12" i="7"/>
  <c r="L4" i="8"/>
  <c r="L4" i="16"/>
  <c r="L11" i="7"/>
  <c r="L19" i="8"/>
  <c r="L11" i="6"/>
  <c r="L18" i="8"/>
  <c r="L3" i="8"/>
  <c r="L10" i="6"/>
  <c r="L17" i="8"/>
  <c r="L9" i="6"/>
  <c r="L8" i="6"/>
  <c r="L7" i="6"/>
  <c r="L6" i="6"/>
  <c r="L19" i="9"/>
  <c r="L5" i="6"/>
  <c r="L16" i="8"/>
  <c r="L8" i="7"/>
  <c r="L14" i="8"/>
  <c r="L13" i="8"/>
  <c r="L15" i="8"/>
  <c r="L16" i="9"/>
  <c r="L7" i="7"/>
  <c r="L6" i="7"/>
  <c r="L17" i="9"/>
  <c r="L12" i="8"/>
  <c r="L4" i="6"/>
  <c r="L2" i="17"/>
  <c r="L2" i="7"/>
  <c r="L8" i="8"/>
  <c r="L13" i="9"/>
  <c r="L4" i="7"/>
  <c r="L9" i="8"/>
  <c r="L3" i="17"/>
  <c r="L8" i="17" s="1"/>
  <c r="L3" i="7"/>
  <c r="L3" i="6"/>
  <c r="L2" i="5"/>
  <c r="L93" i="5" s="1"/>
  <c r="L2" i="6"/>
  <c r="L7" i="8"/>
  <c r="L21" i="8"/>
  <c r="L3" i="16"/>
  <c r="M6" i="16" l="1"/>
  <c r="M19" i="7"/>
  <c r="J62" i="11" s="1"/>
  <c r="J63" i="11" s="1"/>
  <c r="N20" i="6"/>
  <c r="K48" i="11" s="1"/>
  <c r="K49" i="11" s="1"/>
  <c r="N23" i="9"/>
  <c r="K134" i="11" s="1"/>
  <c r="M23" i="8"/>
  <c r="M29" i="8" s="1"/>
  <c r="N17" i="6"/>
  <c r="N19" i="6" s="1"/>
  <c r="K50" i="11" s="1"/>
  <c r="N10" i="16"/>
  <c r="K118" i="11" s="1"/>
  <c r="N6" i="16"/>
  <c r="K98" i="11"/>
  <c r="K99" i="11" s="1"/>
  <c r="K91" i="11"/>
  <c r="N26" i="8"/>
  <c r="N23" i="8"/>
  <c r="N19" i="7"/>
  <c r="K62" i="11" s="1"/>
  <c r="N16" i="7"/>
  <c r="N18" i="7" s="1"/>
  <c r="K64" i="11" s="1"/>
  <c r="K65" i="11" s="1"/>
  <c r="M7" i="17"/>
  <c r="J92" i="11" s="1"/>
  <c r="J93" i="11" s="1"/>
  <c r="X197" i="10"/>
  <c r="J119" i="11"/>
  <c r="J77" i="11"/>
  <c r="J49" i="11"/>
  <c r="J20" i="11"/>
  <c r="M18" i="7"/>
  <c r="J64" i="11" s="1"/>
  <c r="J70" i="11" s="1"/>
  <c r="J71" i="11" s="1"/>
  <c r="M9" i="16"/>
  <c r="J120" i="11" s="1"/>
  <c r="J121" i="11" s="1"/>
  <c r="L26" i="9"/>
  <c r="L23" i="9"/>
  <c r="M19" i="6"/>
  <c r="J50" i="11" s="1"/>
  <c r="J51" i="11" s="1"/>
  <c r="L27" i="9"/>
  <c r="M23" i="9"/>
  <c r="J134" i="11" s="1"/>
  <c r="M26" i="9"/>
  <c r="L10" i="16"/>
  <c r="L20" i="6"/>
  <c r="I48" i="11" s="1"/>
  <c r="L26" i="8"/>
  <c r="L97" i="5"/>
  <c r="L96" i="5" s="1"/>
  <c r="L16" i="7"/>
  <c r="L4" i="17"/>
  <c r="L7" i="17" s="1"/>
  <c r="L23" i="8"/>
  <c r="L17" i="6"/>
  <c r="L19" i="7"/>
  <c r="I62" i="11" s="1"/>
  <c r="L6" i="16"/>
  <c r="K17" i="4"/>
  <c r="K56" i="11" l="1"/>
  <c r="K57" i="11" s="1"/>
  <c r="M25" i="8"/>
  <c r="J78" i="11" s="1"/>
  <c r="J79" i="11" s="1"/>
  <c r="K51" i="11"/>
  <c r="N9" i="16"/>
  <c r="K120" i="11" s="1"/>
  <c r="K121" i="11" s="1"/>
  <c r="K63" i="11"/>
  <c r="K70" i="11"/>
  <c r="K71" i="11" s="1"/>
  <c r="N25" i="8"/>
  <c r="K78" i="11" s="1"/>
  <c r="K79" i="11" s="1"/>
  <c r="K76" i="11"/>
  <c r="K20" i="11" s="1"/>
  <c r="K119" i="11"/>
  <c r="J98" i="11"/>
  <c r="J99" i="11" s="1"/>
  <c r="J140" i="11"/>
  <c r="J141" i="11" s="1"/>
  <c r="J135" i="11"/>
  <c r="J126" i="11"/>
  <c r="J127" i="11" s="1"/>
  <c r="J56" i="11"/>
  <c r="J57" i="11" s="1"/>
  <c r="J65" i="11"/>
  <c r="J21" i="11"/>
  <c r="J5" i="11"/>
  <c r="L25" i="8"/>
  <c r="L18" i="7"/>
  <c r="I64" i="11" s="1"/>
  <c r="L19" i="6"/>
  <c r="L9" i="16"/>
  <c r="K54" i="3"/>
  <c r="K57" i="3"/>
  <c r="K22" i="11" l="1"/>
  <c r="K7" i="11" s="1"/>
  <c r="J22" i="11"/>
  <c r="X193" i="10" s="1"/>
  <c r="X194" i="10" s="1"/>
  <c r="J84" i="11"/>
  <c r="J85" i="11" s="1"/>
  <c r="K5" i="11"/>
  <c r="K126" i="11"/>
  <c r="K127" i="11" s="1"/>
  <c r="K77" i="11"/>
  <c r="K84" i="11"/>
  <c r="K85" i="11" s="1"/>
  <c r="J6" i="11"/>
  <c r="J23" i="11"/>
  <c r="K56" i="3"/>
  <c r="J28" i="11" l="1"/>
  <c r="J29" i="11" s="1"/>
  <c r="Y193" i="10"/>
  <c r="Y194" i="10" s="1"/>
  <c r="P35" i="2"/>
  <c r="P34" i="2" l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3" i="1"/>
  <c r="I12" i="1"/>
  <c r="I11" i="1"/>
  <c r="I10" i="1"/>
  <c r="I9" i="1"/>
  <c r="I8" i="1"/>
  <c r="I7" i="1"/>
  <c r="I6" i="1"/>
  <c r="I4" i="1"/>
  <c r="I3" i="1"/>
  <c r="I2" i="1"/>
  <c r="I63" i="1" l="1"/>
  <c r="I62" i="1" s="1"/>
  <c r="I59" i="1"/>
  <c r="I118" i="11"/>
  <c r="AF37" i="19"/>
  <c r="Y5" i="19" s="1"/>
  <c r="I90" i="11" s="1"/>
  <c r="AF38" i="19"/>
  <c r="Y6" i="19" s="1"/>
  <c r="AF39" i="19"/>
  <c r="Y7" i="19" s="1"/>
  <c r="AF40" i="19"/>
  <c r="Y8" i="19" s="1"/>
  <c r="I76" i="11" s="1"/>
  <c r="AF41" i="19"/>
  <c r="AF42" i="19"/>
  <c r="AF43" i="19"/>
  <c r="AF44" i="19"/>
  <c r="AF45" i="19"/>
  <c r="AF46" i="19"/>
  <c r="Y10" i="19" s="1"/>
  <c r="AF47" i="19"/>
  <c r="AF48" i="19"/>
  <c r="AF49" i="19"/>
  <c r="AF50" i="19"/>
  <c r="Y12" i="19" s="1"/>
  <c r="I160" i="11" s="1"/>
  <c r="AF36" i="19"/>
  <c r="Y4" i="19" s="1"/>
  <c r="I104" i="11" s="1"/>
  <c r="I146" i="11" l="1"/>
  <c r="I132" i="11"/>
  <c r="Y11" i="19"/>
  <c r="I174" i="11" s="1"/>
  <c r="C9" i="22"/>
  <c r="C10" i="22"/>
  <c r="N4" i="18" s="1"/>
  <c r="I82" i="11" s="1"/>
  <c r="C11" i="22"/>
  <c r="N2" i="18" s="1"/>
  <c r="I68" i="11" s="1"/>
  <c r="C12" i="22"/>
  <c r="Q63" i="18" s="1"/>
  <c r="I180" i="11" s="1"/>
  <c r="C13" i="22"/>
  <c r="P43" i="18" s="1"/>
  <c r="I194" i="11" s="1"/>
  <c r="C14" i="22"/>
  <c r="P15" i="18" s="1"/>
  <c r="I166" i="11" s="1"/>
  <c r="C15" i="22"/>
  <c r="R85" i="18" s="1"/>
  <c r="I152" i="11" s="1"/>
  <c r="C8" i="22"/>
  <c r="N5" i="18" s="1"/>
  <c r="I40" i="11" s="1"/>
  <c r="B11" i="22"/>
  <c r="Y137" i="18" s="1"/>
  <c r="I66" i="11" s="1"/>
  <c r="D16" i="22"/>
  <c r="E16" i="22"/>
  <c r="N23" i="21"/>
  <c r="N21" i="21"/>
  <c r="N19" i="21"/>
  <c r="N9" i="21"/>
  <c r="B40" i="21"/>
  <c r="D36" i="21"/>
  <c r="D34" i="21"/>
  <c r="C34" i="21"/>
  <c r="B34" i="21"/>
  <c r="G31" i="21"/>
  <c r="G29" i="21"/>
  <c r="G27" i="21"/>
  <c r="G25" i="21"/>
  <c r="G23" i="21"/>
  <c r="G21" i="21"/>
  <c r="D17" i="21"/>
  <c r="L15" i="21"/>
  <c r="N15" i="21" s="1"/>
  <c r="I15" i="21"/>
  <c r="N17" i="21" s="1"/>
  <c r="L13" i="21"/>
  <c r="N13" i="21" s="1"/>
  <c r="I13" i="21"/>
  <c r="L11" i="21"/>
  <c r="B11" i="21" s="1"/>
  <c r="G11" i="21" s="1"/>
  <c r="I11" i="21"/>
  <c r="L9" i="21"/>
  <c r="B9" i="21"/>
  <c r="G9" i="21" s="1"/>
  <c r="I187" i="11"/>
  <c r="I173" i="11"/>
  <c r="I176" i="11"/>
  <c r="I159" i="11"/>
  <c r="I162" i="11"/>
  <c r="I145" i="11"/>
  <c r="I148" i="11"/>
  <c r="I131" i="11"/>
  <c r="I134" i="11"/>
  <c r="I117" i="11"/>
  <c r="I123" i="11" s="1"/>
  <c r="I120" i="11"/>
  <c r="I103" i="11"/>
  <c r="I89" i="11"/>
  <c r="I92" i="11"/>
  <c r="I75" i="11"/>
  <c r="I78" i="11"/>
  <c r="I61" i="11"/>
  <c r="I47" i="11"/>
  <c r="I50" i="11"/>
  <c r="I33" i="11"/>
  <c r="B15" i="21" l="1"/>
  <c r="G15" i="21" s="1"/>
  <c r="N11" i="21"/>
  <c r="N25" i="21" s="1"/>
  <c r="N27" i="21" s="1"/>
  <c r="G34" i="21"/>
  <c r="D38" i="21"/>
  <c r="B13" i="21"/>
  <c r="G13" i="21" s="1"/>
  <c r="C16" i="22"/>
  <c r="B16" i="22"/>
  <c r="I105" i="11"/>
  <c r="I95" i="11"/>
  <c r="I133" i="11"/>
  <c r="I39" i="11"/>
  <c r="I49" i="11"/>
  <c r="I163" i="11"/>
  <c r="I165" i="11"/>
  <c r="I125" i="11"/>
  <c r="I63" i="11"/>
  <c r="N3" i="18"/>
  <c r="I54" i="11" s="1"/>
  <c r="I67" i="11"/>
  <c r="I161" i="11"/>
  <c r="I109" i="11"/>
  <c r="I119" i="11"/>
  <c r="I65" i="11"/>
  <c r="I139" i="11"/>
  <c r="I137" i="11"/>
  <c r="I135" i="11"/>
  <c r="I97" i="11"/>
  <c r="I98" i="11"/>
  <c r="I99" i="11" s="1"/>
  <c r="I107" i="11"/>
  <c r="I121" i="11"/>
  <c r="I93" i="11"/>
  <c r="I84" i="11"/>
  <c r="I85" i="11" s="1"/>
  <c r="I19" i="11"/>
  <c r="I4" i="11" s="1"/>
  <c r="I51" i="11"/>
  <c r="I111" i="11"/>
  <c r="I41" i="11"/>
  <c r="I83" i="11"/>
  <c r="I81" i="11"/>
  <c r="I79" i="11"/>
  <c r="I149" i="11"/>
  <c r="I126" i="11"/>
  <c r="I127" i="11" s="1"/>
  <c r="I167" i="11"/>
  <c r="I177" i="11"/>
  <c r="I140" i="11"/>
  <c r="I141" i="11" s="1"/>
  <c r="I91" i="11"/>
  <c r="I112" i="11"/>
  <c r="I113" i="11" s="1"/>
  <c r="I175" i="11"/>
  <c r="I182" i="11"/>
  <c r="I183" i="11" s="1"/>
  <c r="I181" i="11"/>
  <c r="I179" i="11"/>
  <c r="I147" i="11"/>
  <c r="I151" i="11"/>
  <c r="I77" i="11"/>
  <c r="I154" i="11"/>
  <c r="I155" i="11" s="1"/>
  <c r="I153" i="11"/>
  <c r="I69" i="11"/>
  <c r="I53" i="11"/>
  <c r="I168" i="11"/>
  <c r="I169" i="11" s="1"/>
  <c r="I70" i="11"/>
  <c r="I71" i="11" s="1"/>
  <c r="I24" i="11"/>
  <c r="I9" i="11" s="1"/>
  <c r="I195" i="11"/>
  <c r="I193" i="11"/>
  <c r="O81" i="12"/>
  <c r="O80" i="12"/>
  <c r="O79" i="12"/>
  <c r="M9" i="20"/>
  <c r="K13" i="20"/>
  <c r="K7" i="20"/>
  <c r="K8" i="20"/>
  <c r="K6" i="20"/>
  <c r="H13" i="20"/>
  <c r="J13" i="20" s="1"/>
  <c r="H12" i="20"/>
  <c r="J12" i="20" s="1"/>
  <c r="M12" i="20" s="1"/>
  <c r="H10" i="20"/>
  <c r="J10" i="20" s="1"/>
  <c r="M10" i="20" s="1"/>
  <c r="H8" i="20"/>
  <c r="J8" i="20" s="1"/>
  <c r="H7" i="20"/>
  <c r="J7" i="20" s="1"/>
  <c r="H6" i="20"/>
  <c r="J6" i="20" s="1"/>
  <c r="H5" i="20"/>
  <c r="F19" i="20"/>
  <c r="C19" i="20"/>
  <c r="B17" i="21" l="1"/>
  <c r="B36" i="21" s="1"/>
  <c r="B38" i="21" s="1"/>
  <c r="B41" i="21" s="1"/>
  <c r="I26" i="11"/>
  <c r="I11" i="11" s="1"/>
  <c r="I12" i="11" s="1"/>
  <c r="I56" i="11"/>
  <c r="I57" i="11" s="1"/>
  <c r="I55" i="11"/>
  <c r="M7" i="20"/>
  <c r="M13" i="20"/>
  <c r="K19" i="20"/>
  <c r="H19" i="20"/>
  <c r="H20" i="20" s="1"/>
  <c r="M6" i="20"/>
  <c r="M8" i="20"/>
  <c r="I25" i="11"/>
  <c r="G17" i="21"/>
  <c r="G36" i="21" s="1"/>
  <c r="G38" i="21" s="1"/>
  <c r="I10" i="11"/>
  <c r="I15" i="11"/>
  <c r="J5" i="20"/>
  <c r="P84" i="18"/>
  <c r="P85" i="18" s="1"/>
  <c r="G152" i="11" s="1"/>
  <c r="AF28" i="19"/>
  <c r="X10" i="19" s="1"/>
  <c r="V127" i="19"/>
  <c r="W10" i="19" s="1"/>
  <c r="H52" i="11"/>
  <c r="H66" i="11"/>
  <c r="U136" i="18"/>
  <c r="E52" i="11" s="1"/>
  <c r="R165" i="18"/>
  <c r="W136" i="18" s="1"/>
  <c r="G52" i="11" s="1"/>
  <c r="R124" i="18"/>
  <c r="R125" i="18"/>
  <c r="R126" i="18"/>
  <c r="R127" i="18"/>
  <c r="R128" i="18"/>
  <c r="R129" i="18"/>
  <c r="R130" i="18"/>
  <c r="R131" i="18"/>
  <c r="R132" i="18"/>
  <c r="R133" i="18"/>
  <c r="R134" i="18"/>
  <c r="R135" i="18"/>
  <c r="R136" i="18"/>
  <c r="R137" i="18"/>
  <c r="R138" i="18"/>
  <c r="R139" i="18"/>
  <c r="R140" i="18"/>
  <c r="R141" i="18"/>
  <c r="R142" i="18"/>
  <c r="R143" i="18"/>
  <c r="R144" i="18"/>
  <c r="R145" i="18"/>
  <c r="R146" i="18"/>
  <c r="R147" i="18"/>
  <c r="R148" i="18"/>
  <c r="R149" i="18"/>
  <c r="R150" i="18"/>
  <c r="R151" i="18"/>
  <c r="R152" i="18"/>
  <c r="T136" i="18" s="1"/>
  <c r="R153" i="18"/>
  <c r="T137" i="18" s="1"/>
  <c r="R154" i="18"/>
  <c r="R155" i="18"/>
  <c r="R156" i="18"/>
  <c r="R157" i="18"/>
  <c r="U137" i="18" s="1"/>
  <c r="E66" i="11" s="1"/>
  <c r="R158" i="18"/>
  <c r="R159" i="18"/>
  <c r="R160" i="18"/>
  <c r="V137" i="18" s="1"/>
  <c r="F66" i="11" s="1"/>
  <c r="R161" i="18"/>
  <c r="V136" i="18" s="1"/>
  <c r="F52" i="11" s="1"/>
  <c r="R162" i="18"/>
  <c r="R163" i="18"/>
  <c r="R164" i="18"/>
  <c r="R166" i="18"/>
  <c r="W137" i="18" s="1"/>
  <c r="G66" i="11" s="1"/>
  <c r="R123" i="18"/>
  <c r="S232" i="19"/>
  <c r="T11" i="19" s="1"/>
  <c r="T232" i="19"/>
  <c r="U11" i="19" s="1"/>
  <c r="U232" i="19"/>
  <c r="V11" i="19" s="1"/>
  <c r="V232" i="19"/>
  <c r="W11" i="19" s="1"/>
  <c r="Q113" i="19"/>
  <c r="Q114" i="19"/>
  <c r="Q115" i="19"/>
  <c r="Q116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S127" i="19" s="1"/>
  <c r="T10" i="19" s="1"/>
  <c r="Q131" i="19"/>
  <c r="Q132" i="19"/>
  <c r="T127" i="19" s="1"/>
  <c r="U10" i="19" s="1"/>
  <c r="Q133" i="19"/>
  <c r="Q134" i="19"/>
  <c r="U127" i="19" s="1"/>
  <c r="V10" i="19" s="1"/>
  <c r="Q135" i="19"/>
  <c r="Q112" i="19"/>
  <c r="T8" i="19"/>
  <c r="U8" i="19"/>
  <c r="V8" i="19"/>
  <c r="T84" i="19"/>
  <c r="T5" i="19" s="1"/>
  <c r="T86" i="19"/>
  <c r="T7" i="19" s="1"/>
  <c r="T85" i="19"/>
  <c r="T6" i="19" s="1"/>
  <c r="T83" i="19"/>
  <c r="T4" i="19" s="1"/>
  <c r="U84" i="19"/>
  <c r="U5" i="19" s="1"/>
  <c r="U85" i="19"/>
  <c r="U6" i="19" s="1"/>
  <c r="U86" i="19"/>
  <c r="U7" i="19" s="1"/>
  <c r="U83" i="19"/>
  <c r="U4" i="19" s="1"/>
  <c r="E104" i="11" s="1"/>
  <c r="V86" i="19"/>
  <c r="V7" i="19" s="1"/>
  <c r="V85" i="19"/>
  <c r="V6" i="19" s="1"/>
  <c r="V84" i="19"/>
  <c r="V5" i="19" s="1"/>
  <c r="V83" i="19"/>
  <c r="V4" i="19" s="1"/>
  <c r="F104" i="11" s="1"/>
  <c r="W84" i="19"/>
  <c r="W5" i="19" s="1"/>
  <c r="W86" i="19"/>
  <c r="W7" i="19" s="1"/>
  <c r="W85" i="19"/>
  <c r="W6" i="19" s="1"/>
  <c r="W83" i="19"/>
  <c r="W4" i="19" s="1"/>
  <c r="G104" i="11" s="1"/>
  <c r="AF17" i="19"/>
  <c r="X5" i="19" s="1"/>
  <c r="H90" i="11" s="1"/>
  <c r="AF18" i="19"/>
  <c r="X6" i="19" s="1"/>
  <c r="AF19" i="19"/>
  <c r="X7" i="19" s="1"/>
  <c r="AF20" i="19"/>
  <c r="X8" i="19" s="1"/>
  <c r="AF21" i="19"/>
  <c r="AF22" i="19"/>
  <c r="AF23" i="19"/>
  <c r="AF24" i="19"/>
  <c r="AF25" i="19"/>
  <c r="AF26" i="19"/>
  <c r="AF27" i="19"/>
  <c r="AF29" i="19"/>
  <c r="AF30" i="19"/>
  <c r="AF31" i="19"/>
  <c r="AF16" i="19"/>
  <c r="X4" i="19" s="1"/>
  <c r="H104" i="11" s="1"/>
  <c r="W12" i="19"/>
  <c r="M63" i="18"/>
  <c r="E180" i="11" s="1"/>
  <c r="N63" i="18"/>
  <c r="F180" i="11" s="1"/>
  <c r="O63" i="18"/>
  <c r="G180" i="11" s="1"/>
  <c r="P63" i="18"/>
  <c r="H180" i="11" s="1"/>
  <c r="L63" i="18"/>
  <c r="N62" i="18"/>
  <c r="V12" i="19"/>
  <c r="U12" i="19"/>
  <c r="T12" i="19"/>
  <c r="O49" i="19"/>
  <c r="L85" i="18"/>
  <c r="M85" i="18"/>
  <c r="N85" i="18"/>
  <c r="E152" i="11" s="1"/>
  <c r="O85" i="18"/>
  <c r="F152" i="11" s="1"/>
  <c r="Q85" i="18"/>
  <c r="H152" i="11" s="1"/>
  <c r="K85" i="18"/>
  <c r="Q52" i="18"/>
  <c r="Q53" i="18"/>
  <c r="Q54" i="18"/>
  <c r="Q55" i="18"/>
  <c r="Q51" i="18"/>
  <c r="O43" i="18"/>
  <c r="H194" i="11" s="1"/>
  <c r="O15" i="18"/>
  <c r="H166" i="11" s="1"/>
  <c r="N43" i="18"/>
  <c r="G194" i="11" s="1"/>
  <c r="M43" i="18"/>
  <c r="F194" i="11" s="1"/>
  <c r="L43" i="18"/>
  <c r="E194" i="11" s="1"/>
  <c r="K43" i="18"/>
  <c r="D194" i="11" s="1"/>
  <c r="E166" i="11"/>
  <c r="D166" i="11"/>
  <c r="N15" i="18"/>
  <c r="G166" i="11" s="1"/>
  <c r="M15" i="18"/>
  <c r="F166" i="11" s="1"/>
  <c r="L15" i="18"/>
  <c r="K15" i="18"/>
  <c r="F54" i="11"/>
  <c r="G54" i="11"/>
  <c r="H54" i="11"/>
  <c r="E54" i="11"/>
  <c r="F68" i="11"/>
  <c r="G68" i="11"/>
  <c r="H68" i="11"/>
  <c r="E68" i="11"/>
  <c r="F82" i="11"/>
  <c r="G82" i="11"/>
  <c r="H82" i="11"/>
  <c r="E82" i="11"/>
  <c r="F40" i="11"/>
  <c r="G40" i="11"/>
  <c r="H40" i="11"/>
  <c r="E40" i="11"/>
  <c r="H73" i="5"/>
  <c r="H69" i="5"/>
  <c r="G69" i="5"/>
  <c r="F69" i="5"/>
  <c r="G26" i="8"/>
  <c r="D76" i="11" s="1"/>
  <c r="D24" i="11"/>
  <c r="D26" i="11"/>
  <c r="H92" i="11"/>
  <c r="G8" i="17"/>
  <c r="D90" i="11" s="1"/>
  <c r="H8" i="17"/>
  <c r="I8" i="17"/>
  <c r="J8" i="17"/>
  <c r="K8" i="17"/>
  <c r="K7" i="17" s="1"/>
  <c r="F8" i="17"/>
  <c r="G4" i="17"/>
  <c r="G7" i="17" s="1"/>
  <c r="D92" i="11" s="1"/>
  <c r="H4" i="17"/>
  <c r="H7" i="17" s="1"/>
  <c r="E92" i="11" s="1"/>
  <c r="I4" i="17"/>
  <c r="J4" i="17"/>
  <c r="K4" i="17"/>
  <c r="F4" i="17"/>
  <c r="F7" i="17" s="1"/>
  <c r="G10" i="16"/>
  <c r="G9" i="16" s="1"/>
  <c r="D120" i="11" s="1"/>
  <c r="H10" i="16"/>
  <c r="H9" i="16" s="1"/>
  <c r="E120" i="11" s="1"/>
  <c r="I10" i="16"/>
  <c r="I9" i="16" s="1"/>
  <c r="F120" i="11" s="1"/>
  <c r="J10" i="16"/>
  <c r="K10" i="16"/>
  <c r="H118" i="11" s="1"/>
  <c r="F10" i="16"/>
  <c r="G6" i="16"/>
  <c r="H6" i="16"/>
  <c r="I6" i="16"/>
  <c r="J6" i="16"/>
  <c r="K6" i="16"/>
  <c r="K9" i="16" s="1"/>
  <c r="H120" i="11" s="1"/>
  <c r="F6" i="16"/>
  <c r="F9" i="16" s="1"/>
  <c r="H26" i="8"/>
  <c r="I26" i="8"/>
  <c r="J26" i="8"/>
  <c r="G76" i="11" s="1"/>
  <c r="K26" i="8"/>
  <c r="F26" i="8"/>
  <c r="G23" i="8"/>
  <c r="G25" i="8" s="1"/>
  <c r="D78" i="11" s="1"/>
  <c r="H23" i="8"/>
  <c r="I23" i="8"/>
  <c r="J23" i="8"/>
  <c r="J25" i="8" s="1"/>
  <c r="G78" i="11" s="1"/>
  <c r="K23" i="8"/>
  <c r="F23" i="8"/>
  <c r="H18" i="7"/>
  <c r="E64" i="11" s="1"/>
  <c r="J18" i="7"/>
  <c r="G64" i="11" s="1"/>
  <c r="G19" i="7"/>
  <c r="D64" i="11" s="1"/>
  <c r="H19" i="7"/>
  <c r="E62" i="11" s="1"/>
  <c r="I19" i="7"/>
  <c r="F62" i="11" s="1"/>
  <c r="J19" i="7"/>
  <c r="G62" i="11" s="1"/>
  <c r="K19" i="7"/>
  <c r="H62" i="11" s="1"/>
  <c r="F19" i="7"/>
  <c r="G16" i="7"/>
  <c r="G18" i="7" s="1"/>
  <c r="D62" i="11" s="1"/>
  <c r="H16" i="7"/>
  <c r="I16" i="7"/>
  <c r="I18" i="7" s="1"/>
  <c r="F64" i="11" s="1"/>
  <c r="J16" i="7"/>
  <c r="K16" i="7"/>
  <c r="K18" i="7" s="1"/>
  <c r="H64" i="11" s="1"/>
  <c r="F16" i="7"/>
  <c r="F18" i="7" s="1"/>
  <c r="J19" i="6"/>
  <c r="G50" i="11" s="1"/>
  <c r="K19" i="6"/>
  <c r="H50" i="11" s="1"/>
  <c r="G20" i="6"/>
  <c r="G19" i="6" s="1"/>
  <c r="D50" i="11" s="1"/>
  <c r="H20" i="6"/>
  <c r="I20" i="6"/>
  <c r="F48" i="11" s="1"/>
  <c r="J20" i="6"/>
  <c r="G48" i="11" s="1"/>
  <c r="K20" i="6"/>
  <c r="H48" i="11" s="1"/>
  <c r="F20" i="6"/>
  <c r="G17" i="6"/>
  <c r="H17" i="6"/>
  <c r="I17" i="6"/>
  <c r="I19" i="6" s="1"/>
  <c r="F50" i="11" s="1"/>
  <c r="J17" i="6"/>
  <c r="K17" i="6"/>
  <c r="F17" i="6"/>
  <c r="I34" i="11"/>
  <c r="K93" i="5"/>
  <c r="J82" i="5"/>
  <c r="I82" i="5"/>
  <c r="H82" i="5"/>
  <c r="H97" i="5" s="1"/>
  <c r="E34" i="11" s="1"/>
  <c r="G82" i="5"/>
  <c r="G97" i="5" s="1"/>
  <c r="D34" i="11" s="1"/>
  <c r="F82" i="5"/>
  <c r="F97" i="5" s="1"/>
  <c r="F19" i="9"/>
  <c r="F23" i="9" s="1"/>
  <c r="K19" i="9"/>
  <c r="J19" i="9"/>
  <c r="I19" i="9"/>
  <c r="I23" i="9" s="1"/>
  <c r="F134" i="11" s="1"/>
  <c r="H19" i="9"/>
  <c r="H23" i="9" s="1"/>
  <c r="E134" i="11" s="1"/>
  <c r="G19" i="9"/>
  <c r="G23" i="9" s="1"/>
  <c r="D134" i="11" s="1"/>
  <c r="R191" i="10"/>
  <c r="S191" i="10"/>
  <c r="T191" i="10"/>
  <c r="T194" i="10" s="1"/>
  <c r="U191" i="10"/>
  <c r="U194" i="10" s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3" i="10"/>
  <c r="Q114" i="10"/>
  <c r="Q115" i="10"/>
  <c r="Q116" i="10"/>
  <c r="Q117" i="10"/>
  <c r="Q118" i="10"/>
  <c r="Q119" i="10"/>
  <c r="Q120" i="10"/>
  <c r="Q121" i="10"/>
  <c r="Q122" i="10"/>
  <c r="Q123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50" i="10"/>
  <c r="Q151" i="10"/>
  <c r="Q152" i="10"/>
  <c r="Q153" i="10"/>
  <c r="Q154" i="10"/>
  <c r="Q155" i="10"/>
  <c r="Q156" i="10"/>
  <c r="Q157" i="10"/>
  <c r="Q158" i="10"/>
  <c r="Q159" i="10"/>
  <c r="Q160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3" i="10"/>
  <c r="P114" i="10"/>
  <c r="P115" i="10"/>
  <c r="P116" i="10"/>
  <c r="P117" i="10"/>
  <c r="P118" i="10"/>
  <c r="P119" i="10"/>
  <c r="P120" i="10"/>
  <c r="P121" i="10"/>
  <c r="P122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50" i="10"/>
  <c r="P151" i="10"/>
  <c r="P152" i="10"/>
  <c r="P153" i="10"/>
  <c r="P154" i="10"/>
  <c r="P155" i="10"/>
  <c r="P156" i="10"/>
  <c r="P157" i="10"/>
  <c r="P158" i="10"/>
  <c r="P159" i="10"/>
  <c r="P160" i="10"/>
  <c r="P162" i="10"/>
  <c r="P163" i="10"/>
  <c r="P164" i="10"/>
  <c r="P165" i="10"/>
  <c r="P167" i="10"/>
  <c r="P168" i="10"/>
  <c r="P169" i="10"/>
  <c r="P170" i="10"/>
  <c r="P171" i="10"/>
  <c r="P172" i="10"/>
  <c r="P173" i="10"/>
  <c r="P174" i="10"/>
  <c r="P3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3" i="10"/>
  <c r="O114" i="10"/>
  <c r="O115" i="10"/>
  <c r="O116" i="10"/>
  <c r="O117" i="10"/>
  <c r="O118" i="10"/>
  <c r="O119" i="10"/>
  <c r="O120" i="10"/>
  <c r="O121" i="10"/>
  <c r="O122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50" i="10"/>
  <c r="O151" i="10"/>
  <c r="O152" i="10"/>
  <c r="O153" i="10"/>
  <c r="O154" i="10"/>
  <c r="O155" i="10"/>
  <c r="O156" i="10"/>
  <c r="O157" i="10"/>
  <c r="O158" i="10"/>
  <c r="O159" i="10"/>
  <c r="O160" i="10"/>
  <c r="O162" i="10"/>
  <c r="O163" i="10"/>
  <c r="O164" i="10"/>
  <c r="O165" i="10"/>
  <c r="O167" i="10"/>
  <c r="O168" i="10"/>
  <c r="O169" i="10"/>
  <c r="O170" i="10"/>
  <c r="O171" i="10"/>
  <c r="O172" i="10"/>
  <c r="O173" i="10"/>
  <c r="O174" i="10"/>
  <c r="E334" i="14"/>
  <c r="E332" i="14"/>
  <c r="D332" i="14"/>
  <c r="F330" i="14"/>
  <c r="F328" i="14"/>
  <c r="F326" i="14"/>
  <c r="F324" i="14"/>
  <c r="F322" i="14"/>
  <c r="F320" i="14"/>
  <c r="F318" i="14"/>
  <c r="F316" i="14"/>
  <c r="F314" i="14"/>
  <c r="F312" i="14"/>
  <c r="F310" i="14"/>
  <c r="F308" i="14"/>
  <c r="F306" i="14"/>
  <c r="F304" i="14"/>
  <c r="F302" i="14"/>
  <c r="F300" i="14"/>
  <c r="F298" i="14"/>
  <c r="F296" i="14"/>
  <c r="F294" i="14"/>
  <c r="F292" i="14"/>
  <c r="F290" i="14"/>
  <c r="F288" i="14"/>
  <c r="F286" i="14"/>
  <c r="F284" i="14"/>
  <c r="F282" i="14"/>
  <c r="F280" i="14"/>
  <c r="F278" i="14"/>
  <c r="F276" i="14"/>
  <c r="F274" i="14"/>
  <c r="F272" i="14"/>
  <c r="F270" i="14"/>
  <c r="F268" i="14"/>
  <c r="F266" i="14"/>
  <c r="F264" i="14"/>
  <c r="F262" i="14"/>
  <c r="F260" i="14"/>
  <c r="F258" i="14"/>
  <c r="F256" i="14"/>
  <c r="F254" i="14"/>
  <c r="F252" i="14"/>
  <c r="F250" i="14"/>
  <c r="F248" i="14"/>
  <c r="F246" i="14"/>
  <c r="F244" i="14"/>
  <c r="F242" i="14"/>
  <c r="F240" i="14"/>
  <c r="F238" i="14"/>
  <c r="F236" i="14"/>
  <c r="F234" i="14"/>
  <c r="F232" i="14"/>
  <c r="F230" i="14"/>
  <c r="F228" i="14"/>
  <c r="F226" i="14"/>
  <c r="F224" i="14"/>
  <c r="F222" i="14"/>
  <c r="F220" i="14"/>
  <c r="F218" i="14"/>
  <c r="F216" i="14"/>
  <c r="F214" i="14"/>
  <c r="F212" i="14"/>
  <c r="F210" i="14"/>
  <c r="F208" i="14"/>
  <c r="F206" i="14"/>
  <c r="F204" i="14"/>
  <c r="F202" i="14"/>
  <c r="F200" i="14"/>
  <c r="F198" i="14"/>
  <c r="F196" i="14"/>
  <c r="F194" i="14"/>
  <c r="F192" i="14"/>
  <c r="F190" i="14"/>
  <c r="F188" i="14"/>
  <c r="F186" i="14"/>
  <c r="F184" i="14"/>
  <c r="F182" i="14"/>
  <c r="F180" i="14"/>
  <c r="F178" i="14"/>
  <c r="F176" i="14"/>
  <c r="F174" i="14"/>
  <c r="F172" i="14"/>
  <c r="F170" i="14"/>
  <c r="F168" i="14"/>
  <c r="F166" i="14"/>
  <c r="F164" i="14"/>
  <c r="F162" i="14"/>
  <c r="F160" i="14"/>
  <c r="F158" i="14"/>
  <c r="F156" i="14"/>
  <c r="F154" i="14"/>
  <c r="F152" i="14"/>
  <c r="F150" i="14"/>
  <c r="F148" i="14"/>
  <c r="F146" i="14"/>
  <c r="F144" i="14"/>
  <c r="F142" i="14"/>
  <c r="F140" i="14"/>
  <c r="F138" i="14"/>
  <c r="F136" i="14"/>
  <c r="F134" i="14"/>
  <c r="F132" i="14"/>
  <c r="F130" i="14"/>
  <c r="F128" i="14"/>
  <c r="F126" i="14"/>
  <c r="F124" i="14"/>
  <c r="F122" i="14"/>
  <c r="F120" i="14"/>
  <c r="F118" i="14"/>
  <c r="F116" i="14"/>
  <c r="F114" i="14"/>
  <c r="F112" i="14"/>
  <c r="F110" i="14"/>
  <c r="F108" i="14"/>
  <c r="F106" i="14"/>
  <c r="F104" i="14"/>
  <c r="F102" i="14"/>
  <c r="F100" i="14"/>
  <c r="F98" i="14"/>
  <c r="F96" i="14"/>
  <c r="F94" i="14"/>
  <c r="F92" i="14"/>
  <c r="F90" i="14"/>
  <c r="F88" i="14"/>
  <c r="F86" i="14"/>
  <c r="F84" i="14"/>
  <c r="F82" i="14"/>
  <c r="F80" i="14"/>
  <c r="F78" i="14"/>
  <c r="F76" i="14"/>
  <c r="F74" i="14"/>
  <c r="F72" i="14"/>
  <c r="F70" i="14"/>
  <c r="F68" i="14"/>
  <c r="F66" i="14"/>
  <c r="F64" i="14"/>
  <c r="F62" i="14"/>
  <c r="F60" i="14"/>
  <c r="F58" i="14"/>
  <c r="F56" i="14"/>
  <c r="F54" i="14"/>
  <c r="F52" i="14"/>
  <c r="F50" i="14"/>
  <c r="F48" i="14"/>
  <c r="F46" i="14"/>
  <c r="F44" i="14"/>
  <c r="F42" i="14"/>
  <c r="F40" i="14"/>
  <c r="F38" i="14"/>
  <c r="F36" i="14"/>
  <c r="F34" i="14"/>
  <c r="F32" i="14"/>
  <c r="F30" i="14"/>
  <c r="F28" i="14"/>
  <c r="F26" i="14"/>
  <c r="F24" i="14"/>
  <c r="F22" i="14"/>
  <c r="F20" i="14"/>
  <c r="F18" i="14"/>
  <c r="F16" i="14"/>
  <c r="F14" i="14"/>
  <c r="F12" i="14"/>
  <c r="F10" i="14"/>
  <c r="F8" i="14"/>
  <c r="F6" i="14"/>
  <c r="F4" i="14"/>
  <c r="F332" i="14" s="1"/>
  <c r="N325" i="13"/>
  <c r="N323" i="13"/>
  <c r="N321" i="13"/>
  <c r="N319" i="13"/>
  <c r="N317" i="13"/>
  <c r="N315" i="13"/>
  <c r="N313" i="13"/>
  <c r="N311" i="13"/>
  <c r="N309" i="13"/>
  <c r="N307" i="13"/>
  <c r="N305" i="13"/>
  <c r="N303" i="13"/>
  <c r="N301" i="13"/>
  <c r="N299" i="13"/>
  <c r="N297" i="13"/>
  <c r="N295" i="13"/>
  <c r="N293" i="13"/>
  <c r="N291" i="13"/>
  <c r="N289" i="13"/>
  <c r="N287" i="13"/>
  <c r="N285" i="13"/>
  <c r="N283" i="13"/>
  <c r="N281" i="13"/>
  <c r="N279" i="13"/>
  <c r="N277" i="13"/>
  <c r="N275" i="13"/>
  <c r="N273" i="13"/>
  <c r="N271" i="13"/>
  <c r="N269" i="13"/>
  <c r="N267" i="13"/>
  <c r="N265" i="13"/>
  <c r="N263" i="13"/>
  <c r="N261" i="13"/>
  <c r="N259" i="13"/>
  <c r="N257" i="13"/>
  <c r="N255" i="13"/>
  <c r="N253" i="13"/>
  <c r="N251" i="13"/>
  <c r="N249" i="13"/>
  <c r="N247" i="13"/>
  <c r="N245" i="13"/>
  <c r="N243" i="13"/>
  <c r="N241" i="13"/>
  <c r="N239" i="13"/>
  <c r="N237" i="13"/>
  <c r="N235" i="13"/>
  <c r="N233" i="13"/>
  <c r="N231" i="13"/>
  <c r="N229" i="13"/>
  <c r="N227" i="13"/>
  <c r="N225" i="13"/>
  <c r="N223" i="13"/>
  <c r="N221" i="13"/>
  <c r="N219" i="13"/>
  <c r="N217" i="13"/>
  <c r="N215" i="13"/>
  <c r="N213" i="13"/>
  <c r="N211" i="13"/>
  <c r="N209" i="13"/>
  <c r="N207" i="13"/>
  <c r="N205" i="13"/>
  <c r="N203" i="13"/>
  <c r="N201" i="13"/>
  <c r="N199" i="13"/>
  <c r="N197" i="13"/>
  <c r="N195" i="13"/>
  <c r="N193" i="13"/>
  <c r="N191" i="13"/>
  <c r="N189" i="13"/>
  <c r="N187" i="13"/>
  <c r="N185" i="13"/>
  <c r="N183" i="13"/>
  <c r="N181" i="13"/>
  <c r="N179" i="13"/>
  <c r="N177" i="13"/>
  <c r="N175" i="13"/>
  <c r="N173" i="13"/>
  <c r="N171" i="13"/>
  <c r="N169" i="13"/>
  <c r="N167" i="13"/>
  <c r="N165" i="13"/>
  <c r="N163" i="13"/>
  <c r="N161" i="13"/>
  <c r="N159" i="13"/>
  <c r="N157" i="13"/>
  <c r="N155" i="13"/>
  <c r="N153" i="13"/>
  <c r="N151" i="13"/>
  <c r="N149" i="13"/>
  <c r="N147" i="13"/>
  <c r="N145" i="13"/>
  <c r="N143" i="13"/>
  <c r="N141" i="13"/>
  <c r="N139" i="13"/>
  <c r="N137" i="13"/>
  <c r="N135" i="13"/>
  <c r="N133" i="13"/>
  <c r="N131" i="13"/>
  <c r="N129" i="13"/>
  <c r="N127" i="13"/>
  <c r="N125" i="13"/>
  <c r="N123" i="13"/>
  <c r="N121" i="13"/>
  <c r="N119" i="13"/>
  <c r="N117" i="13"/>
  <c r="N115" i="13"/>
  <c r="N113" i="13"/>
  <c r="N111" i="13"/>
  <c r="N109" i="13"/>
  <c r="N107" i="13"/>
  <c r="N105" i="13"/>
  <c r="N103" i="13"/>
  <c r="N101" i="13"/>
  <c r="N99" i="13"/>
  <c r="N97" i="13"/>
  <c r="N95" i="13"/>
  <c r="N93" i="13"/>
  <c r="N91" i="13"/>
  <c r="N89" i="13"/>
  <c r="N87" i="13"/>
  <c r="N85" i="13"/>
  <c r="N83" i="13"/>
  <c r="N81" i="13"/>
  <c r="N79" i="13"/>
  <c r="N77" i="13"/>
  <c r="N75" i="13"/>
  <c r="N73" i="13"/>
  <c r="N71" i="13"/>
  <c r="N69" i="13"/>
  <c r="N67" i="13"/>
  <c r="N65" i="13"/>
  <c r="N63" i="13"/>
  <c r="N61" i="13"/>
  <c r="N59" i="13"/>
  <c r="N57" i="13"/>
  <c r="N55" i="13"/>
  <c r="N53" i="13"/>
  <c r="N51" i="13"/>
  <c r="N49" i="13"/>
  <c r="N47" i="13"/>
  <c r="N45" i="13"/>
  <c r="N43" i="13"/>
  <c r="N41" i="13"/>
  <c r="N39" i="13"/>
  <c r="N37" i="13"/>
  <c r="N35" i="13"/>
  <c r="N33" i="13"/>
  <c r="N31" i="13"/>
  <c r="N29" i="13"/>
  <c r="N27" i="13"/>
  <c r="N25" i="13"/>
  <c r="N23" i="13"/>
  <c r="N21" i="13"/>
  <c r="N19" i="13"/>
  <c r="N17" i="13"/>
  <c r="N15" i="13"/>
  <c r="N13" i="13"/>
  <c r="N11" i="13"/>
  <c r="K27" i="9" l="1"/>
  <c r="K23" i="9"/>
  <c r="G134" i="11"/>
  <c r="J23" i="9"/>
  <c r="J9" i="16"/>
  <c r="G120" i="11" s="1"/>
  <c r="E90" i="11"/>
  <c r="F19" i="6"/>
  <c r="H19" i="6"/>
  <c r="E50" i="11" s="1"/>
  <c r="E48" i="11"/>
  <c r="X12" i="19"/>
  <c r="I27" i="11"/>
  <c r="H25" i="8"/>
  <c r="E78" i="11" s="1"/>
  <c r="I25" i="8"/>
  <c r="F78" i="11" s="1"/>
  <c r="H76" i="11"/>
  <c r="F25" i="8"/>
  <c r="K25" i="8"/>
  <c r="H78" i="11" s="1"/>
  <c r="E132" i="11"/>
  <c r="F76" i="11"/>
  <c r="E76" i="11"/>
  <c r="G132" i="11"/>
  <c r="F132" i="11"/>
  <c r="H132" i="11"/>
  <c r="G90" i="11"/>
  <c r="F90" i="11"/>
  <c r="J93" i="5"/>
  <c r="J96" i="5" s="1"/>
  <c r="G36" i="11" s="1"/>
  <c r="J97" i="5"/>
  <c r="G34" i="11" s="1"/>
  <c r="K97" i="5"/>
  <c r="H34" i="11" s="1"/>
  <c r="I93" i="5"/>
  <c r="I97" i="5"/>
  <c r="F34" i="11" s="1"/>
  <c r="H134" i="11"/>
  <c r="G118" i="11"/>
  <c r="F118" i="11"/>
  <c r="E118" i="11"/>
  <c r="D118" i="11"/>
  <c r="J7" i="17"/>
  <c r="G92" i="11" s="1"/>
  <c r="I7" i="17"/>
  <c r="F92" i="11" s="1"/>
  <c r="D48" i="11"/>
  <c r="I36" i="11"/>
  <c r="G93" i="5"/>
  <c r="G96" i="5" s="1"/>
  <c r="D36" i="11" s="1"/>
  <c r="D22" i="11" s="1"/>
  <c r="H93" i="5"/>
  <c r="H96" i="5" s="1"/>
  <c r="E36" i="11" s="1"/>
  <c r="I20" i="11"/>
  <c r="I35" i="11"/>
  <c r="E26" i="11"/>
  <c r="E11" i="11" s="1"/>
  <c r="G26" i="11"/>
  <c r="G11" i="11" s="1"/>
  <c r="F26" i="11"/>
  <c r="F11" i="11" s="1"/>
  <c r="M5" i="20"/>
  <c r="M19" i="20" s="1"/>
  <c r="J19" i="20"/>
  <c r="H26" i="11"/>
  <c r="H11" i="11" s="1"/>
  <c r="X11" i="19"/>
  <c r="F93" i="5"/>
  <c r="F96" i="5" s="1"/>
  <c r="O191" i="10"/>
  <c r="Q191" i="10"/>
  <c r="P191" i="10"/>
  <c r="E20" i="11" l="1"/>
  <c r="E22" i="11"/>
  <c r="D20" i="11"/>
  <c r="P193" i="10" s="1"/>
  <c r="P194" i="10" s="1"/>
  <c r="G22" i="11"/>
  <c r="H20" i="11"/>
  <c r="F20" i="11"/>
  <c r="G20" i="11"/>
  <c r="I42" i="11"/>
  <c r="I43" i="11" s="1"/>
  <c r="I96" i="5"/>
  <c r="F36" i="11" s="1"/>
  <c r="F22" i="11" s="1"/>
  <c r="K96" i="5"/>
  <c r="H36" i="11" s="1"/>
  <c r="I37" i="11"/>
  <c r="I22" i="11"/>
  <c r="I23" i="11" s="1"/>
  <c r="I21" i="11"/>
  <c r="Q193" i="10" l="1"/>
  <c r="Q194" i="10" s="1"/>
  <c r="S193" i="10"/>
  <c r="S194" i="10" s="1"/>
  <c r="W193" i="10"/>
  <c r="W194" i="10" s="1"/>
  <c r="R193" i="10"/>
  <c r="R194" i="10" s="1"/>
  <c r="H22" i="11"/>
  <c r="V193" i="10" s="1"/>
  <c r="V194" i="10" s="1"/>
  <c r="I28" i="11"/>
  <c r="I29" i="11" s="1"/>
  <c r="N163" i="10"/>
  <c r="N162" i="10"/>
  <c r="N160" i="10"/>
  <c r="N159" i="10"/>
  <c r="N152" i="10"/>
  <c r="N146" i="10"/>
  <c r="N144" i="10"/>
  <c r="N132" i="10"/>
  <c r="N121" i="10"/>
  <c r="N119" i="10"/>
  <c r="N118" i="10"/>
  <c r="N112" i="10"/>
  <c r="N111" i="10"/>
  <c r="N110" i="10"/>
  <c r="N109" i="10"/>
  <c r="N108" i="10"/>
  <c r="N107" i="10"/>
  <c r="N106" i="10"/>
  <c r="N105" i="10"/>
  <c r="N104" i="10"/>
  <c r="N103" i="10"/>
  <c r="N102" i="10"/>
  <c r="N100" i="10"/>
  <c r="N99" i="10"/>
  <c r="N98" i="10"/>
  <c r="N97" i="10"/>
  <c r="N96" i="10"/>
  <c r="N92" i="10"/>
  <c r="N71" i="10"/>
  <c r="N69" i="10"/>
  <c r="N68" i="10"/>
  <c r="N66" i="10"/>
  <c r="N63" i="10"/>
  <c r="N53" i="10"/>
  <c r="N39" i="10"/>
  <c r="N24" i="10"/>
  <c r="N11" i="10"/>
  <c r="N12" i="10"/>
  <c r="N20" i="10"/>
  <c r="N21" i="10"/>
  <c r="F22" i="4" l="1"/>
  <c r="G22" i="4"/>
  <c r="H22" i="4"/>
  <c r="F188" i="11" s="1"/>
  <c r="I22" i="4"/>
  <c r="G188" i="11" s="1"/>
  <c r="J22" i="4"/>
  <c r="H188" i="11" s="1"/>
  <c r="K22" i="4"/>
  <c r="L21" i="4"/>
  <c r="J190" i="11" s="1"/>
  <c r="E22" i="4"/>
  <c r="C188" i="11" s="1"/>
  <c r="J191" i="11" l="1"/>
  <c r="J196" i="11"/>
  <c r="J197" i="11" s="1"/>
  <c r="J7" i="11"/>
  <c r="D188" i="11"/>
  <c r="K21" i="4"/>
  <c r="I190" i="11" s="1"/>
  <c r="I188" i="11"/>
  <c r="E188" i="11"/>
  <c r="J17" i="4"/>
  <c r="J21" i="4" s="1"/>
  <c r="H190" i="11" s="1"/>
  <c r="E17" i="4"/>
  <c r="E21" i="4" s="1"/>
  <c r="C190" i="11" s="1"/>
  <c r="F17" i="4"/>
  <c r="F21" i="4" s="1"/>
  <c r="D190" i="11" s="1"/>
  <c r="G17" i="4"/>
  <c r="G21" i="4" s="1"/>
  <c r="E190" i="11" s="1"/>
  <c r="H17" i="4"/>
  <c r="H21" i="4" s="1"/>
  <c r="F190" i="11" s="1"/>
  <c r="J8" i="11" l="1"/>
  <c r="J13" i="11"/>
  <c r="J14" i="11" s="1"/>
  <c r="I189" i="11"/>
  <c r="I196" i="11"/>
  <c r="I197" i="11" s="1"/>
  <c r="I5" i="11"/>
  <c r="I7" i="11"/>
  <c r="I8" i="11" s="1"/>
  <c r="I191" i="11"/>
  <c r="E2" i="3"/>
  <c r="F2" i="3"/>
  <c r="G2" i="3"/>
  <c r="H2" i="3"/>
  <c r="J2" i="3"/>
  <c r="E3" i="3"/>
  <c r="F3" i="3"/>
  <c r="G3" i="3"/>
  <c r="H3" i="3"/>
  <c r="J3" i="3"/>
  <c r="E4" i="3"/>
  <c r="F4" i="3"/>
  <c r="G4" i="3"/>
  <c r="H4" i="3"/>
  <c r="J4" i="3"/>
  <c r="E5" i="3"/>
  <c r="F5" i="3"/>
  <c r="G5" i="3"/>
  <c r="H5" i="3"/>
  <c r="J5" i="3"/>
  <c r="E6" i="3"/>
  <c r="F6" i="3"/>
  <c r="G6" i="3"/>
  <c r="H6" i="3"/>
  <c r="J6" i="3"/>
  <c r="E7" i="3"/>
  <c r="F7" i="3"/>
  <c r="G7" i="3"/>
  <c r="H7" i="3"/>
  <c r="J7" i="3"/>
  <c r="E8" i="3"/>
  <c r="F8" i="3"/>
  <c r="G8" i="3"/>
  <c r="H8" i="3"/>
  <c r="J8" i="3"/>
  <c r="E9" i="3"/>
  <c r="F9" i="3"/>
  <c r="G9" i="3"/>
  <c r="H9" i="3"/>
  <c r="J9" i="3"/>
  <c r="E10" i="3"/>
  <c r="F10" i="3"/>
  <c r="G10" i="3"/>
  <c r="H10" i="3"/>
  <c r="J10" i="3"/>
  <c r="E11" i="3"/>
  <c r="F11" i="3"/>
  <c r="G11" i="3"/>
  <c r="H11" i="3"/>
  <c r="J11" i="3"/>
  <c r="E12" i="3"/>
  <c r="F12" i="3"/>
  <c r="G12" i="3"/>
  <c r="H12" i="3"/>
  <c r="J12" i="3"/>
  <c r="E13" i="3"/>
  <c r="F13" i="3"/>
  <c r="G13" i="3"/>
  <c r="H13" i="3"/>
  <c r="J13" i="3"/>
  <c r="E14" i="3"/>
  <c r="F14" i="3"/>
  <c r="G14" i="3"/>
  <c r="H14" i="3"/>
  <c r="J14" i="3"/>
  <c r="E15" i="3"/>
  <c r="F15" i="3"/>
  <c r="G15" i="3"/>
  <c r="H15" i="3"/>
  <c r="J15" i="3"/>
  <c r="E16" i="3"/>
  <c r="F16" i="3"/>
  <c r="G16" i="3"/>
  <c r="H16" i="3"/>
  <c r="J16" i="3"/>
  <c r="E17" i="3"/>
  <c r="F17" i="3"/>
  <c r="G17" i="3"/>
  <c r="H17" i="3"/>
  <c r="J17" i="3"/>
  <c r="E18" i="3"/>
  <c r="F18" i="3"/>
  <c r="G18" i="3"/>
  <c r="H18" i="3"/>
  <c r="J18" i="3"/>
  <c r="E19" i="3"/>
  <c r="F19" i="3"/>
  <c r="G19" i="3"/>
  <c r="H19" i="3"/>
  <c r="J19" i="3"/>
  <c r="E20" i="3"/>
  <c r="F20" i="3"/>
  <c r="G20" i="3"/>
  <c r="H20" i="3"/>
  <c r="J20" i="3"/>
  <c r="E21" i="3"/>
  <c r="F21" i="3"/>
  <c r="G21" i="3"/>
  <c r="H21" i="3"/>
  <c r="J21" i="3"/>
  <c r="E22" i="3"/>
  <c r="F22" i="3"/>
  <c r="G22" i="3"/>
  <c r="H22" i="3"/>
  <c r="J22" i="3"/>
  <c r="E23" i="3"/>
  <c r="F23" i="3"/>
  <c r="G23" i="3"/>
  <c r="H23" i="3"/>
  <c r="J23" i="3"/>
  <c r="E24" i="3"/>
  <c r="F24" i="3"/>
  <c r="G24" i="3"/>
  <c r="H24" i="3"/>
  <c r="J24" i="3"/>
  <c r="E25" i="3"/>
  <c r="F25" i="3"/>
  <c r="G25" i="3"/>
  <c r="H25" i="3"/>
  <c r="J25" i="3"/>
  <c r="E26" i="3"/>
  <c r="F26" i="3"/>
  <c r="G26" i="3"/>
  <c r="H26" i="3"/>
  <c r="J26" i="3"/>
  <c r="E27" i="3"/>
  <c r="F27" i="3"/>
  <c r="G27" i="3"/>
  <c r="H27" i="3"/>
  <c r="J27" i="3"/>
  <c r="E28" i="3"/>
  <c r="F28" i="3"/>
  <c r="G28" i="3"/>
  <c r="H28" i="3"/>
  <c r="J28" i="3"/>
  <c r="E29" i="3"/>
  <c r="F29" i="3"/>
  <c r="G29" i="3"/>
  <c r="H29" i="3"/>
  <c r="J29" i="3"/>
  <c r="E30" i="3"/>
  <c r="F30" i="3"/>
  <c r="G30" i="3"/>
  <c r="H30" i="3"/>
  <c r="J30" i="3"/>
  <c r="E31" i="3"/>
  <c r="F31" i="3"/>
  <c r="G31" i="3"/>
  <c r="H31" i="3"/>
  <c r="J31" i="3"/>
  <c r="E32" i="3"/>
  <c r="F32" i="3"/>
  <c r="G32" i="3"/>
  <c r="H32" i="3"/>
  <c r="J32" i="3"/>
  <c r="E33" i="3"/>
  <c r="F33" i="3"/>
  <c r="G33" i="3"/>
  <c r="H33" i="3"/>
  <c r="J33" i="3"/>
  <c r="E34" i="3"/>
  <c r="F34" i="3"/>
  <c r="G34" i="3"/>
  <c r="H34" i="3"/>
  <c r="J34" i="3"/>
  <c r="E35" i="3"/>
  <c r="F35" i="3"/>
  <c r="G35" i="3"/>
  <c r="H35" i="3"/>
  <c r="J35" i="3"/>
  <c r="E36" i="3"/>
  <c r="F36" i="3"/>
  <c r="G36" i="3"/>
  <c r="H36" i="3"/>
  <c r="J36" i="3"/>
  <c r="E37" i="3"/>
  <c r="F37" i="3"/>
  <c r="G37" i="3"/>
  <c r="H37" i="3"/>
  <c r="J37" i="3"/>
  <c r="E38" i="3"/>
  <c r="F38" i="3"/>
  <c r="G38" i="3"/>
  <c r="H38" i="3"/>
  <c r="J38" i="3"/>
  <c r="E39" i="3"/>
  <c r="F39" i="3"/>
  <c r="G39" i="3"/>
  <c r="H39" i="3"/>
  <c r="J39" i="3"/>
  <c r="E40" i="3"/>
  <c r="F40" i="3"/>
  <c r="G40" i="3"/>
  <c r="H40" i="3"/>
  <c r="J40" i="3"/>
  <c r="E41" i="3"/>
  <c r="F41" i="3"/>
  <c r="G41" i="3"/>
  <c r="H41" i="3"/>
  <c r="J41" i="3"/>
  <c r="E42" i="3"/>
  <c r="F42" i="3"/>
  <c r="G42" i="3"/>
  <c r="H42" i="3"/>
  <c r="J42" i="3"/>
  <c r="E43" i="3"/>
  <c r="J43" i="3"/>
  <c r="J44" i="3"/>
  <c r="J45" i="3"/>
  <c r="C3" i="2"/>
  <c r="D3" i="2"/>
  <c r="E3" i="2"/>
  <c r="F3" i="2"/>
  <c r="G3" i="2"/>
  <c r="H3" i="2"/>
  <c r="I3" i="2"/>
  <c r="J3" i="2"/>
  <c r="K3" i="2"/>
  <c r="C4" i="2"/>
  <c r="D4" i="2"/>
  <c r="E4" i="2"/>
  <c r="F4" i="2"/>
  <c r="G4" i="2"/>
  <c r="H4" i="2"/>
  <c r="I4" i="2"/>
  <c r="J4" i="2"/>
  <c r="K4" i="2"/>
  <c r="C5" i="2"/>
  <c r="D5" i="2"/>
  <c r="E5" i="2"/>
  <c r="F5" i="2"/>
  <c r="G5" i="2"/>
  <c r="H5" i="2"/>
  <c r="I5" i="2"/>
  <c r="J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9" i="2"/>
  <c r="D9" i="2"/>
  <c r="E9" i="2"/>
  <c r="F9" i="2"/>
  <c r="G9" i="2"/>
  <c r="H9" i="2"/>
  <c r="I9" i="2"/>
  <c r="J9" i="2"/>
  <c r="K9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C15" i="2"/>
  <c r="D15" i="2"/>
  <c r="E15" i="2"/>
  <c r="F15" i="2"/>
  <c r="G15" i="2"/>
  <c r="H15" i="2"/>
  <c r="I15" i="2"/>
  <c r="J15" i="2"/>
  <c r="K15" i="2"/>
  <c r="C16" i="2"/>
  <c r="D16" i="2"/>
  <c r="E16" i="2"/>
  <c r="F16" i="2"/>
  <c r="G16" i="2"/>
  <c r="H16" i="2"/>
  <c r="I16" i="2"/>
  <c r="J16" i="2"/>
  <c r="K16" i="2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C19" i="2"/>
  <c r="D19" i="2"/>
  <c r="E19" i="2"/>
  <c r="F19" i="2"/>
  <c r="G19" i="2"/>
  <c r="H19" i="2"/>
  <c r="I19" i="2"/>
  <c r="J19" i="2"/>
  <c r="K19" i="2"/>
  <c r="C20" i="2"/>
  <c r="D20" i="2"/>
  <c r="E20" i="2"/>
  <c r="F20" i="2"/>
  <c r="G20" i="2"/>
  <c r="H20" i="2"/>
  <c r="I20" i="2"/>
  <c r="J20" i="2"/>
  <c r="K20" i="2"/>
  <c r="C21" i="2"/>
  <c r="D21" i="2"/>
  <c r="E21" i="2"/>
  <c r="F21" i="2"/>
  <c r="G21" i="2"/>
  <c r="H21" i="2"/>
  <c r="I21" i="2"/>
  <c r="J21" i="2"/>
  <c r="K21" i="2"/>
  <c r="C22" i="2"/>
  <c r="D22" i="2"/>
  <c r="E22" i="2"/>
  <c r="F22" i="2"/>
  <c r="G22" i="2"/>
  <c r="H22" i="2"/>
  <c r="I22" i="2"/>
  <c r="J22" i="2"/>
  <c r="K22" i="2"/>
  <c r="C23" i="2"/>
  <c r="D23" i="2"/>
  <c r="E23" i="2"/>
  <c r="F23" i="2"/>
  <c r="G23" i="2"/>
  <c r="H23" i="2"/>
  <c r="I23" i="2"/>
  <c r="J23" i="2"/>
  <c r="K23" i="2"/>
  <c r="C24" i="2"/>
  <c r="D24" i="2"/>
  <c r="E24" i="2"/>
  <c r="F24" i="2"/>
  <c r="G24" i="2"/>
  <c r="H24" i="2"/>
  <c r="I24" i="2"/>
  <c r="J24" i="2"/>
  <c r="K24" i="2"/>
  <c r="C25" i="2"/>
  <c r="D25" i="2"/>
  <c r="E25" i="2"/>
  <c r="F25" i="2"/>
  <c r="G25" i="2"/>
  <c r="H25" i="2"/>
  <c r="I25" i="2"/>
  <c r="J25" i="2"/>
  <c r="K25" i="2"/>
  <c r="C26" i="2"/>
  <c r="D26" i="2"/>
  <c r="E26" i="2"/>
  <c r="F26" i="2"/>
  <c r="G26" i="2"/>
  <c r="H26" i="2"/>
  <c r="I26" i="2"/>
  <c r="J26" i="2"/>
  <c r="K26" i="2"/>
  <c r="C27" i="2"/>
  <c r="D27" i="2"/>
  <c r="E27" i="2"/>
  <c r="F27" i="2"/>
  <c r="G27" i="2"/>
  <c r="H27" i="2"/>
  <c r="I27" i="2"/>
  <c r="J27" i="2"/>
  <c r="K27" i="2"/>
  <c r="I6" i="11" l="1"/>
  <c r="I13" i="11"/>
  <c r="I14" i="11" s="1"/>
  <c r="E57" i="3"/>
  <c r="C174" i="11" s="1"/>
  <c r="J54" i="3"/>
  <c r="J57" i="3"/>
  <c r="H174" i="11" s="1"/>
  <c r="F57" i="3"/>
  <c r="D174" i="11" s="1"/>
  <c r="G57" i="3"/>
  <c r="E174" i="11" s="1"/>
  <c r="H57" i="3"/>
  <c r="F174" i="11" s="1"/>
  <c r="I57" i="3"/>
  <c r="G174" i="11" s="1"/>
  <c r="E54" i="3"/>
  <c r="F54" i="3"/>
  <c r="G54" i="3"/>
  <c r="H54" i="3"/>
  <c r="E56" i="3" l="1"/>
  <c r="C176" i="11" s="1"/>
  <c r="H56" i="3"/>
  <c r="F176" i="11" s="1"/>
  <c r="F56" i="3"/>
  <c r="D176" i="11" s="1"/>
  <c r="G56" i="3"/>
  <c r="E176" i="11" s="1"/>
  <c r="J56" i="3"/>
  <c r="H176" i="11" s="1"/>
  <c r="I35" i="2" l="1"/>
  <c r="L35" i="2"/>
  <c r="E160" i="11" s="1"/>
  <c r="H31" i="2"/>
  <c r="J31" i="2"/>
  <c r="K31" i="2"/>
  <c r="E35" i="2"/>
  <c r="K35" i="2"/>
  <c r="D160" i="11" s="1"/>
  <c r="C35" i="2"/>
  <c r="D35" i="2"/>
  <c r="F35" i="2"/>
  <c r="G35" i="2"/>
  <c r="H35" i="2"/>
  <c r="J35" i="2"/>
  <c r="I31" i="2"/>
  <c r="G31" i="2"/>
  <c r="F31" i="2"/>
  <c r="E31" i="2"/>
  <c r="D31" i="2"/>
  <c r="C31" i="2"/>
  <c r="C34" i="2" l="1"/>
  <c r="D34" i="2"/>
  <c r="E34" i="2"/>
  <c r="J34" i="2"/>
  <c r="C162" i="11" s="1"/>
  <c r="C160" i="11"/>
  <c r="F34" i="2"/>
  <c r="K34" i="2"/>
  <c r="D162" i="11" s="1"/>
  <c r="H34" i="2"/>
  <c r="G34" i="2"/>
  <c r="I34" i="2"/>
  <c r="L31" i="2"/>
  <c r="L34" i="2" s="1"/>
  <c r="E162" i="11" s="1"/>
  <c r="D187" i="11"/>
  <c r="E187" i="11"/>
  <c r="F187" i="11"/>
  <c r="G187" i="11"/>
  <c r="H187" i="11"/>
  <c r="C187" i="11"/>
  <c r="C191" i="11" s="1"/>
  <c r="D173" i="11"/>
  <c r="D175" i="11" s="1"/>
  <c r="E173" i="11"/>
  <c r="F173" i="11"/>
  <c r="G173" i="11"/>
  <c r="H173" i="11"/>
  <c r="C173" i="11"/>
  <c r="D159" i="11"/>
  <c r="D161" i="11" s="1"/>
  <c r="E159" i="11"/>
  <c r="F159" i="11"/>
  <c r="G159" i="11"/>
  <c r="H159" i="11"/>
  <c r="C159" i="11"/>
  <c r="D145" i="11"/>
  <c r="E145" i="11"/>
  <c r="F145" i="11"/>
  <c r="G145" i="11"/>
  <c r="H145" i="11"/>
  <c r="C145" i="11"/>
  <c r="C86" i="12"/>
  <c r="D86" i="12"/>
  <c r="E86" i="12"/>
  <c r="F86" i="12"/>
  <c r="G86" i="12"/>
  <c r="H86" i="12"/>
  <c r="I86" i="12"/>
  <c r="J86" i="12"/>
  <c r="K86" i="12"/>
  <c r="L86" i="12"/>
  <c r="M86" i="12"/>
  <c r="N86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B87" i="12"/>
  <c r="B88" i="12"/>
  <c r="B89" i="12"/>
  <c r="B86" i="12"/>
  <c r="F117" i="11"/>
  <c r="H117" i="11"/>
  <c r="G103" i="11"/>
  <c r="H103" i="11"/>
  <c r="H89" i="11"/>
  <c r="H131" i="11"/>
  <c r="H75" i="11"/>
  <c r="E61" i="11"/>
  <c r="G61" i="11"/>
  <c r="H61" i="11"/>
  <c r="H47" i="11"/>
  <c r="H33" i="11"/>
  <c r="L85" i="12"/>
  <c r="D84" i="12"/>
  <c r="H81" i="12"/>
  <c r="N80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M59" i="12"/>
  <c r="I59" i="12"/>
  <c r="H59" i="12"/>
  <c r="D59" i="12"/>
  <c r="H58" i="12"/>
  <c r="N57" i="12"/>
  <c r="K57" i="12"/>
  <c r="G57" i="12"/>
  <c r="F57" i="12"/>
  <c r="B57" i="12"/>
  <c r="F56" i="12"/>
  <c r="L55" i="12"/>
  <c r="I55" i="12"/>
  <c r="I85" i="12" s="1"/>
  <c r="C117" i="11" s="1"/>
  <c r="C121" i="11" s="1"/>
  <c r="E55" i="12"/>
  <c r="E85" i="12" s="1"/>
  <c r="D55" i="12"/>
  <c r="D85" i="12" s="1"/>
  <c r="M54" i="12"/>
  <c r="M84" i="12" s="1"/>
  <c r="D54" i="12"/>
  <c r="J53" i="12"/>
  <c r="J83" i="12" s="1"/>
  <c r="D89" i="11" s="1"/>
  <c r="G53" i="12"/>
  <c r="G83" i="12" s="1"/>
  <c r="C53" i="12"/>
  <c r="C83" i="12" s="1"/>
  <c r="B53" i="12"/>
  <c r="B83" i="12" s="1"/>
  <c r="K52" i="12"/>
  <c r="K82" i="12" s="1"/>
  <c r="E131" i="11" s="1"/>
  <c r="B52" i="12"/>
  <c r="B82" i="12" s="1"/>
  <c r="H51" i="12"/>
  <c r="E51" i="12"/>
  <c r="E81" i="12" s="1"/>
  <c r="N50" i="12"/>
  <c r="M50" i="12"/>
  <c r="M80" i="12" s="1"/>
  <c r="I50" i="12"/>
  <c r="I80" i="12" s="1"/>
  <c r="C61" i="11" s="1"/>
  <c r="M49" i="12"/>
  <c r="M79" i="12" s="1"/>
  <c r="G47" i="11" s="1"/>
  <c r="F49" i="12"/>
  <c r="F79" i="12" s="1"/>
  <c r="C49" i="12"/>
  <c r="C79" i="12" s="1"/>
  <c r="L48" i="12"/>
  <c r="K48" i="12"/>
  <c r="G48" i="12"/>
  <c r="E43" i="12"/>
  <c r="N42" i="12"/>
  <c r="N59" i="12" s="1"/>
  <c r="M42" i="12"/>
  <c r="L42" i="12"/>
  <c r="L59" i="12" s="1"/>
  <c r="K42" i="12"/>
  <c r="K59" i="12" s="1"/>
  <c r="J42" i="12"/>
  <c r="J59" i="12" s="1"/>
  <c r="I42" i="12"/>
  <c r="H42" i="12"/>
  <c r="G42" i="12"/>
  <c r="G59" i="12" s="1"/>
  <c r="F42" i="12"/>
  <c r="F59" i="12" s="1"/>
  <c r="E42" i="12"/>
  <c r="E59" i="12" s="1"/>
  <c r="D42" i="12"/>
  <c r="C42" i="12"/>
  <c r="C59" i="12" s="1"/>
  <c r="B42" i="12"/>
  <c r="B59" i="12" s="1"/>
  <c r="N41" i="12"/>
  <c r="M41" i="12"/>
  <c r="L41" i="12"/>
  <c r="K41" i="12"/>
  <c r="K58" i="12" s="1"/>
  <c r="J41" i="12"/>
  <c r="J58" i="12" s="1"/>
  <c r="I41" i="12"/>
  <c r="I58" i="12" s="1"/>
  <c r="H41" i="12"/>
  <c r="G41" i="12"/>
  <c r="F41" i="12"/>
  <c r="F58" i="12" s="1"/>
  <c r="E41" i="12"/>
  <c r="E58" i="12" s="1"/>
  <c r="D41" i="12"/>
  <c r="D58" i="12" s="1"/>
  <c r="C41" i="12"/>
  <c r="B41" i="12"/>
  <c r="B58" i="12" s="1"/>
  <c r="N40" i="12"/>
  <c r="M40" i="12"/>
  <c r="M57" i="12" s="1"/>
  <c r="L40" i="12"/>
  <c r="L57" i="12" s="1"/>
  <c r="K40" i="12"/>
  <c r="J40" i="12"/>
  <c r="J57" i="12" s="1"/>
  <c r="I40" i="12"/>
  <c r="I57" i="12" s="1"/>
  <c r="H40" i="12"/>
  <c r="H57" i="12" s="1"/>
  <c r="G40" i="12"/>
  <c r="F40" i="12"/>
  <c r="E40" i="12"/>
  <c r="E57" i="12" s="1"/>
  <c r="D40" i="12"/>
  <c r="D57" i="12" s="1"/>
  <c r="C40" i="12"/>
  <c r="C57" i="12" s="1"/>
  <c r="B40" i="12"/>
  <c r="N39" i="12"/>
  <c r="N56" i="12" s="1"/>
  <c r="M39" i="12"/>
  <c r="M56" i="12" s="1"/>
  <c r="L39" i="12"/>
  <c r="L56" i="12" s="1"/>
  <c r="K39" i="12"/>
  <c r="K56" i="12" s="1"/>
  <c r="J39" i="12"/>
  <c r="I39" i="12"/>
  <c r="I56" i="12" s="1"/>
  <c r="H39" i="12"/>
  <c r="H56" i="12" s="1"/>
  <c r="G39" i="12"/>
  <c r="G56" i="12" s="1"/>
  <c r="F39" i="12"/>
  <c r="E39" i="12"/>
  <c r="D39" i="12"/>
  <c r="D56" i="12" s="1"/>
  <c r="C39" i="12"/>
  <c r="C56" i="12" s="1"/>
  <c r="B39" i="12"/>
  <c r="B56" i="12" s="1"/>
  <c r="N38" i="12"/>
  <c r="N55" i="12" s="1"/>
  <c r="N85" i="12" s="1"/>
  <c r="M38" i="12"/>
  <c r="M55" i="12" s="1"/>
  <c r="M85" i="12" s="1"/>
  <c r="G117" i="11" s="1"/>
  <c r="L38" i="12"/>
  <c r="K38" i="12"/>
  <c r="K55" i="12" s="1"/>
  <c r="K85" i="12" s="1"/>
  <c r="E117" i="11" s="1"/>
  <c r="J38" i="12"/>
  <c r="J55" i="12" s="1"/>
  <c r="J85" i="12" s="1"/>
  <c r="D117" i="11" s="1"/>
  <c r="I38" i="12"/>
  <c r="H38" i="12"/>
  <c r="H55" i="12" s="1"/>
  <c r="H85" i="12" s="1"/>
  <c r="G38" i="12"/>
  <c r="G55" i="12" s="1"/>
  <c r="G85" i="12" s="1"/>
  <c r="F38" i="12"/>
  <c r="F55" i="12" s="1"/>
  <c r="F85" i="12" s="1"/>
  <c r="E38" i="12"/>
  <c r="D38" i="12"/>
  <c r="C38" i="12"/>
  <c r="C55" i="12" s="1"/>
  <c r="C85" i="12" s="1"/>
  <c r="B38" i="12"/>
  <c r="B55" i="12" s="1"/>
  <c r="B85" i="12" s="1"/>
  <c r="N37" i="12"/>
  <c r="N54" i="12" s="1"/>
  <c r="N84" i="12" s="1"/>
  <c r="M37" i="12"/>
  <c r="L37" i="12"/>
  <c r="L54" i="12" s="1"/>
  <c r="L84" i="12" s="1"/>
  <c r="F103" i="11" s="1"/>
  <c r="K37" i="12"/>
  <c r="K54" i="12" s="1"/>
  <c r="K84" i="12" s="1"/>
  <c r="E103" i="11" s="1"/>
  <c r="J37" i="12"/>
  <c r="J54" i="12" s="1"/>
  <c r="J84" i="12" s="1"/>
  <c r="D103" i="11" s="1"/>
  <c r="I37" i="12"/>
  <c r="I54" i="12" s="1"/>
  <c r="I84" i="12" s="1"/>
  <c r="C103" i="11" s="1"/>
  <c r="H37" i="12"/>
  <c r="H54" i="12" s="1"/>
  <c r="H84" i="12" s="1"/>
  <c r="G37" i="12"/>
  <c r="G54" i="12" s="1"/>
  <c r="G84" i="12" s="1"/>
  <c r="F37" i="12"/>
  <c r="F54" i="12" s="1"/>
  <c r="F84" i="12" s="1"/>
  <c r="E37" i="12"/>
  <c r="E54" i="12" s="1"/>
  <c r="E84" i="12" s="1"/>
  <c r="D37" i="12"/>
  <c r="C37" i="12"/>
  <c r="C54" i="12" s="1"/>
  <c r="C84" i="12" s="1"/>
  <c r="B37" i="12"/>
  <c r="B54" i="12" s="1"/>
  <c r="B84" i="12" s="1"/>
  <c r="N36" i="12"/>
  <c r="N53" i="12" s="1"/>
  <c r="N83" i="12" s="1"/>
  <c r="M36" i="12"/>
  <c r="M53" i="12" s="1"/>
  <c r="M83" i="12" s="1"/>
  <c r="G89" i="11" s="1"/>
  <c r="L36" i="12"/>
  <c r="L53" i="12" s="1"/>
  <c r="L83" i="12" s="1"/>
  <c r="F89" i="11" s="1"/>
  <c r="K36" i="12"/>
  <c r="K53" i="12" s="1"/>
  <c r="K83" i="12" s="1"/>
  <c r="E89" i="11" s="1"/>
  <c r="J36" i="12"/>
  <c r="I36" i="12"/>
  <c r="I53" i="12" s="1"/>
  <c r="I83" i="12" s="1"/>
  <c r="C89" i="11" s="1"/>
  <c r="H36" i="12"/>
  <c r="H53" i="12" s="1"/>
  <c r="H83" i="12" s="1"/>
  <c r="G36" i="12"/>
  <c r="F36" i="12"/>
  <c r="F53" i="12" s="1"/>
  <c r="F83" i="12" s="1"/>
  <c r="E36" i="12"/>
  <c r="E53" i="12" s="1"/>
  <c r="E83" i="12" s="1"/>
  <c r="D36" i="12"/>
  <c r="D53" i="12" s="1"/>
  <c r="D83" i="12" s="1"/>
  <c r="C36" i="12"/>
  <c r="B36" i="12"/>
  <c r="N35" i="12"/>
  <c r="N52" i="12" s="1"/>
  <c r="N82" i="12" s="1"/>
  <c r="M35" i="12"/>
  <c r="M52" i="12" s="1"/>
  <c r="M82" i="12" s="1"/>
  <c r="G131" i="11" s="1"/>
  <c r="L35" i="12"/>
  <c r="L52" i="12" s="1"/>
  <c r="L82" i="12" s="1"/>
  <c r="F131" i="11" s="1"/>
  <c r="K35" i="12"/>
  <c r="J35" i="12"/>
  <c r="J52" i="12" s="1"/>
  <c r="J82" i="12" s="1"/>
  <c r="D131" i="11" s="1"/>
  <c r="I35" i="12"/>
  <c r="I52" i="12" s="1"/>
  <c r="I82" i="12" s="1"/>
  <c r="C131" i="11" s="1"/>
  <c r="H35" i="12"/>
  <c r="H52" i="12" s="1"/>
  <c r="H82" i="12" s="1"/>
  <c r="G35" i="12"/>
  <c r="G52" i="12" s="1"/>
  <c r="G82" i="12" s="1"/>
  <c r="F35" i="12"/>
  <c r="F52" i="12" s="1"/>
  <c r="F82" i="12" s="1"/>
  <c r="E35" i="12"/>
  <c r="E52" i="12" s="1"/>
  <c r="E82" i="12" s="1"/>
  <c r="D35" i="12"/>
  <c r="D52" i="12" s="1"/>
  <c r="D82" i="12" s="1"/>
  <c r="C35" i="12"/>
  <c r="C52" i="12" s="1"/>
  <c r="C82" i="12" s="1"/>
  <c r="B35" i="12"/>
  <c r="N34" i="12"/>
  <c r="N51" i="12" s="1"/>
  <c r="N81" i="12" s="1"/>
  <c r="M34" i="12"/>
  <c r="M51" i="12" s="1"/>
  <c r="M81" i="12" s="1"/>
  <c r="G75" i="11" s="1"/>
  <c r="L34" i="12"/>
  <c r="L51" i="12" s="1"/>
  <c r="L81" i="12" s="1"/>
  <c r="F75" i="11" s="1"/>
  <c r="K34" i="12"/>
  <c r="K51" i="12" s="1"/>
  <c r="K81" i="12" s="1"/>
  <c r="E75" i="11" s="1"/>
  <c r="J34" i="12"/>
  <c r="J51" i="12" s="1"/>
  <c r="J81" i="12" s="1"/>
  <c r="D75" i="11" s="1"/>
  <c r="I34" i="12"/>
  <c r="I51" i="12" s="1"/>
  <c r="I81" i="12" s="1"/>
  <c r="C75" i="11" s="1"/>
  <c r="H34" i="12"/>
  <c r="G34" i="12"/>
  <c r="G51" i="12" s="1"/>
  <c r="G81" i="12" s="1"/>
  <c r="F34" i="12"/>
  <c r="F51" i="12" s="1"/>
  <c r="F81" i="12" s="1"/>
  <c r="E34" i="12"/>
  <c r="D34" i="12"/>
  <c r="D51" i="12" s="1"/>
  <c r="D81" i="12" s="1"/>
  <c r="C34" i="12"/>
  <c r="C51" i="12" s="1"/>
  <c r="C81" i="12" s="1"/>
  <c r="B34" i="12"/>
  <c r="B51" i="12" s="1"/>
  <c r="B81" i="12" s="1"/>
  <c r="N33" i="12"/>
  <c r="M33" i="12"/>
  <c r="L33" i="12"/>
  <c r="L50" i="12" s="1"/>
  <c r="L80" i="12" s="1"/>
  <c r="F61" i="11" s="1"/>
  <c r="K33" i="12"/>
  <c r="K50" i="12" s="1"/>
  <c r="K80" i="12" s="1"/>
  <c r="J33" i="12"/>
  <c r="J50" i="12" s="1"/>
  <c r="J80" i="12" s="1"/>
  <c r="D61" i="11" s="1"/>
  <c r="I33" i="12"/>
  <c r="I43" i="12" s="1"/>
  <c r="H33" i="12"/>
  <c r="H50" i="12" s="1"/>
  <c r="H80" i="12" s="1"/>
  <c r="G33" i="12"/>
  <c r="G50" i="12" s="1"/>
  <c r="G80" i="12" s="1"/>
  <c r="F33" i="12"/>
  <c r="F50" i="12" s="1"/>
  <c r="F80" i="12" s="1"/>
  <c r="E33" i="12"/>
  <c r="E50" i="12" s="1"/>
  <c r="E80" i="12" s="1"/>
  <c r="D33" i="12"/>
  <c r="D50" i="12" s="1"/>
  <c r="D80" i="12" s="1"/>
  <c r="C33" i="12"/>
  <c r="C50" i="12" s="1"/>
  <c r="C80" i="12" s="1"/>
  <c r="B33" i="12"/>
  <c r="B50" i="12" s="1"/>
  <c r="B80" i="12" s="1"/>
  <c r="N32" i="12"/>
  <c r="N49" i="12" s="1"/>
  <c r="N79" i="12" s="1"/>
  <c r="M32" i="12"/>
  <c r="L32" i="12"/>
  <c r="L49" i="12" s="1"/>
  <c r="L79" i="12" s="1"/>
  <c r="F47" i="11" s="1"/>
  <c r="K32" i="12"/>
  <c r="K49" i="12" s="1"/>
  <c r="K79" i="12" s="1"/>
  <c r="E47" i="11" s="1"/>
  <c r="J32" i="12"/>
  <c r="J49" i="12" s="1"/>
  <c r="J79" i="12" s="1"/>
  <c r="D47" i="11" s="1"/>
  <c r="I32" i="12"/>
  <c r="I49" i="12" s="1"/>
  <c r="I79" i="12" s="1"/>
  <c r="C47" i="11" s="1"/>
  <c r="H32" i="12"/>
  <c r="H49" i="12" s="1"/>
  <c r="H79" i="12" s="1"/>
  <c r="G32" i="12"/>
  <c r="G49" i="12" s="1"/>
  <c r="G79" i="12" s="1"/>
  <c r="F32" i="12"/>
  <c r="E32" i="12"/>
  <c r="E49" i="12" s="1"/>
  <c r="E79" i="12" s="1"/>
  <c r="D32" i="12"/>
  <c r="D49" i="12" s="1"/>
  <c r="D79" i="12" s="1"/>
  <c r="C32" i="12"/>
  <c r="B32" i="12"/>
  <c r="B49" i="12" s="1"/>
  <c r="B79" i="12" s="1"/>
  <c r="N31" i="12"/>
  <c r="N48" i="12" s="1"/>
  <c r="N78" i="12" s="1"/>
  <c r="M31" i="12"/>
  <c r="L31" i="12"/>
  <c r="K31" i="12"/>
  <c r="J31" i="12"/>
  <c r="J48" i="12" s="1"/>
  <c r="I31" i="12"/>
  <c r="I48" i="12" s="1"/>
  <c r="I78" i="12" s="1"/>
  <c r="C33" i="11" s="1"/>
  <c r="H31" i="12"/>
  <c r="G31" i="12"/>
  <c r="G43" i="12" s="1"/>
  <c r="F31" i="12"/>
  <c r="F43" i="12" s="1"/>
  <c r="E31" i="12"/>
  <c r="E48" i="12" s="1"/>
  <c r="D31" i="12"/>
  <c r="C31" i="12"/>
  <c r="C43" i="12" s="1"/>
  <c r="B31" i="12"/>
  <c r="B43" i="12" s="1"/>
  <c r="M27" i="12"/>
  <c r="L27" i="12"/>
  <c r="K27" i="12"/>
  <c r="H27" i="12"/>
  <c r="G27" i="12"/>
  <c r="F27" i="12"/>
  <c r="D27" i="12"/>
  <c r="C27" i="12"/>
  <c r="B27" i="12"/>
  <c r="N25" i="12"/>
  <c r="N27" i="12" s="1"/>
  <c r="M25" i="12"/>
  <c r="L25" i="12"/>
  <c r="K25" i="12"/>
  <c r="J25" i="12"/>
  <c r="J27" i="12" s="1"/>
  <c r="I25" i="12"/>
  <c r="I27" i="12" s="1"/>
  <c r="H25" i="12"/>
  <c r="G25" i="12"/>
  <c r="F25" i="12"/>
  <c r="E25" i="12"/>
  <c r="E27" i="12" s="1"/>
  <c r="D25" i="12"/>
  <c r="C25" i="12"/>
  <c r="B25" i="12"/>
  <c r="H42" i="11" l="1"/>
  <c r="H43" i="11" s="1"/>
  <c r="H39" i="11"/>
  <c r="H37" i="11"/>
  <c r="H35" i="11"/>
  <c r="H41" i="11"/>
  <c r="H19" i="11"/>
  <c r="G189" i="11"/>
  <c r="G193" i="11"/>
  <c r="G195" i="11"/>
  <c r="H53" i="11"/>
  <c r="H49" i="11"/>
  <c r="H51" i="11"/>
  <c r="H165" i="11"/>
  <c r="H167" i="11"/>
  <c r="F191" i="11"/>
  <c r="F193" i="11"/>
  <c r="F195" i="11"/>
  <c r="F189" i="11"/>
  <c r="F196" i="11"/>
  <c r="F197" i="11" s="1"/>
  <c r="H65" i="11"/>
  <c r="H63" i="11"/>
  <c r="H67" i="11"/>
  <c r="H69" i="11"/>
  <c r="H70" i="11"/>
  <c r="H71" i="11" s="1"/>
  <c r="G165" i="11"/>
  <c r="G167" i="11"/>
  <c r="E139" i="11"/>
  <c r="E140" i="11"/>
  <c r="E141" i="11" s="1"/>
  <c r="G65" i="11"/>
  <c r="G63" i="11"/>
  <c r="G70" i="11"/>
  <c r="G71" i="11" s="1"/>
  <c r="G67" i="11"/>
  <c r="G69" i="11"/>
  <c r="E161" i="11"/>
  <c r="E167" i="11"/>
  <c r="E168" i="11"/>
  <c r="E169" i="11" s="1"/>
  <c r="E97" i="11"/>
  <c r="E98" i="11"/>
  <c r="E99" i="11" s="1"/>
  <c r="F137" i="11"/>
  <c r="F139" i="11"/>
  <c r="F135" i="11"/>
  <c r="F140" i="11"/>
  <c r="F141" i="11" s="1"/>
  <c r="F133" i="11"/>
  <c r="G175" i="11"/>
  <c r="G181" i="11"/>
  <c r="F81" i="11"/>
  <c r="F79" i="11"/>
  <c r="F84" i="11"/>
  <c r="F85" i="11" s="1"/>
  <c r="F83" i="11"/>
  <c r="F77" i="11"/>
  <c r="H151" i="11"/>
  <c r="H153" i="11"/>
  <c r="G51" i="11"/>
  <c r="G49" i="11"/>
  <c r="G53" i="11"/>
  <c r="G151" i="11"/>
  <c r="G153" i="11"/>
  <c r="F53" i="11"/>
  <c r="F51" i="11"/>
  <c r="F49" i="11"/>
  <c r="F121" i="11"/>
  <c r="F119" i="11"/>
  <c r="F123" i="11"/>
  <c r="F126" i="11"/>
  <c r="F127" i="11" s="1"/>
  <c r="F125" i="11"/>
  <c r="F153" i="11"/>
  <c r="F151" i="11"/>
  <c r="E195" i="11"/>
  <c r="E196" i="11"/>
  <c r="E197" i="11" s="1"/>
  <c r="E125" i="11"/>
  <c r="E126" i="11"/>
  <c r="E127" i="11" s="1"/>
  <c r="E70" i="11"/>
  <c r="E71" i="11" s="1"/>
  <c r="E69" i="11"/>
  <c r="E111" i="11"/>
  <c r="E112" i="11"/>
  <c r="E113" i="11" s="1"/>
  <c r="H81" i="11"/>
  <c r="H79" i="11"/>
  <c r="H83" i="11"/>
  <c r="H77" i="11"/>
  <c r="H84" i="11"/>
  <c r="H85" i="11" s="1"/>
  <c r="G121" i="11"/>
  <c r="G125" i="11"/>
  <c r="G119" i="11"/>
  <c r="G126" i="11"/>
  <c r="G127" i="11" s="1"/>
  <c r="G123" i="11"/>
  <c r="H135" i="11"/>
  <c r="H137" i="11"/>
  <c r="H139" i="11"/>
  <c r="H140" i="11"/>
  <c r="H141" i="11" s="1"/>
  <c r="H133" i="11"/>
  <c r="F95" i="11"/>
  <c r="F93" i="11"/>
  <c r="F98" i="11"/>
  <c r="F99" i="11" s="1"/>
  <c r="F97" i="11"/>
  <c r="F91" i="11"/>
  <c r="G95" i="11"/>
  <c r="G93" i="11"/>
  <c r="G97" i="11"/>
  <c r="G98" i="11"/>
  <c r="G99" i="11" s="1"/>
  <c r="G91" i="11"/>
  <c r="G139" i="11"/>
  <c r="G135" i="11"/>
  <c r="G137" i="11"/>
  <c r="G140" i="11"/>
  <c r="G141" i="11" s="1"/>
  <c r="G133" i="11"/>
  <c r="G111" i="11"/>
  <c r="G107" i="11"/>
  <c r="G109" i="11"/>
  <c r="G112" i="11"/>
  <c r="G113" i="11" s="1"/>
  <c r="G105" i="11"/>
  <c r="G79" i="11"/>
  <c r="G81" i="11"/>
  <c r="G77" i="11"/>
  <c r="G83" i="11"/>
  <c r="G84" i="11"/>
  <c r="G85" i="11" s="1"/>
  <c r="H123" i="11"/>
  <c r="H121" i="11"/>
  <c r="H126" i="11"/>
  <c r="H127" i="11" s="1"/>
  <c r="H119" i="11"/>
  <c r="H125" i="11"/>
  <c r="E153" i="11"/>
  <c r="F165" i="11"/>
  <c r="F167" i="11"/>
  <c r="F111" i="11"/>
  <c r="F107" i="11"/>
  <c r="F109" i="11"/>
  <c r="F112" i="11"/>
  <c r="F113" i="11" s="1"/>
  <c r="F105" i="11"/>
  <c r="H95" i="11"/>
  <c r="H93" i="11"/>
  <c r="H97" i="11"/>
  <c r="H98" i="11"/>
  <c r="H99" i="11" s="1"/>
  <c r="H91" i="11"/>
  <c r="H177" i="11"/>
  <c r="H182" i="11"/>
  <c r="H183" i="11" s="1"/>
  <c r="H175" i="11"/>
  <c r="H181" i="11"/>
  <c r="E83" i="11"/>
  <c r="E84" i="11"/>
  <c r="E85" i="11" s="1"/>
  <c r="H111" i="11"/>
  <c r="H109" i="11"/>
  <c r="H107" i="11"/>
  <c r="H105" i="11"/>
  <c r="H112" i="11"/>
  <c r="H113" i="11" s="1"/>
  <c r="F177" i="11"/>
  <c r="F182" i="11"/>
  <c r="F183" i="11" s="1"/>
  <c r="F181" i="11"/>
  <c r="F175" i="11"/>
  <c r="F65" i="11"/>
  <c r="F63" i="11"/>
  <c r="F67" i="11"/>
  <c r="F70" i="11"/>
  <c r="F71" i="11" s="1"/>
  <c r="F69" i="11"/>
  <c r="E175" i="11"/>
  <c r="E182" i="11"/>
  <c r="E183" i="11" s="1"/>
  <c r="E181" i="11"/>
  <c r="H191" i="11"/>
  <c r="H189" i="11"/>
  <c r="H193" i="11"/>
  <c r="H196" i="11"/>
  <c r="H197" i="11" s="1"/>
  <c r="H195" i="11"/>
  <c r="C19" i="11"/>
  <c r="C105" i="11"/>
  <c r="C112" i="11"/>
  <c r="C113" i="11" s="1"/>
  <c r="D121" i="11"/>
  <c r="D123" i="11"/>
  <c r="D119" i="11"/>
  <c r="D126" i="11"/>
  <c r="D127" i="11" s="1"/>
  <c r="D125" i="11"/>
  <c r="D109" i="11"/>
  <c r="D105" i="11"/>
  <c r="D112" i="11"/>
  <c r="D113" i="11" s="1"/>
  <c r="E119" i="11"/>
  <c r="E121" i="11"/>
  <c r="E123" i="11"/>
  <c r="E109" i="11"/>
  <c r="E105" i="11"/>
  <c r="E107" i="11"/>
  <c r="C111" i="11"/>
  <c r="D111" i="11"/>
  <c r="C107" i="11"/>
  <c r="D107" i="11"/>
  <c r="C123" i="11"/>
  <c r="C109" i="11"/>
  <c r="C119" i="11"/>
  <c r="C126" i="11"/>
  <c r="C127" i="11" s="1"/>
  <c r="C125" i="11"/>
  <c r="B44" i="12"/>
  <c r="E60" i="12"/>
  <c r="E78" i="12"/>
  <c r="C44" i="12"/>
  <c r="I61" i="12"/>
  <c r="I44" i="12"/>
  <c r="E61" i="12"/>
  <c r="E44" i="12"/>
  <c r="K60" i="12"/>
  <c r="K78" i="12"/>
  <c r="H43" i="12"/>
  <c r="J43" i="12"/>
  <c r="N43" i="12"/>
  <c r="J78" i="12"/>
  <c r="L78" i="12"/>
  <c r="F33" i="11" s="1"/>
  <c r="K43" i="12"/>
  <c r="L43" i="12"/>
  <c r="M43" i="12"/>
  <c r="F44" i="12"/>
  <c r="C58" i="12"/>
  <c r="E56" i="12"/>
  <c r="G58" i="12"/>
  <c r="G60" i="12" s="1"/>
  <c r="G61" i="12" s="1"/>
  <c r="I60" i="12"/>
  <c r="G78" i="12"/>
  <c r="G44" i="12"/>
  <c r="B48" i="12"/>
  <c r="J56" i="12"/>
  <c r="J60" i="12" s="1"/>
  <c r="L58" i="12"/>
  <c r="L60" i="12" s="1"/>
  <c r="C48" i="12"/>
  <c r="M58" i="12"/>
  <c r="D43" i="12"/>
  <c r="D48" i="12"/>
  <c r="N58" i="12"/>
  <c r="N60" i="12" s="1"/>
  <c r="F48" i="12"/>
  <c r="H48" i="12"/>
  <c r="M48" i="12"/>
  <c r="H4" i="11" l="1"/>
  <c r="H23" i="11"/>
  <c r="H21" i="11"/>
  <c r="H27" i="11"/>
  <c r="F37" i="11"/>
  <c r="F41" i="11"/>
  <c r="F19" i="11"/>
  <c r="F42" i="11"/>
  <c r="F43" i="11" s="1"/>
  <c r="F35" i="11"/>
  <c r="F39" i="11"/>
  <c r="D33" i="11"/>
  <c r="D19" i="11" s="1"/>
  <c r="E33" i="11"/>
  <c r="C78" i="12"/>
  <c r="C60" i="12"/>
  <c r="C61" i="12" s="1"/>
  <c r="B78" i="12"/>
  <c r="B60" i="12"/>
  <c r="B61" i="12" s="1"/>
  <c r="M44" i="12"/>
  <c r="L61" i="12"/>
  <c r="L44" i="12"/>
  <c r="N61" i="12"/>
  <c r="N44" i="12"/>
  <c r="K61" i="12"/>
  <c r="K44" i="12"/>
  <c r="M60" i="12"/>
  <c r="M61" i="12" s="1"/>
  <c r="M78" i="12"/>
  <c r="H60" i="12"/>
  <c r="H78" i="12"/>
  <c r="F60" i="12"/>
  <c r="F61" i="12" s="1"/>
  <c r="F78" i="12"/>
  <c r="D60" i="12"/>
  <c r="D78" i="12"/>
  <c r="J44" i="12"/>
  <c r="J61" i="12"/>
  <c r="D61" i="12"/>
  <c r="D44" i="12"/>
  <c r="H61" i="12"/>
  <c r="H44" i="12"/>
  <c r="D168" i="11"/>
  <c r="C168" i="11"/>
  <c r="N35" i="2"/>
  <c r="G160" i="11" s="1"/>
  <c r="O35" i="2"/>
  <c r="H160" i="11" s="1"/>
  <c r="M35" i="2"/>
  <c r="F160" i="11" s="1"/>
  <c r="O31" i="2"/>
  <c r="N31" i="2"/>
  <c r="M31" i="2"/>
  <c r="F161" i="11" l="1"/>
  <c r="H161" i="11"/>
  <c r="G161" i="11"/>
  <c r="E35" i="11"/>
  <c r="E19" i="11"/>
  <c r="E4" i="11" s="1"/>
  <c r="E15" i="11" s="1"/>
  <c r="E37" i="11"/>
  <c r="D25" i="11"/>
  <c r="D27" i="11"/>
  <c r="D23" i="11"/>
  <c r="D28" i="11"/>
  <c r="D29" i="11" s="1"/>
  <c r="D21" i="11"/>
  <c r="F23" i="11"/>
  <c r="F4" i="11"/>
  <c r="F15" i="11" s="1"/>
  <c r="F27" i="11"/>
  <c r="F21" i="11"/>
  <c r="H12" i="11"/>
  <c r="G33" i="11"/>
  <c r="O34" i="2"/>
  <c r="N34" i="2"/>
  <c r="M34" i="2"/>
  <c r="F162" i="11" s="1"/>
  <c r="F163" i="11" s="1"/>
  <c r="C189" i="11"/>
  <c r="D189" i="11"/>
  <c r="D191" i="11"/>
  <c r="C193" i="11"/>
  <c r="D193" i="11"/>
  <c r="C195" i="11"/>
  <c r="D195" i="11"/>
  <c r="C196" i="11"/>
  <c r="C197" i="11" s="1"/>
  <c r="D196" i="11"/>
  <c r="D197" i="11" s="1"/>
  <c r="C175" i="11"/>
  <c r="C177" i="11"/>
  <c r="D177" i="11"/>
  <c r="C179" i="11"/>
  <c r="D179" i="11"/>
  <c r="C181" i="11"/>
  <c r="D181" i="11"/>
  <c r="C182" i="11"/>
  <c r="C183" i="11" s="1"/>
  <c r="D182" i="11"/>
  <c r="D183" i="11" s="1"/>
  <c r="C161" i="11"/>
  <c r="C163" i="11"/>
  <c r="D163" i="11"/>
  <c r="C165" i="11"/>
  <c r="D165" i="11"/>
  <c r="C167" i="11"/>
  <c r="D167" i="11"/>
  <c r="C169" i="11"/>
  <c r="D169" i="11"/>
  <c r="C151" i="11"/>
  <c r="D151" i="11"/>
  <c r="C153" i="11"/>
  <c r="D153" i="11"/>
  <c r="C91" i="11"/>
  <c r="D91" i="11"/>
  <c r="C93" i="11"/>
  <c r="D93" i="11"/>
  <c r="C95" i="11"/>
  <c r="D95" i="11"/>
  <c r="C97" i="11"/>
  <c r="D97" i="11"/>
  <c r="C98" i="11"/>
  <c r="C99" i="11" s="1"/>
  <c r="D98" i="11"/>
  <c r="D99" i="11" s="1"/>
  <c r="C133" i="11"/>
  <c r="D133" i="11"/>
  <c r="C135" i="11"/>
  <c r="D135" i="11"/>
  <c r="C137" i="11"/>
  <c r="D137" i="11"/>
  <c r="C139" i="11"/>
  <c r="D139" i="11"/>
  <c r="C140" i="11"/>
  <c r="C141" i="11" s="1"/>
  <c r="D140" i="11"/>
  <c r="D141" i="11" s="1"/>
  <c r="C42" i="11"/>
  <c r="C43" i="11" s="1"/>
  <c r="D42" i="11"/>
  <c r="D43" i="11" s="1"/>
  <c r="C56" i="11"/>
  <c r="C57" i="11" s="1"/>
  <c r="D56" i="11"/>
  <c r="D57" i="11" s="1"/>
  <c r="C70" i="11"/>
  <c r="C71" i="11" s="1"/>
  <c r="D70" i="11"/>
  <c r="D71" i="11" s="1"/>
  <c r="C84" i="11"/>
  <c r="C85" i="11" s="1"/>
  <c r="D84" i="11"/>
  <c r="D85" i="11" s="1"/>
  <c r="C83" i="11"/>
  <c r="D83" i="11"/>
  <c r="C81" i="11"/>
  <c r="D81" i="11"/>
  <c r="C79" i="11"/>
  <c r="D79" i="11"/>
  <c r="C77" i="11"/>
  <c r="D77" i="11"/>
  <c r="C69" i="11"/>
  <c r="D69" i="11"/>
  <c r="C67" i="11"/>
  <c r="D67" i="11"/>
  <c r="C65" i="11"/>
  <c r="D65" i="11"/>
  <c r="C63" i="11"/>
  <c r="D63" i="11"/>
  <c r="C55" i="11"/>
  <c r="D55" i="11"/>
  <c r="C53" i="11"/>
  <c r="D53" i="11"/>
  <c r="C51" i="11"/>
  <c r="D51" i="11"/>
  <c r="C49" i="11"/>
  <c r="D49" i="11"/>
  <c r="C41" i="11"/>
  <c r="D41" i="11"/>
  <c r="C39" i="11"/>
  <c r="D39" i="11"/>
  <c r="C37" i="11"/>
  <c r="D37" i="11"/>
  <c r="C35" i="11"/>
  <c r="D35" i="11"/>
  <c r="C4" i="11"/>
  <c r="C15" i="11" s="1"/>
  <c r="C20" i="11"/>
  <c r="C22" i="11"/>
  <c r="C24" i="11"/>
  <c r="C9" i="11" s="1"/>
  <c r="D9" i="11"/>
  <c r="C26" i="11"/>
  <c r="C11" i="11" s="1"/>
  <c r="D11" i="1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3" i="1"/>
  <c r="G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H2" i="1"/>
  <c r="G2" i="1"/>
  <c r="F2" i="1"/>
  <c r="E2" i="1"/>
  <c r="D2" i="1"/>
  <c r="C2" i="1"/>
  <c r="F24" i="11"/>
  <c r="G24" i="11"/>
  <c r="H24" i="11"/>
  <c r="E24" i="11"/>
  <c r="H15" i="11"/>
  <c r="E95" i="11"/>
  <c r="E93" i="11"/>
  <c r="E91" i="11"/>
  <c r="E137" i="11"/>
  <c r="E135" i="11"/>
  <c r="E133" i="11"/>
  <c r="E81" i="11"/>
  <c r="E79" i="11"/>
  <c r="E77" i="11"/>
  <c r="E67" i="11"/>
  <c r="E65" i="11"/>
  <c r="E63" i="11"/>
  <c r="H56" i="11"/>
  <c r="H57" i="11" s="1"/>
  <c r="G56" i="11"/>
  <c r="G57" i="11" s="1"/>
  <c r="F56" i="11"/>
  <c r="F57" i="11" s="1"/>
  <c r="E56" i="11"/>
  <c r="E57" i="11" s="1"/>
  <c r="H55" i="11"/>
  <c r="G55" i="11"/>
  <c r="F55" i="11"/>
  <c r="E55" i="11"/>
  <c r="E53" i="11"/>
  <c r="E51" i="11"/>
  <c r="E49" i="11"/>
  <c r="E42" i="11"/>
  <c r="E43" i="11" s="1"/>
  <c r="E41" i="11"/>
  <c r="E39" i="11"/>
  <c r="E193" i="11"/>
  <c r="E191" i="11"/>
  <c r="E189" i="11"/>
  <c r="H179" i="11"/>
  <c r="G179" i="11"/>
  <c r="F179" i="11"/>
  <c r="E179" i="11"/>
  <c r="E177" i="11"/>
  <c r="E165" i="11"/>
  <c r="E163" i="11"/>
  <c r="E151" i="11"/>
  <c r="E28" i="11" l="1"/>
  <c r="E29" i="11" s="1"/>
  <c r="F168" i="11"/>
  <c r="F169" i="11" s="1"/>
  <c r="F12" i="11"/>
  <c r="G39" i="11"/>
  <c r="G41" i="11"/>
  <c r="G37" i="11"/>
  <c r="G19" i="11"/>
  <c r="G25" i="11" s="1"/>
  <c r="G35" i="11"/>
  <c r="G42" i="11"/>
  <c r="G43" i="11" s="1"/>
  <c r="E23" i="11"/>
  <c r="E21" i="11"/>
  <c r="F25" i="11"/>
  <c r="F28" i="11"/>
  <c r="F29" i="11" s="1"/>
  <c r="H25" i="11"/>
  <c r="H28" i="11"/>
  <c r="H29" i="11" s="1"/>
  <c r="E9" i="11"/>
  <c r="E10" i="11" s="1"/>
  <c r="E25" i="11"/>
  <c r="G9" i="11"/>
  <c r="F9" i="11"/>
  <c r="F10" i="11" s="1"/>
  <c r="E12" i="11"/>
  <c r="E27" i="11"/>
  <c r="D63" i="1"/>
  <c r="D146" i="11" s="1"/>
  <c r="D147" i="11" s="1"/>
  <c r="C59" i="1"/>
  <c r="D59" i="1"/>
  <c r="D62" i="1" s="1"/>
  <c r="D148" i="11" s="1"/>
  <c r="D149" i="11" s="1"/>
  <c r="C63" i="1"/>
  <c r="C146" i="11" s="1"/>
  <c r="C147" i="11" s="1"/>
  <c r="G63" i="1"/>
  <c r="G146" i="11" s="1"/>
  <c r="H162" i="11"/>
  <c r="G162" i="11"/>
  <c r="C23" i="11"/>
  <c r="C21" i="11"/>
  <c r="D4" i="11"/>
  <c r="D12" i="11" s="1"/>
  <c r="C27" i="11"/>
  <c r="C28" i="11"/>
  <c r="C29" i="11" s="1"/>
  <c r="C25" i="11"/>
  <c r="C12" i="11"/>
  <c r="C10" i="11"/>
  <c r="H9" i="11"/>
  <c r="H10" i="11" s="1"/>
  <c r="H63" i="1"/>
  <c r="H146" i="11" s="1"/>
  <c r="G59" i="1"/>
  <c r="C5" i="11" l="1"/>
  <c r="C6" i="11" s="1"/>
  <c r="G163" i="11"/>
  <c r="G168" i="11"/>
  <c r="G169" i="11" s="1"/>
  <c r="H163" i="11"/>
  <c r="H168" i="11"/>
  <c r="H169" i="11" s="1"/>
  <c r="H5" i="11"/>
  <c r="H6" i="11" s="1"/>
  <c r="H147" i="11"/>
  <c r="G5" i="11"/>
  <c r="G147" i="11"/>
  <c r="G62" i="1"/>
  <c r="G148" i="11" s="1"/>
  <c r="G23" i="11"/>
  <c r="G4" i="11"/>
  <c r="G10" i="11" s="1"/>
  <c r="G27" i="11"/>
  <c r="G21" i="11"/>
  <c r="G28" i="11"/>
  <c r="G29" i="11" s="1"/>
  <c r="D5" i="11"/>
  <c r="D6" i="11" s="1"/>
  <c r="C62" i="1"/>
  <c r="C148" i="11" s="1"/>
  <c r="D154" i="11"/>
  <c r="D155" i="11" s="1"/>
  <c r="D7" i="11"/>
  <c r="D8" i="11" s="1"/>
  <c r="D10" i="11"/>
  <c r="D15" i="11"/>
  <c r="H59" i="1"/>
  <c r="H62" i="1" s="1"/>
  <c r="H148" i="11" s="1"/>
  <c r="G149" i="11" l="1"/>
  <c r="H7" i="11"/>
  <c r="H8" i="11" s="1"/>
  <c r="H149" i="11"/>
  <c r="G154" i="11"/>
  <c r="G155" i="11" s="1"/>
  <c r="H154" i="11"/>
  <c r="H155" i="11" s="1"/>
  <c r="G15" i="11"/>
  <c r="G12" i="11"/>
  <c r="G6" i="11"/>
  <c r="D13" i="11"/>
  <c r="D14" i="11" s="1"/>
  <c r="C7" i="11"/>
  <c r="C154" i="11"/>
  <c r="C155" i="11" s="1"/>
  <c r="C149" i="11"/>
  <c r="H13" i="11" l="1"/>
  <c r="H14" i="11" s="1"/>
  <c r="C8" i="11"/>
  <c r="C13" i="11"/>
  <c r="C14" i="11" s="1"/>
  <c r="E59" i="1"/>
  <c r="F63" i="1"/>
  <c r="F146" i="11" s="1"/>
  <c r="E63" i="1"/>
  <c r="E146" i="11" s="1"/>
  <c r="F59" i="1"/>
  <c r="E5" i="11" l="1"/>
  <c r="F5" i="11"/>
  <c r="F6" i="11" s="1"/>
  <c r="F147" i="11"/>
  <c r="F62" i="1"/>
  <c r="F148" i="11" s="1"/>
  <c r="E62" i="1"/>
  <c r="E148" i="11" s="1"/>
  <c r="E7" i="11" s="1"/>
  <c r="F7" i="11" l="1"/>
  <c r="F8" i="11" s="1"/>
  <c r="F149" i="11"/>
  <c r="F154" i="11"/>
  <c r="F155" i="11" s="1"/>
  <c r="E154" i="11"/>
  <c r="E155" i="11" s="1"/>
  <c r="E149" i="11"/>
  <c r="E8" i="11"/>
  <c r="E6" i="11"/>
  <c r="E147" i="11"/>
  <c r="E13" i="11" l="1"/>
  <c r="E14" i="11" s="1"/>
  <c r="F13" i="11"/>
  <c r="F14" i="11" s="1"/>
  <c r="I17" i="4" l="1"/>
  <c r="I21" i="4" s="1"/>
  <c r="G190" i="11" s="1"/>
  <c r="E16" i="7"/>
  <c r="G191" i="11" l="1"/>
  <c r="G196" i="11"/>
  <c r="G197" i="11" s="1"/>
  <c r="I54" i="3"/>
  <c r="I56" i="3" s="1"/>
  <c r="G176" i="11" s="1"/>
  <c r="G177" i="11" l="1"/>
  <c r="G182" i="11"/>
  <c r="G183" i="11" s="1"/>
  <c r="G7" i="11"/>
  <c r="G8" i="11" s="1"/>
  <c r="G13" i="11" l="1"/>
  <c r="G14" i="11" s="1"/>
  <c r="Q82" i="12" l="1"/>
  <c r="K131" i="11" s="1"/>
  <c r="Q94" i="12"/>
  <c r="K139" i="11" l="1"/>
  <c r="K133" i="11"/>
  <c r="K19" i="11"/>
  <c r="K140" i="11"/>
  <c r="K141" i="11" s="1"/>
  <c r="K137" i="11"/>
  <c r="K135" i="11"/>
  <c r="K23" i="11" l="1"/>
  <c r="K28" i="11"/>
  <c r="K29" i="11" s="1"/>
  <c r="K25" i="11"/>
  <c r="K4" i="11"/>
  <c r="K27" i="11"/>
  <c r="K21" i="11"/>
  <c r="K10" i="11" l="1"/>
  <c r="K8" i="11"/>
  <c r="K13" i="11"/>
  <c r="K14" i="11" s="1"/>
  <c r="K6" i="11"/>
  <c r="K15" i="11"/>
  <c r="K1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דנה נמני</author>
  </authors>
  <commentList>
    <comment ref="I52" authorId="0" shapeId="0" xr:uid="{B23A6CCD-5B49-4BD9-8324-047C4E06D423}">
      <text>
        <r>
          <rPr>
            <b/>
            <sz val="9"/>
            <color indexed="81"/>
            <rFont val="Tahoma"/>
            <family val="2"/>
          </rPr>
          <t>דנה נמני:</t>
        </r>
        <r>
          <rPr>
            <sz val="9"/>
            <color indexed="81"/>
            <rFont val="Tahoma"/>
            <family val="2"/>
          </rPr>
          <t xml:space="preserve">
הערכה</t>
        </r>
      </text>
    </comment>
    <comment ref="J62" authorId="0" shapeId="0" xr:uid="{B6F163EB-7922-4C11-BE86-AE19D0430C0D}">
      <text>
        <r>
          <rPr>
            <b/>
            <sz val="9"/>
            <color indexed="81"/>
            <rFont val="Tahoma"/>
            <family val="2"/>
          </rPr>
          <t>דנה נמני:</t>
        </r>
        <r>
          <rPr>
            <sz val="9"/>
            <color indexed="81"/>
            <rFont val="Tahoma"/>
            <family val="2"/>
          </rPr>
          <t xml:space="preserve">
מיכל הזנפרץ יצאה לחלת</t>
        </r>
      </text>
    </comment>
    <comment ref="B130" authorId="0" shapeId="0" xr:uid="{90149470-F16A-445B-8254-96160658820B}">
      <text>
        <r>
          <rPr>
            <b/>
            <sz val="9"/>
            <color indexed="81"/>
            <rFont val="Tahoma"/>
            <family val="2"/>
          </rPr>
          <t>דנה נמני:</t>
        </r>
        <r>
          <rPr>
            <sz val="9"/>
            <color indexed="81"/>
            <rFont val="Tahoma"/>
            <family val="2"/>
          </rPr>
          <t xml:space="preserve">
כולל את צוות מנהלה, אופטלמולוגיה, מטה</t>
        </r>
      </text>
    </comment>
    <comment ref="J160" authorId="0" shapeId="0" xr:uid="{D81BD8B8-250D-46D6-9147-A5F3D2014118}">
      <text>
        <r>
          <rPr>
            <b/>
            <sz val="9"/>
            <color indexed="81"/>
            <rFont val="Tahoma"/>
            <family val="2"/>
          </rPr>
          <t>דנה נמני:</t>
        </r>
        <r>
          <rPr>
            <sz val="9"/>
            <color indexed="81"/>
            <rFont val="Tahoma"/>
            <family val="2"/>
          </rPr>
          <t xml:space="preserve">
בנטרול איתן ברנע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Ariel Goldfeld</author>
  </authors>
  <commentList>
    <comment ref="J9" authorId="0" shapeId="0" xr:uid="{AF7A6E5C-BC34-4DC5-B0AA-B7CBC045A6DB}">
      <text>
        <r>
          <rPr>
            <sz val="9"/>
            <color indexed="81"/>
            <rFont val="Tahoma"/>
            <family val="2"/>
          </rPr>
          <t>הופק תלוש שכולל רק שורת מילואים אחת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דנה נמני</author>
  </authors>
  <commentList>
    <comment ref="M11" authorId="0" shapeId="0" xr:uid="{5F45E8BF-D4F8-46DD-A841-6F68570A523B}">
      <text>
        <r>
          <rPr>
            <b/>
            <sz val="9"/>
            <color indexed="81"/>
            <rFont val="Tahoma"/>
            <family val="2"/>
          </rPr>
          <t>דנה נמני:</t>
        </r>
        <r>
          <rPr>
            <sz val="9"/>
            <color indexed="81"/>
            <rFont val="Tahoma"/>
            <family val="2"/>
          </rPr>
          <t xml:space="preserve">
בנטרול בונוס מיוחד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דנה נמני</author>
  </authors>
  <commentList>
    <comment ref="M2" authorId="0" shapeId="0" xr:uid="{F554351D-A174-4781-AF84-9A2663CC3D55}">
      <text>
        <r>
          <rPr>
            <b/>
            <sz val="9"/>
            <color indexed="81"/>
            <rFont val="Tahoma"/>
            <family val="2"/>
          </rPr>
          <t>דנה נמני:</t>
        </r>
        <r>
          <rPr>
            <sz val="9"/>
            <color indexed="81"/>
            <rFont val="Tahoma"/>
            <family val="2"/>
          </rPr>
          <t xml:space="preserve">
בנטרול בונוס מיוחד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D763A0D3-D89A-447E-9256-0F5BA10568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ההכנסות לפי דוח חשבוניות מהפרווט</t>
        </r>
      </text>
    </comment>
    <comment ref="B19" authorId="0" shapeId="0" xr:uid="{5648B290-6F7F-4B50-A9BF-E5E52AA7F5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ההכנסות לפי דוח חשבוניות מהפרווט</t>
        </r>
      </text>
    </comment>
  </commentList>
</comments>
</file>

<file path=xl/sharedStrings.xml><?xml version="1.0" encoding="utf-8"?>
<sst xmlns="http://schemas.openxmlformats.org/spreadsheetml/2006/main" count="3978" uniqueCount="986">
  <si>
    <t>שם העובד</t>
  </si>
  <si>
    <t>0002 - אריאלי שרון</t>
  </si>
  <si>
    <t>0004 - ארוגטי עירית</t>
  </si>
  <si>
    <t>0005 - הראל מיכל</t>
  </si>
  <si>
    <t>0007 - דבורקין אן</t>
  </si>
  <si>
    <t>0009 - פרידמן מיכל</t>
  </si>
  <si>
    <t>0010 - קובזב מרגריטה</t>
  </si>
  <si>
    <t>0011 - הראל טל</t>
  </si>
  <si>
    <t>0012 - בסיוני פאוזי</t>
  </si>
  <si>
    <t>0013 - פאר יונית</t>
  </si>
  <si>
    <t>0014 - אבידן קינג מלי</t>
  </si>
  <si>
    <t>0018 - מזרחי מעיין</t>
  </si>
  <si>
    <t>0025 - דקל מריה</t>
  </si>
  <si>
    <t>0026 - בודאי עומר</t>
  </si>
  <si>
    <t>0028 - בריל שלומית</t>
  </si>
  <si>
    <t>0029 - שגב נעה</t>
  </si>
  <si>
    <t>0034 - אור-נזרוב ילנה</t>
  </si>
  <si>
    <t>0038 - גלעדי כליל</t>
  </si>
  <si>
    <t>0041 - כהן נאוה</t>
  </si>
  <si>
    <t>0043 - שנרך שחף</t>
  </si>
  <si>
    <t>0044 - אופק סיוון</t>
  </si>
  <si>
    <t>0046 - שמואלוביץ מיטל</t>
  </si>
  <si>
    <t>0047 - זלינגר עמית</t>
  </si>
  <si>
    <t>0048 - שרוי מאי</t>
  </si>
  <si>
    <t>0051 - סלבין עדן</t>
  </si>
  <si>
    <t>0057 - אביבי נופר</t>
  </si>
  <si>
    <t>0058 - תומפסון ג'וסלין</t>
  </si>
  <si>
    <t>0060 - גלפנד אביגיל</t>
  </si>
  <si>
    <t>0061 - שדאד ג'ורג'</t>
  </si>
  <si>
    <t>0063 - זיני דניאל</t>
  </si>
  <si>
    <t>0064 - מימון-לידר דפנה</t>
  </si>
  <si>
    <t>0065 - גובר יריב</t>
  </si>
  <si>
    <t>0067 - עוזיאל עידן יעקב</t>
  </si>
  <si>
    <t>0069 - גרבשקוב וסיליסה</t>
  </si>
  <si>
    <t>0070 - חיריק אור</t>
  </si>
  <si>
    <t>0072 - גוטמן רחל לאה</t>
  </si>
  <si>
    <t>0074 - קוטליארוב ניקול</t>
  </si>
  <si>
    <t>0075 - רפאל שיר</t>
  </si>
  <si>
    <t>0076 - פלור רון</t>
  </si>
  <si>
    <t>0077 - טוקר ערד</t>
  </si>
  <si>
    <t>0078 - משעלי נעם</t>
  </si>
  <si>
    <t>0079 - צודיק דינה</t>
  </si>
  <si>
    <t>0080 - ספיבק מיכל</t>
  </si>
  <si>
    <t>0081 - חירש שיר</t>
  </si>
  <si>
    <t>0082 - אבו אסעד לינא</t>
  </si>
  <si>
    <t>0083 - שנר רותם</t>
  </si>
  <si>
    <t>0084 - דומב הדס</t>
  </si>
  <si>
    <t>0085 - קרלן שחר</t>
  </si>
  <si>
    <t>0086 - חזי נח קרין</t>
  </si>
  <si>
    <t>0087 - כוכב קרן</t>
  </si>
  <si>
    <t>0088 - מזרחי שקד</t>
  </si>
  <si>
    <t>0089 - פנקס עומר</t>
  </si>
  <si>
    <t>0090 - בן אברהם אור</t>
  </si>
  <si>
    <t>0091 - בודה נועה</t>
  </si>
  <si>
    <t>0092 - וולוביק רוזין</t>
  </si>
  <si>
    <t>אדלר נועה</t>
  </si>
  <si>
    <t>סה"כ</t>
  </si>
  <si>
    <t>אזולאי  אבישג</t>
  </si>
  <si>
    <t>אילוז  רוני</t>
  </si>
  <si>
    <t>אסרף  נופר מזל</t>
  </si>
  <si>
    <t>אשר  עומרי</t>
  </si>
  <si>
    <t>ביטון  אסתר</t>
  </si>
  <si>
    <t>ברנע  איתן</t>
  </si>
  <si>
    <t>גודימנקו  איריס</t>
  </si>
  <si>
    <t>גולוס צורים  עדי</t>
  </si>
  <si>
    <t>דלגדו  גבריאלה</t>
  </si>
  <si>
    <t>הלברטל  כרמל</t>
  </si>
  <si>
    <t>ווסלינג  קים</t>
  </si>
  <si>
    <t>כהן  ליאור</t>
  </si>
  <si>
    <t>לוין פדן  שני</t>
  </si>
  <si>
    <t>מולצ'נוב  ליאורה</t>
  </si>
  <si>
    <t>נחום  ספיר</t>
  </si>
  <si>
    <t>סבג  אלמוג</t>
  </si>
  <si>
    <t>סויפר  רועי</t>
  </si>
  <si>
    <t>סיונוב  אפרת ליאל</t>
  </si>
  <si>
    <t>פרסדנוב  מרי ילנה</t>
  </si>
  <si>
    <t>צור לוטן  מירב</t>
  </si>
  <si>
    <t>קורנבלוט  טל</t>
  </si>
  <si>
    <t>רבקין  גלית</t>
  </si>
  <si>
    <t>רנזין  אירינה</t>
  </si>
  <si>
    <t>שילה  מור</t>
  </si>
  <si>
    <t>תמם  שלי</t>
  </si>
  <si>
    <t>שם משפחה</t>
  </si>
  <si>
    <t>שם פרטי</t>
  </si>
  <si>
    <t>וקנין</t>
  </si>
  <si>
    <t>הלל</t>
  </si>
  <si>
    <t>פינקמן</t>
  </si>
  <si>
    <t>הדר</t>
  </si>
  <si>
    <t>באבי</t>
  </si>
  <si>
    <t>מאיה</t>
  </si>
  <si>
    <t>גור שחר</t>
  </si>
  <si>
    <t>נועה</t>
  </si>
  <si>
    <t>מאיר</t>
  </si>
  <si>
    <t>שנית</t>
  </si>
  <si>
    <t>אלון</t>
  </si>
  <si>
    <t>ליז</t>
  </si>
  <si>
    <t>בדולח</t>
  </si>
  <si>
    <t>נעה</t>
  </si>
  <si>
    <t>באסל</t>
  </si>
  <si>
    <t>חגאזי</t>
  </si>
  <si>
    <t>סימון</t>
  </si>
  <si>
    <t>אביגיל סלה</t>
  </si>
  <si>
    <t>מיכסיונוק</t>
  </si>
  <si>
    <t>ארינה</t>
  </si>
  <si>
    <t>חיים</t>
  </si>
  <si>
    <t>נתנאל</t>
  </si>
  <si>
    <t>שרבן</t>
  </si>
  <si>
    <t>אנקה</t>
  </si>
  <si>
    <t>עבד אלהאדי</t>
  </si>
  <si>
    <t>גיהאד</t>
  </si>
  <si>
    <t>מגנדף</t>
  </si>
  <si>
    <t>ולאא</t>
  </si>
  <si>
    <t>קסנביץ</t>
  </si>
  <si>
    <t>כריסטינה</t>
  </si>
  <si>
    <t>ביטון</t>
  </si>
  <si>
    <t>רוחמה</t>
  </si>
  <si>
    <t>אברמוביץ'</t>
  </si>
  <si>
    <t>ודים</t>
  </si>
  <si>
    <t>יוסף</t>
  </si>
  <si>
    <t>סאנדי</t>
  </si>
  <si>
    <t>שומר</t>
  </si>
  <si>
    <t>מלכה אהבה</t>
  </si>
  <si>
    <t>אבו ריא</t>
  </si>
  <si>
    <t>נדין</t>
  </si>
  <si>
    <t>ז'יטינסקי זאיצב</t>
  </si>
  <si>
    <t>ויקטוריה</t>
  </si>
  <si>
    <t>מוכעבל</t>
  </si>
  <si>
    <t>גוני</t>
  </si>
  <si>
    <t>חבה</t>
  </si>
  <si>
    <t>ערן</t>
  </si>
  <si>
    <t>וקנין קערו</t>
  </si>
  <si>
    <t>אדוה</t>
  </si>
  <si>
    <t>קנייב</t>
  </si>
  <si>
    <t>נטליה</t>
  </si>
  <si>
    <t>קוגל</t>
  </si>
  <si>
    <t>דיאנה</t>
  </si>
  <si>
    <t>פודי</t>
  </si>
  <si>
    <t>רהף</t>
  </si>
  <si>
    <t>יונס</t>
  </si>
  <si>
    <t>מוחמד</t>
  </si>
  <si>
    <t>זובידאת</t>
  </si>
  <si>
    <t>קפלוניק</t>
  </si>
  <si>
    <t>שי</t>
  </si>
  <si>
    <t>נסראוי</t>
  </si>
  <si>
    <t>הייא</t>
  </si>
  <si>
    <t>קאהאן</t>
  </si>
  <si>
    <t>אילת נגה</t>
  </si>
  <si>
    <t>אחרס</t>
  </si>
  <si>
    <t>סיואר</t>
  </si>
  <si>
    <t>שאהין</t>
  </si>
  <si>
    <t>נור</t>
  </si>
  <si>
    <t>אביטל ליבנה</t>
  </si>
  <si>
    <t>יוחאי</t>
  </si>
  <si>
    <t>וינשטין</t>
  </si>
  <si>
    <t>סקומורובסקי</t>
  </si>
  <si>
    <t>קיריל</t>
  </si>
  <si>
    <t>טאראסולה</t>
  </si>
  <si>
    <t>קטלר</t>
  </si>
  <si>
    <t>ניקולאס</t>
  </si>
  <si>
    <t>יפתח</t>
  </si>
  <si>
    <t>מירל מירלה</t>
  </si>
  <si>
    <t>רסקנסקי</t>
  </si>
  <si>
    <t>הילה הילי</t>
  </si>
  <si>
    <t>מולצנוב</t>
  </si>
  <si>
    <t>אנסטסיה</t>
  </si>
  <si>
    <t>טל</t>
  </si>
  <si>
    <t>סיון</t>
  </si>
  <si>
    <t>מח'ימר</t>
  </si>
  <si>
    <t>מונא</t>
  </si>
  <si>
    <t>ברנשטיין</t>
  </si>
  <si>
    <t>אביאל</t>
  </si>
  <si>
    <t>זולדן</t>
  </si>
  <si>
    <t>מעיין</t>
  </si>
  <si>
    <t>אסטרין</t>
  </si>
  <si>
    <t>מרינה</t>
  </si>
  <si>
    <t>רביבו</t>
  </si>
  <si>
    <t>שובל</t>
  </si>
  <si>
    <t>אלוש</t>
  </si>
  <si>
    <t>אופיר</t>
  </si>
  <si>
    <t>גרנות</t>
  </si>
  <si>
    <t>סתיו</t>
  </si>
  <si>
    <t>ירוזלמסקי</t>
  </si>
  <si>
    <t>יובל אודטה</t>
  </si>
  <si>
    <t>זיו</t>
  </si>
  <si>
    <t>ביבי</t>
  </si>
  <si>
    <t>כרמלה</t>
  </si>
  <si>
    <t>פרץ</t>
  </si>
  <si>
    <t>לוי</t>
  </si>
  <si>
    <t>נועם</t>
  </si>
  <si>
    <t>אגבאריה</t>
  </si>
  <si>
    <t>מגד</t>
  </si>
  <si>
    <t>חודש</t>
  </si>
  <si>
    <t>מחלקה</t>
  </si>
  <si>
    <t xml:space="preserve">עלות </t>
  </si>
  <si>
    <t>פיליפס</t>
  </si>
  <si>
    <t>ארית</t>
  </si>
  <si>
    <t>זברה ש.חירום וטרינריים</t>
  </si>
  <si>
    <t>נפתלי</t>
  </si>
  <si>
    <t>לישר חוה</t>
  </si>
  <si>
    <t>בנקירר רגב</t>
  </si>
  <si>
    <t>גורביץ</t>
  </si>
  <si>
    <t>בלה</t>
  </si>
  <si>
    <t>עובד סלע</t>
  </si>
  <si>
    <t>שרי</t>
  </si>
  <si>
    <t>כץ סמיט</t>
  </si>
  <si>
    <t>נעמה</t>
  </si>
  <si>
    <t>פוזנר</t>
  </si>
  <si>
    <t>דניאל</t>
  </si>
  <si>
    <t>רסקין רמניוק</t>
  </si>
  <si>
    <t>אודט</t>
  </si>
  <si>
    <t>דונאיביץ</t>
  </si>
  <si>
    <t>אסיה</t>
  </si>
  <si>
    <t>שמעוני</t>
  </si>
  <si>
    <t>מאי</t>
  </si>
  <si>
    <t>גליק</t>
  </si>
  <si>
    <t>שיר</t>
  </si>
  <si>
    <t>אריאלי</t>
  </si>
  <si>
    <t>דוידוביץ</t>
  </si>
  <si>
    <t>לירון</t>
  </si>
  <si>
    <t>הלון</t>
  </si>
  <si>
    <t>רימא</t>
  </si>
  <si>
    <t>ינאי</t>
  </si>
  <si>
    <t>מיכל</t>
  </si>
  <si>
    <t>כהן</t>
  </si>
  <si>
    <t>קרן בת ציון</t>
  </si>
  <si>
    <t>שפירא</t>
  </si>
  <si>
    <t>נדב</t>
  </si>
  <si>
    <t>בן נתן</t>
  </si>
  <si>
    <t>מלי</t>
  </si>
  <si>
    <t>גרוס וולק</t>
  </si>
  <si>
    <t>אוריאל</t>
  </si>
  <si>
    <t>לי</t>
  </si>
  <si>
    <t>עמרי רון</t>
  </si>
  <si>
    <t>אפרים</t>
  </si>
  <si>
    <t>ליהי</t>
  </si>
  <si>
    <t>מלכיאלי</t>
  </si>
  <si>
    <t>יובל</t>
  </si>
  <si>
    <t>חן</t>
  </si>
  <si>
    <t>סירוטה</t>
  </si>
  <si>
    <t>גאולה</t>
  </si>
  <si>
    <t>אבי</t>
  </si>
  <si>
    <t>צסקי</t>
  </si>
  <si>
    <t>בת אל</t>
  </si>
  <si>
    <t>רז שלמה</t>
  </si>
  <si>
    <t>שרון</t>
  </si>
  <si>
    <t>מיה</t>
  </si>
  <si>
    <t>נחמיאס</t>
  </si>
  <si>
    <t>אלונה</t>
  </si>
  <si>
    <t>חאסקיה</t>
  </si>
  <si>
    <t>מרח</t>
  </si>
  <si>
    <t>אחינעם</t>
  </si>
  <si>
    <t>גל</t>
  </si>
  <si>
    <t>בבא</t>
  </si>
  <si>
    <t>שבו</t>
  </si>
  <si>
    <t>משה</t>
  </si>
  <si>
    <t>שטיין</t>
  </si>
  <si>
    <t>לוי מנג'ם</t>
  </si>
  <si>
    <t>הדס</t>
  </si>
  <si>
    <t>קרסנר</t>
  </si>
  <si>
    <t>ניר</t>
  </si>
  <si>
    <t>רוזנבליט</t>
  </si>
  <si>
    <t>גיא</t>
  </si>
  <si>
    <t>מייבסקי</t>
  </si>
  <si>
    <t>ניקול</t>
  </si>
  <si>
    <t>וירטהיים</t>
  </si>
  <si>
    <t>אלירן</t>
  </si>
  <si>
    <t>נוי</t>
  </si>
  <si>
    <t>זלביץ</t>
  </si>
  <si>
    <t>עמית</t>
  </si>
  <si>
    <t>בן אליהו</t>
  </si>
  <si>
    <t>רויטל</t>
  </si>
  <si>
    <t>גולדמינץ</t>
  </si>
  <si>
    <t>שלי</t>
  </si>
  <si>
    <t>בר</t>
  </si>
  <si>
    <t>שטיינר</t>
  </si>
  <si>
    <t>דולי קלריס</t>
  </si>
  <si>
    <t>ספא</t>
  </si>
  <si>
    <t>וולאא</t>
  </si>
  <si>
    <t>אברהם</t>
  </si>
  <si>
    <t>עידן</t>
  </si>
  <si>
    <t>שיבולי</t>
  </si>
  <si>
    <t>נרי</t>
  </si>
  <si>
    <t>קפלן</t>
  </si>
  <si>
    <t>ליאור</t>
  </si>
  <si>
    <t>שוגר</t>
  </si>
  <si>
    <t>שהלה</t>
  </si>
  <si>
    <t>הילה</t>
  </si>
  <si>
    <t>קוקלנסקי</t>
  </si>
  <si>
    <t>הראל</t>
  </si>
  <si>
    <t>חמרה</t>
  </si>
  <si>
    <t>ברק מורן</t>
  </si>
  <si>
    <t>שני</t>
  </si>
  <si>
    <t>יונתן</t>
  </si>
  <si>
    <t>א.י כירורגיה ואורטופדיה</t>
  </si>
  <si>
    <t>סגל</t>
  </si>
  <si>
    <t>אורי</t>
  </si>
  <si>
    <t>קריספין</t>
  </si>
  <si>
    <t>רועי</t>
  </si>
  <si>
    <t>נחמה</t>
  </si>
  <si>
    <t>חרפק</t>
  </si>
  <si>
    <t>שחר</t>
  </si>
  <si>
    <t>זלוטניק</t>
  </si>
  <si>
    <t>אברהמי</t>
  </si>
  <si>
    <t>דנה</t>
  </si>
  <si>
    <t>נובק</t>
  </si>
  <si>
    <t>אברהמי פורן</t>
  </si>
  <si>
    <t>תום סימה</t>
  </si>
  <si>
    <t>אמיר</t>
  </si>
  <si>
    <t>גלרון</t>
  </si>
  <si>
    <t>עווידה</t>
  </si>
  <si>
    <t>אלאא</t>
  </si>
  <si>
    <t>ברדה</t>
  </si>
  <si>
    <t>מישל</t>
  </si>
  <si>
    <t>לחאם</t>
  </si>
  <si>
    <t>גואד</t>
  </si>
  <si>
    <t>לרון</t>
  </si>
  <si>
    <t>יעל</t>
  </si>
  <si>
    <t>אופנהיים</t>
  </si>
  <si>
    <t>שמעונוביץ</t>
  </si>
  <si>
    <t>קרן</t>
  </si>
  <si>
    <t>בכור</t>
  </si>
  <si>
    <t>וטנוירו</t>
  </si>
  <si>
    <t>שקד</t>
  </si>
  <si>
    <t>צילה</t>
  </si>
  <si>
    <t>שגב</t>
  </si>
  <si>
    <t>יסמין</t>
  </si>
  <si>
    <t>קטלן</t>
  </si>
  <si>
    <t>מורן</t>
  </si>
  <si>
    <t>אנגל</t>
  </si>
  <si>
    <t>אשרוב</t>
  </si>
  <si>
    <t>שחף</t>
  </si>
  <si>
    <t xml:space="preserve">פודלאס </t>
  </si>
  <si>
    <t xml:space="preserve">ליבי </t>
  </si>
  <si>
    <t>פאליק</t>
  </si>
  <si>
    <t>לואזו קמצ'ו</t>
  </si>
  <si>
    <t>טיפני</t>
  </si>
  <si>
    <t>סרוגו</t>
  </si>
  <si>
    <t>איתי</t>
  </si>
  <si>
    <t>ברנון</t>
  </si>
  <si>
    <t>לאמי קסוי</t>
  </si>
  <si>
    <t>ירדן</t>
  </si>
  <si>
    <t>עבד אל קאדר</t>
  </si>
  <si>
    <t>נדים</t>
  </si>
  <si>
    <t>בן חיים</t>
  </si>
  <si>
    <t>זפרני</t>
  </si>
  <si>
    <t>אשר</t>
  </si>
  <si>
    <t>פט.די.איי הדמיה</t>
  </si>
  <si>
    <t>פרלמן אברהמי</t>
  </si>
  <si>
    <t>ענת</t>
  </si>
  <si>
    <t>דרור</t>
  </si>
  <si>
    <t>ארז</t>
  </si>
  <si>
    <t>ליאת</t>
  </si>
  <si>
    <t>פלדמן</t>
  </si>
  <si>
    <t>זילברשץ</t>
  </si>
  <si>
    <t xml:space="preserve">קורנפלד </t>
  </si>
  <si>
    <t>שנון</t>
  </si>
  <si>
    <t xml:space="preserve">פלודה סער </t>
  </si>
  <si>
    <t>רתם</t>
  </si>
  <si>
    <t>רחמים</t>
  </si>
  <si>
    <t xml:space="preserve">טליה </t>
  </si>
  <si>
    <t>הברמן</t>
  </si>
  <si>
    <t>דפנה</t>
  </si>
  <si>
    <t>גליקשטרן</t>
  </si>
  <si>
    <t>זרטל</t>
  </si>
  <si>
    <t>הגר</t>
  </si>
  <si>
    <t>שמלה</t>
  </si>
  <si>
    <t>איזבל</t>
  </si>
  <si>
    <t>גולדרינג</t>
  </si>
  <si>
    <t xml:space="preserve">אורלי </t>
  </si>
  <si>
    <t>מרכז ווטרינרי החזקות</t>
  </si>
  <si>
    <t>מנדל</t>
  </si>
  <si>
    <t>סיגל</t>
  </si>
  <si>
    <t>וינרופ בר</t>
  </si>
  <si>
    <t>טפיארו</t>
  </si>
  <si>
    <t>רותם</t>
  </si>
  <si>
    <t>סלע</t>
  </si>
  <si>
    <t>צלויקו</t>
  </si>
  <si>
    <t>אוריאן</t>
  </si>
  <si>
    <t>מימון</t>
  </si>
  <si>
    <t>איילת שרון</t>
  </si>
  <si>
    <t>מזרחי</t>
  </si>
  <si>
    <t>דוברובסקי</t>
  </si>
  <si>
    <t>מליה</t>
  </si>
  <si>
    <t>יפית</t>
  </si>
  <si>
    <t>פמיני</t>
  </si>
  <si>
    <t>שירי</t>
  </si>
  <si>
    <t>בנאי</t>
  </si>
  <si>
    <t>חמדת</t>
  </si>
  <si>
    <t>צוק</t>
  </si>
  <si>
    <t>נטלי</t>
  </si>
  <si>
    <t>עאסי</t>
  </si>
  <si>
    <t>עופר</t>
  </si>
  <si>
    <t>עינבר</t>
  </si>
  <si>
    <t>אהד</t>
  </si>
  <si>
    <t>דן גיל</t>
  </si>
  <si>
    <t>איזנר</t>
  </si>
  <si>
    <t>גאנז</t>
  </si>
  <si>
    <t>זאב</t>
  </si>
  <si>
    <t>שילד</t>
  </si>
  <si>
    <t>מטה</t>
  </si>
  <si>
    <t>יוסילוביץ</t>
  </si>
  <si>
    <t>עירית</t>
  </si>
  <si>
    <t>דיקלה</t>
  </si>
  <si>
    <t>רחובות</t>
  </si>
  <si>
    <t>חיפה</t>
  </si>
  <si>
    <t>מוצקין</t>
  </si>
  <si>
    <t>תת-מחלקה 1: רופאים</t>
  </si>
  <si>
    <t>ליפשיץ</t>
  </si>
  <si>
    <t>דלאל</t>
  </si>
  <si>
    <t>כץ</t>
  </si>
  <si>
    <t>עומרי</t>
  </si>
  <si>
    <t>ניימן</t>
  </si>
  <si>
    <t>אביטל תמר</t>
  </si>
  <si>
    <t>הרשקוביץ</t>
  </si>
  <si>
    <t>זינדני</t>
  </si>
  <si>
    <t>מס</t>
  </si>
  <si>
    <t>ענבר</t>
  </si>
  <si>
    <t>קעדאן</t>
  </si>
  <si>
    <t>ריוא</t>
  </si>
  <si>
    <t>מונדרוס</t>
  </si>
  <si>
    <t>אלה</t>
  </si>
  <si>
    <t>דוד</t>
  </si>
  <si>
    <t>אנגלר</t>
  </si>
  <si>
    <t>לימור</t>
  </si>
  <si>
    <t>בר נתן</t>
  </si>
  <si>
    <t>עתאמנה</t>
  </si>
  <si>
    <t>ראיה</t>
  </si>
  <si>
    <t>ברגר</t>
  </si>
  <si>
    <t>אורטופדיה</t>
  </si>
  <si>
    <t>חירום</t>
  </si>
  <si>
    <t>תת-מחלקה 2: רופאים</t>
  </si>
  <si>
    <t>הזנפרץ</t>
  </si>
  <si>
    <t>נוירו</t>
  </si>
  <si>
    <t>הכנסות</t>
  </si>
  <si>
    <t>שכר רופאים</t>
  </si>
  <si>
    <t>שכר עובדים</t>
  </si>
  <si>
    <t>וטמרקט</t>
  </si>
  <si>
    <t>%</t>
  </si>
  <si>
    <t>אלסמד - בהדמיה - בעלים של מכשיר ה CT וה-MRI - קבלן משנה בהדמיה ?</t>
  </si>
  <si>
    <t>קבלני משנה - רופאים / ספקים</t>
  </si>
  <si>
    <t>עלות עובדים</t>
  </si>
  <si>
    <t>עלות רופאים</t>
  </si>
  <si>
    <t>באר שבע</t>
  </si>
  <si>
    <t>נוירולוגיה</t>
  </si>
  <si>
    <t>הדמיה</t>
  </si>
  <si>
    <t>כירורגיה</t>
  </si>
  <si>
    <t>כפר סבא אחר</t>
  </si>
  <si>
    <t>כפר סבא מסכם</t>
  </si>
  <si>
    <t>רשת - מסכם</t>
  </si>
  <si>
    <t>Reporting dimension 1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</si>
  <si>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</si>
  <si>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</si>
  <si>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</si>
  <si>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</si>
  <si>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</si>
  <si>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</si>
  <si>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</si>
  <si>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</si>
  <si>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</si>
  <si>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</si>
  <si>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</si>
  <si>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</si>
  <si>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</si>
  <si>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Neurology</t>
  </si>
  <si>
    <t>Surgery</t>
  </si>
  <si>
    <t>Imaging</t>
  </si>
  <si>
    <t>Oncology</t>
  </si>
  <si>
    <t>Cardiology</t>
  </si>
  <si>
    <t>Cardiology - Dan</t>
  </si>
  <si>
    <t>Ophthalmology</t>
  </si>
  <si>
    <t>Anesthesia</t>
  </si>
  <si>
    <t>Management</t>
  </si>
  <si>
    <t>Internal medicine</t>
  </si>
  <si>
    <t>Motzkin</t>
  </si>
  <si>
    <t>Emergency</t>
  </si>
  <si>
    <t>Veterinary Center Holdings, LTD</t>
  </si>
  <si>
    <t>Dermatology</t>
  </si>
  <si>
    <t>Physiotherapy</t>
  </si>
  <si>
    <t>Theriogenology</t>
  </si>
  <si>
    <t>Epilepsy</t>
  </si>
  <si>
    <t>Radiotherapy</t>
  </si>
  <si>
    <t>Cardiology - Dan 2</t>
  </si>
  <si>
    <t>Beer Sheva</t>
  </si>
  <si>
    <t>Haifa</t>
  </si>
  <si>
    <t>Rehovot</t>
  </si>
  <si>
    <t>Total</t>
  </si>
  <si>
    <t>Kefar Saba</t>
  </si>
  <si>
    <t>נתוני הכנסות בחלוקה אחרת</t>
  </si>
  <si>
    <t>אחר</t>
  </si>
  <si>
    <t>קרדיולוגיה</t>
  </si>
  <si>
    <t>אונקולוגיה</t>
  </si>
  <si>
    <t>הרדמה</t>
  </si>
  <si>
    <t>ב"ש</t>
  </si>
  <si>
    <t>בדיקה</t>
  </si>
  <si>
    <t>ללא מע"מ</t>
  </si>
  <si>
    <t>נתוני ICOUNT - ללא מע"מ</t>
  </si>
  <si>
    <t>סה"כ ICOUNT</t>
  </si>
  <si>
    <t>סיכום הכנסות לפי סניפים ומחלקות - ללא מע"מ</t>
  </si>
  <si>
    <t>מספר</t>
  </si>
  <si>
    <t>מספר עובד</t>
  </si>
  <si>
    <t/>
  </si>
  <si>
    <t>השפעת עלות תיקון 12.25</t>
  </si>
  <si>
    <t>עלות בניכוי השפעת תיקון</t>
  </si>
  <si>
    <t>רוהטן</t>
  </si>
  <si>
    <t>נופר</t>
  </si>
  <si>
    <t>דורן</t>
  </si>
  <si>
    <t>קרני</t>
  </si>
  <si>
    <t>אפרת</t>
  </si>
  <si>
    <t>מיתר</t>
  </si>
  <si>
    <t>חרס</t>
  </si>
  <si>
    <t>בן שושן</t>
  </si>
  <si>
    <t>שירה</t>
  </si>
  <si>
    <t>אלפנדרי</t>
  </si>
  <si>
    <t>עדי</t>
  </si>
  <si>
    <t>לוטן</t>
  </si>
  <si>
    <t>ניב</t>
  </si>
  <si>
    <t>מילר</t>
  </si>
  <si>
    <t>יותם</t>
  </si>
  <si>
    <t>אדרי</t>
  </si>
  <si>
    <t>לורי</t>
  </si>
  <si>
    <t>מנסור</t>
  </si>
  <si>
    <t>חלאווה</t>
  </si>
  <si>
    <t>רוזנברג</t>
  </si>
  <si>
    <t>עפרי</t>
  </si>
  <si>
    <t>יורקביץ</t>
  </si>
  <si>
    <t>רחל אמנו צפורה</t>
  </si>
  <si>
    <t>עראידה</t>
  </si>
  <si>
    <t>לבקוביץ</t>
  </si>
  <si>
    <t>נאטור</t>
  </si>
  <si>
    <t>זמיר</t>
  </si>
  <si>
    <t>פחימה</t>
  </si>
  <si>
    <t>עמית דניאל</t>
  </si>
  <si>
    <t>היימן קמחי</t>
  </si>
  <si>
    <t>ידיד אל</t>
  </si>
  <si>
    <t>שלמה</t>
  </si>
  <si>
    <t>בקשי</t>
  </si>
  <si>
    <t>דולב</t>
  </si>
  <si>
    <t>אלוורץ אריאס</t>
  </si>
  <si>
    <t>נטאלי</t>
  </si>
  <si>
    <t>מנור</t>
  </si>
  <si>
    <t>אלי</t>
  </si>
  <si>
    <t>לוטנברג</t>
  </si>
  <si>
    <t>עדן</t>
  </si>
  <si>
    <t>דיאב</t>
  </si>
  <si>
    <t>אימאן</t>
  </si>
  <si>
    <t>קרסיק</t>
  </si>
  <si>
    <t>שי שמחה</t>
  </si>
  <si>
    <t>גולדין</t>
  </si>
  <si>
    <t>אנדריי</t>
  </si>
  <si>
    <t>סולימאן</t>
  </si>
  <si>
    <t>יפא</t>
  </si>
  <si>
    <t>שניאור</t>
  </si>
  <si>
    <t>אביגיל</t>
  </si>
  <si>
    <t>נימקובסקי</t>
  </si>
  <si>
    <t>סמרה רובינסון</t>
  </si>
  <si>
    <t>יוליה</t>
  </si>
  <si>
    <t>שמש</t>
  </si>
  <si>
    <t>זוהר</t>
  </si>
  <si>
    <t>בחרליה</t>
  </si>
  <si>
    <t>צ'יסילביץ' פאר</t>
  </si>
  <si>
    <t>קים</t>
  </si>
  <si>
    <t>חגאג</t>
  </si>
  <si>
    <t>לוטם</t>
  </si>
  <si>
    <t>אשכנזי</t>
  </si>
  <si>
    <t>חננייב</t>
  </si>
  <si>
    <t>ליזה</t>
  </si>
  <si>
    <t>גיל עם</t>
  </si>
  <si>
    <t>אסף</t>
  </si>
  <si>
    <t>לא עזבה אלא שינתה שם לאשכנזי</t>
  </si>
  <si>
    <t>מנהלה</t>
  </si>
  <si>
    <t>חברה 4: מרכז וטרינרי החזקות בע"מ</t>
  </si>
  <si>
    <t>השוואת עלות לשנת 2025</t>
  </si>
  <si>
    <t>שם משתמש: מנהל מערכת</t>
  </si>
  <si>
    <t>הופק ע"י א.א יעוץ והנה"ח אביבית ב 05/10/2025 18:28:25</t>
  </si>
  <si>
    <t>באמצעות "שיקלולית חלונות" של ט.מ.ל. - מערכות מידע בע"מ</t>
  </si>
  <si>
    <t>פירוט רכיבי שכר: ראה נספח מצ"ב</t>
  </si>
  <si>
    <t>A</t>
  </si>
  <si>
    <t>B</t>
  </si>
  <si>
    <t>הפרש</t>
  </si>
  <si>
    <t>הסבר</t>
  </si>
  <si>
    <t>עלות</t>
  </si>
  <si>
    <t>עלות    %שינוי</t>
  </si>
  <si>
    <t>סה"כ 157 עובדים</t>
  </si>
  <si>
    <t>הערות - יפית</t>
  </si>
  <si>
    <t xml:space="preserve">יותר שעות </t>
  </si>
  <si>
    <t>75 שעות</t>
  </si>
  <si>
    <t>156 שעות</t>
  </si>
  <si>
    <t>95 שעות</t>
  </si>
  <si>
    <t>127 שעות</t>
  </si>
  <si>
    <t>פחות שעות</t>
  </si>
  <si>
    <t>155 שעות</t>
  </si>
  <si>
    <t>114 שעות</t>
  </si>
  <si>
    <t xml:space="preserve">134 שעות </t>
  </si>
  <si>
    <t>82 שעות</t>
  </si>
  <si>
    <t xml:space="preserve">החלה לעבוד בנובמבר לאחר חופשת לידה  </t>
  </si>
  <si>
    <t xml:space="preserve">התפטרה באוקטובר </t>
  </si>
  <si>
    <t xml:space="preserve">אוקטובר - 2000 ₪ בונוס עבודה ביום כיפור + הבראה </t>
  </si>
  <si>
    <t xml:space="preserve">באוקטובר -  עבדה מהבית , בנובמבר - חזרה לעבוד  בחווה </t>
  </si>
  <si>
    <t>עובדת מהבית - עבדה פחות שעות</t>
  </si>
  <si>
    <t xml:space="preserve">ימי מחלה </t>
  </si>
  <si>
    <t>התפטרה באוקטובר</t>
  </si>
  <si>
    <t>התפטר באוקטובר</t>
  </si>
  <si>
    <t>באוקטובר - יותר שעות + 200% + הבראה</t>
  </si>
  <si>
    <t>באוקטובר - מילואים לחודש מלא + הבראה . בחודש 11.25 התחילה ללמוד לכן עושה פחות שעות</t>
  </si>
  <si>
    <t>באוקטובר -יותר שעות + הבראה / נובמבר החלה לימודים</t>
  </si>
  <si>
    <t xml:space="preserve">38 שעות </t>
  </si>
  <si>
    <t>באוקטובר - יותר שעות + הבראה</t>
  </si>
  <si>
    <t>באוקטובר יותר שעות + הבראה</t>
  </si>
  <si>
    <t xml:space="preserve">105 שעות + הבראה </t>
  </si>
  <si>
    <t>26 שעות</t>
  </si>
  <si>
    <t xml:space="preserve">באוקטובר - תוספת חד פעמי באישור זאב עבור הרצאה בכנס </t>
  </si>
  <si>
    <t>אוקטובר - חופשה ארוכה. בנובמבר חזרה לעבוד רגיל</t>
  </si>
  <si>
    <t>התפטרה באוקטובר, ובנובמבר היה לה רק השלמה של גמר חשבון בלבד</t>
  </si>
  <si>
    <t>בנובמבר עבדה יותר שעות. כירורגיה בחודשי חגים עובדים פחות (באוקטובר)</t>
  </si>
  <si>
    <t xml:space="preserve">10 שעות </t>
  </si>
  <si>
    <t>51 שעות</t>
  </si>
  <si>
    <t xml:space="preserve">167 שעות </t>
  </si>
  <si>
    <t>207 שעות</t>
  </si>
  <si>
    <t>בחודש אוקטובר היתה השפעת סכומי סוציליות חודשים קודמים שלא שולמו. חודש נובמבר מייצג שכר רגיל</t>
  </si>
  <si>
    <t>בחודש אוקטובר בוצעו תיקונים בגין סכום שניתן בעבר כמקדמה ולא הובא לידי ביטוי בתלוש. החודש מייצג תשלום 10K בגין עבודת יום בשבוע פלוס הבראה כ-3K</t>
  </si>
  <si>
    <t>סיימה עבודתה בחודש אוקטובר</t>
  </si>
  <si>
    <t>חודש קודם (באוקטובר) יותר שעות. בחודש נובמבר החלה ללמוד</t>
  </si>
  <si>
    <t>119 שעות</t>
  </si>
  <si>
    <t>57 שעות</t>
  </si>
  <si>
    <t>עבדה יותר ימים בחודש נובמבר (תגמול שלה הוא לפי ימי עבודה)</t>
  </si>
  <si>
    <t xml:space="preserve">אוקטובר - החלה לעבוד באמצצע החודש, ובחודש נובמבר עבדה חודש מלא </t>
  </si>
  <si>
    <t>אופטלמולוגיה</t>
  </si>
  <si>
    <t>תוויות שורה</t>
  </si>
  <si>
    <t>#N/A</t>
  </si>
  <si>
    <t>(ריק)</t>
  </si>
  <si>
    <t>סכום כולל</t>
  </si>
  <si>
    <t>סכום של 8.25</t>
  </si>
  <si>
    <t>סכום של 9.25</t>
  </si>
  <si>
    <t>סכום של 10.25</t>
  </si>
  <si>
    <t>סכום של 11.25</t>
  </si>
  <si>
    <t>סכום של 12.25</t>
  </si>
  <si>
    <t>סכום של 1.26</t>
  </si>
  <si>
    <t>חירום מעבדה חיצוני</t>
  </si>
  <si>
    <t>סהכ</t>
  </si>
  <si>
    <t>כפר סבא</t>
  </si>
  <si>
    <t>כולל מע"מ</t>
  </si>
  <si>
    <t>יש לי את התשלומים שבוצעו בינוא, בהנחה שהבנקים מותאמים בכלל החברות:</t>
  </si>
  <si>
    <t>מספר חברה</t>
  </si>
  <si>
    <t>שם חברה</t>
  </si>
  <si>
    <t>מספר חשבון</t>
  </si>
  <si>
    <t>שם חשבון</t>
  </si>
  <si>
    <t>יתרה</t>
  </si>
  <si>
    <t>מטבע</t>
  </si>
  <si>
    <t>שנה</t>
  </si>
  <si>
    <t>מרכז וטרינרי החזקות בע"מ</t>
  </si>
  <si>
    <t>וטמרקט בע"מ</t>
  </si>
  <si>
    <t>NIS</t>
  </si>
  <si>
    <t>מי ווט בע"מ</t>
  </si>
  <si>
    <t>ווט מוצקין בע"מ</t>
  </si>
  <si>
    <t>מרכז וטרינרי ברנע בע"מ</t>
  </si>
  <si>
    <t>מרכז וטרינרי רחובות בע"מ</t>
  </si>
  <si>
    <t>קבלני משנה - ספקים</t>
  </si>
  <si>
    <t>הערכה</t>
  </si>
  <si>
    <t>וטרינרים חיצוניים</t>
  </si>
  <si>
    <t>85109</t>
  </si>
  <si>
    <t xml:space="preserve">יתרת פתיחה </t>
  </si>
  <si>
    <t>הוצ</t>
  </si>
  <si>
    <t>520103</t>
  </si>
  <si>
    <t>שירותי וטרינריה</t>
  </si>
  <si>
    <t>52119</t>
  </si>
  <si>
    <t>12.24 שירותי וטרינריה</t>
  </si>
  <si>
    <t>52020</t>
  </si>
  <si>
    <t>שכ"ט</t>
  </si>
  <si>
    <t>ד"ר יובל ריטוב</t>
  </si>
  <si>
    <t>52018</t>
  </si>
  <si>
    <t>ייעוץ אורטופדי</t>
  </si>
  <si>
    <t>2.25 שירות וטרינרי</t>
  </si>
  <si>
    <t>3.25 שירות</t>
  </si>
  <si>
    <t>שי לחג</t>
  </si>
  <si>
    <t>5.25 שירות</t>
  </si>
  <si>
    <t>שכ"ט ש'ק 483</t>
  </si>
  <si>
    <t>שכ"ט ש'ק 484</t>
  </si>
  <si>
    <t>שכ"ט ש'ק 386</t>
  </si>
  <si>
    <t>שכ"ט ש'ק 485</t>
  </si>
  <si>
    <t>ד"ר יובל ריטוב- וטרינר עד הבית</t>
  </si>
  <si>
    <t>ד"ר אייל אברם</t>
  </si>
  <si>
    <t>52036</t>
  </si>
  <si>
    <t>מרפאה וטרינרית ברנע</t>
  </si>
  <si>
    <t>ד"ר איל אברם</t>
  </si>
  <si>
    <t>ד"ר יובל ריטוב 7.25</t>
  </si>
  <si>
    <t>ד"ר יובל ריטוב-</t>
  </si>
  <si>
    <t>ד"ר יובל ריטוב-10.25</t>
  </si>
  <si>
    <t>11.25 משכורות</t>
  </si>
  <si>
    <t>סה"כ מפתח חשבון</t>
  </si>
  <si>
    <t>247,475.23   חובה</t>
  </si>
  <si>
    <t>0.00    זכות</t>
  </si>
  <si>
    <t>-247,475.23  הפרש</t>
  </si>
  <si>
    <t xml:space="preserve">קבלני משנה </t>
  </si>
  <si>
    <t>אלסמד</t>
  </si>
  <si>
    <t>אתר</t>
  </si>
  <si>
    <t>רופא עצמאי</t>
  </si>
  <si>
    <t>ינואר 2026</t>
  </si>
  <si>
    <t xml:space="preserve">סכום לתשלום </t>
  </si>
  <si>
    <t xml:space="preserve">סטאטוס </t>
  </si>
  <si>
    <t>אונקופט</t>
  </si>
  <si>
    <t>אושר ע"י כספים</t>
  </si>
  <si>
    <t>נחתם בבנק</t>
  </si>
  <si>
    <t>אונוקולוגיה</t>
  </si>
  <si>
    <t xml:space="preserve">תשומת לב </t>
  </si>
  <si>
    <t>אלעד פרי</t>
  </si>
  <si>
    <t>דרמטולוגיה - אחר</t>
  </si>
  <si>
    <t>אורן פאר</t>
  </si>
  <si>
    <t>עיניים - אחר</t>
  </si>
  <si>
    <t>רותם יוסף</t>
  </si>
  <si>
    <t>ידין ישורון</t>
  </si>
  <si>
    <t>לא עבר אישור של כספים</t>
  </si>
  <si>
    <t>שירלי פורמנסקי</t>
  </si>
  <si>
    <t>חני רצקין</t>
  </si>
  <si>
    <t>מאור גולדמן</t>
  </si>
  <si>
    <t>נטלי סבירסקי - רופאה מרדימה</t>
  </si>
  <si>
    <t>נדב מרחבי</t>
  </si>
  <si>
    <t>יובל ריטוב</t>
  </si>
  <si>
    <t>אייל אברם</t>
  </si>
  <si>
    <t>איתן ברנע</t>
  </si>
  <si>
    <t>תרומה ישירה</t>
  </si>
  <si>
    <t>רווחיות תרומה ישירה</t>
  </si>
  <si>
    <t>18</t>
  </si>
  <si>
    <t>4324</t>
  </si>
  <si>
    <t>דנגוט מחשבים בע"מ</t>
  </si>
  <si>
    <t>4036</t>
  </si>
  <si>
    <t>אר.אנ.אס ניר רוזנפלד</t>
  </si>
  <si>
    <t>4022</t>
  </si>
  <si>
    <t>פיוצר מי בע"מ השקט שלך</t>
  </si>
  <si>
    <t>4443</t>
  </si>
  <si>
    <t>תשומת לב המרכז הישראלי לקרדיולוגיה וטרינרית בעמ נ5</t>
  </si>
  <si>
    <t>4013</t>
  </si>
  <si>
    <t>אלעד פרי-שרותי דרמטולוגיה וטרינרית</t>
  </si>
  <si>
    <t>4035</t>
  </si>
  <si>
    <t>אונקו פט שירותים וטרינרים בע"מ</t>
  </si>
  <si>
    <t>4020</t>
  </si>
  <si>
    <t>דר פאר אורן רופא עיניים ווטרינרי</t>
  </si>
  <si>
    <t>4028</t>
  </si>
  <si>
    <t>דפוס יוסי דפוס אופסט דיגיטלי</t>
  </si>
  <si>
    <t>4488</t>
  </si>
  <si>
    <t>ווצפר בע"מ</t>
  </si>
  <si>
    <t>4470</t>
  </si>
  <si>
    <t>מדיטק מערכות צנרת בע"מ</t>
  </si>
  <si>
    <t>תשומת לב המרכז הישראלי לקרדיולוגיה וטרינרית בעמ נ5 זיכוי לחן 15</t>
  </si>
  <si>
    <t>4123</t>
  </si>
  <si>
    <t>אספירקום מערכות בע"מ</t>
  </si>
  <si>
    <t>4530</t>
  </si>
  <si>
    <t>עלי שלכת בע"מ</t>
  </si>
  <si>
    <t>8431</t>
  </si>
  <si>
    <t>עבור שימוש בחדר אולטראסאונד 12/25</t>
  </si>
  <si>
    <t>8531</t>
  </si>
  <si>
    <t>שירותים מקצועיים</t>
  </si>
  <si>
    <t>2,879,264.93   חובה</t>
  </si>
  <si>
    <t>אונקולוגיה - אונקופט</t>
  </si>
  <si>
    <t xml:space="preserve">קרדיולוגיה - תשומת לב </t>
  </si>
  <si>
    <t>אחר - אלעד פרי</t>
  </si>
  <si>
    <t>אחר - אורן פאר</t>
  </si>
  <si>
    <t>כירורגיה - רותם יוסף</t>
  </si>
  <si>
    <t>דר נדב מרחבי-הדמיה וטרינרית  854"</t>
  </si>
  <si>
    <t>-</t>
  </si>
  <si>
    <t>פרטים</t>
  </si>
  <si>
    <t>(פקודה) חודש/שנה</t>
  </si>
  <si>
    <t>אסמכתא 2</t>
  </si>
  <si>
    <t>אסמכתא 1</t>
  </si>
  <si>
    <t>תאריך ערך</t>
  </si>
  <si>
    <t>תאריך אסמכתא</t>
  </si>
  <si>
    <t>זכות</t>
  </si>
  <si>
    <t>חובה</t>
  </si>
  <si>
    <t>חשבון נגדי</t>
  </si>
  <si>
    <t>יתרת פתיחה</t>
  </si>
  <si>
    <t>העברה דיגיטל</t>
  </si>
  <si>
    <t>(249) 1/25</t>
  </si>
  <si>
    <t>בנק לאומי  1132081 241</t>
  </si>
  <si>
    <t>דר נדב מרחבי-הדמיה וטרינרית  "</t>
  </si>
  <si>
    <t>(75) 1/25</t>
  </si>
  <si>
    <t>עבודות חוץ-קבלני משנה  17</t>
  </si>
  <si>
    <t>(189) 2/25</t>
  </si>
  <si>
    <t>(89) 2/25</t>
  </si>
  <si>
    <t>(63) 3/25</t>
  </si>
  <si>
    <t>(187) 5/25</t>
  </si>
  <si>
    <t>(266) 4/25</t>
  </si>
  <si>
    <t>(188) 5/25</t>
  </si>
  <si>
    <t>(85) 5/25</t>
  </si>
  <si>
    <t>(189) 5/25</t>
  </si>
  <si>
    <t>(129) 6/25</t>
  </si>
  <si>
    <t>(28) 6/25</t>
  </si>
  <si>
    <t>(49) 7/25</t>
  </si>
  <si>
    <t>(120) 7/25</t>
  </si>
  <si>
    <t>(93) 8/25</t>
  </si>
  <si>
    <t>(142) 8/25</t>
  </si>
  <si>
    <t>(158) 9/25</t>
  </si>
  <si>
    <t>(35) 9/25</t>
  </si>
  <si>
    <t>(169) 10/25</t>
  </si>
  <si>
    <t>(86) 10/25</t>
  </si>
  <si>
    <t>(170) 11/25</t>
  </si>
  <si>
    <t>(71) 11/25</t>
  </si>
  <si>
    <t>העברה ברשימה</t>
  </si>
  <si>
    <t>(83) 12/25</t>
  </si>
  <si>
    <t>סה''כ דר נדב מרחבי-הדמיה וטרינרית  854"</t>
  </si>
  <si>
    <t>שירותים וטרינריים</t>
  </si>
  <si>
    <t>83008</t>
  </si>
  <si>
    <t>חס8</t>
  </si>
  <si>
    <t>30407</t>
  </si>
  <si>
    <t>תמיכה 01/2025 PACS</t>
  </si>
  <si>
    <t>30402</t>
  </si>
  <si>
    <t>שירותים וטרינריים 12/2024</t>
  </si>
  <si>
    <t>31410</t>
  </si>
  <si>
    <t>שירותים וטרינריים 01/2025</t>
  </si>
  <si>
    <t>שירותים וטרינריים 01/2025, 12/2024</t>
  </si>
  <si>
    <t>31403</t>
  </si>
  <si>
    <t>30411</t>
  </si>
  <si>
    <t>שירותים וטרינריים - ת. בריאות לבע"ח</t>
  </si>
  <si>
    <t>תמיכה 02/2025 PACS</t>
  </si>
  <si>
    <t>32302</t>
  </si>
  <si>
    <t>30114</t>
  </si>
  <si>
    <t>30414</t>
  </si>
  <si>
    <t>30609</t>
  </si>
  <si>
    <t>30903</t>
  </si>
  <si>
    <t>טיפול נמרץ וטרינרי</t>
  </si>
  <si>
    <t>שירותים וטרינריים 02/2025</t>
  </si>
  <si>
    <t>תמיכה 03/2025 PACS</t>
  </si>
  <si>
    <t>שירותים וטרינריים 03/2025</t>
  </si>
  <si>
    <t>תמיכה 04/20258 PACS</t>
  </si>
  <si>
    <t>ע"ח, שירותים וטרינריים 03/2025</t>
  </si>
  <si>
    <t>שירותים וטרינריים 04/2025</t>
  </si>
  <si>
    <t>שירותים וטרינריים 05/2025</t>
  </si>
  <si>
    <t>שירותים וטרינריים 05-06/2025</t>
  </si>
  <si>
    <t>שירותים וטרינריים 06/2025</t>
  </si>
  <si>
    <t>שירותים וטרינריים 06-07/2025</t>
  </si>
  <si>
    <t>שירותים וטרינריים 07/2025</t>
  </si>
  <si>
    <t>שירותים וטרינריים - ת. בריאת לבע"ח</t>
  </si>
  <si>
    <t>תמיכה 07/2025 Pacs</t>
  </si>
  <si>
    <t>שירותים וטרינריים 07-08/2025</t>
  </si>
  <si>
    <t>תמיכה 08-09/2025 Pacs</t>
  </si>
  <si>
    <t>שירותים וטרינריים 08/2025</t>
  </si>
  <si>
    <t>ש. וטרינריים 08/2025 - של 'ווט מוצקין'</t>
  </si>
  <si>
    <t>ש. וטרינריים - חש' בוטלה והוחלפה בחש'  104322</t>
  </si>
  <si>
    <t>שירותים וטרינריים 09/2025</t>
  </si>
  <si>
    <t>30404</t>
  </si>
  <si>
    <t>תמיכה 10/2025 Pacs</t>
  </si>
  <si>
    <t>שירותים וטרינריים 09-10/2025</t>
  </si>
  <si>
    <t>תמיכה 11/2025 Pacs</t>
  </si>
  <si>
    <t>שירותים וטרינריים 10/2025</t>
  </si>
  <si>
    <t>שירותים וטרינריים 11/2025</t>
  </si>
  <si>
    <t>ש. וטרינריים - ת. בריאות לבע"ח</t>
  </si>
  <si>
    <t>תמיכה 12/2025 Pacs</t>
  </si>
  <si>
    <t>שירותים וטרינריים 11-12/2025</t>
  </si>
  <si>
    <t>שירותים וטרינריים 12/2025</t>
  </si>
  <si>
    <t>925,396.97   חובה</t>
  </si>
  <si>
    <t>-925,396.97  הפרש</t>
  </si>
  <si>
    <t>ידן ישורון- לא עבד בחודש ינואר, יש אולי יום אחד שעבד אך עדיין לא שלח חשבונית ולכן לא הועבר.</t>
  </si>
  <si>
    <t>שירלי פומרנסקי- גם כן עבדה ימים בודדים בינואר, שלחה אתמול פירוט אך עדיין לא הסתכלתי על מה ששלחה.</t>
  </si>
  <si>
    <t>נטלי סבירסקי- מגיעה לעיתים רחוקות מאוד ולכן לא תיראי העברות בתדירות חודשית, רק בחודשים שתגיע אלינו.</t>
  </si>
  <si>
    <t>הסבר לקיטון בינואר בחיפה</t>
  </si>
  <si>
    <t>4010</t>
  </si>
  <si>
    <t>2001</t>
  </si>
  <si>
    <t>אלסמד בעמ</t>
  </si>
  <si>
    <t>8331</t>
  </si>
  <si>
    <t>אלסמד בע"מ</t>
  </si>
  <si>
    <t>749,343.40   חובה</t>
  </si>
  <si>
    <t>חשבון</t>
  </si>
  <si>
    <t>תיאור חשבון</t>
  </si>
  <si>
    <t>יתרה מוגשת</t>
  </si>
  <si>
    <t>1-12.2025</t>
  </si>
  <si>
    <t>הכנסות - זברה</t>
  </si>
  <si>
    <t>הכנסות - כירורגיה</t>
  </si>
  <si>
    <t>הכנסות - וטנוירו</t>
  </si>
  <si>
    <t>הכנסות - הדמיה</t>
  </si>
  <si>
    <t>הכנסות - מרכז</t>
  </si>
  <si>
    <t>הכנסות קרדיולוגיה יעל גולני</t>
  </si>
  <si>
    <t>הכנסות קרדיולוגיה דני אוהד</t>
  </si>
  <si>
    <t>הכנסות אונקולוגיה</t>
  </si>
  <si>
    <t>הכנסות דרמטולוגיה</t>
  </si>
  <si>
    <t>הכנסות אופטמולוגיה</t>
  </si>
  <si>
    <t>הכנסות סמדר טל</t>
  </si>
  <si>
    <t>הכנסות אפילפסיה</t>
  </si>
  <si>
    <t>הכנסות - רשת</t>
  </si>
  <si>
    <t>ספרים</t>
  </si>
  <si>
    <t>ICOUNT</t>
  </si>
  <si>
    <t>הפרש בנטרול ICOUNT</t>
  </si>
  <si>
    <t xml:space="preserve">1-12.2025 </t>
  </si>
  <si>
    <t>פרו-וט ללא מע"מ</t>
  </si>
  <si>
    <t>יתרת הפרש - קיימת הכנסה בספרים ולא בפרווט</t>
  </si>
  <si>
    <t xml:space="preserve">לא כולל מע"מ </t>
  </si>
  <si>
    <t>דוח חשבוניות מחלקתי-</t>
  </si>
  <si>
    <t>פקודות נוספות</t>
  </si>
  <si>
    <t xml:space="preserve"> לקלוט כהכנסות בחשבשבת</t>
  </si>
  <si>
    <t xml:space="preserve"> ראי פרוט גליון קיזוזים חיובים</t>
  </si>
  <si>
    <t>הכנסות פרווט</t>
  </si>
  <si>
    <t>קיזוז/חיוב של חיובים שגויים</t>
  </si>
  <si>
    <t xml:space="preserve">חלוקה של הרדמה </t>
  </si>
  <si>
    <t>סך הכנסות</t>
  </si>
  <si>
    <t>א.מ.ל</t>
  </si>
  <si>
    <t xml:space="preserve">מרכז </t>
  </si>
  <si>
    <t xml:space="preserve">זברה </t>
  </si>
  <si>
    <t xml:space="preserve">רותם יוסף </t>
  </si>
  <si>
    <t>קרדיולוגיה - דני אוהד</t>
  </si>
  <si>
    <t>אונקולוגיה + הקרנות</t>
  </si>
  <si>
    <t xml:space="preserve">דרמטולוגיה </t>
  </si>
  <si>
    <t xml:space="preserve">אופטמולוגיה </t>
  </si>
  <si>
    <t>סמדר טל</t>
  </si>
  <si>
    <t xml:space="preserve">דוח חשבוניות מחלקתי </t>
  </si>
  <si>
    <t xml:space="preserve">דוח חשבוניות </t>
  </si>
  <si>
    <t>כ"ס- הדמיה</t>
  </si>
  <si>
    <t>כ"ס- כירורגיה</t>
  </si>
  <si>
    <t>כ"ס- נוירולוגיה</t>
  </si>
  <si>
    <t>כ"ס- חירום</t>
  </si>
  <si>
    <t>טרם עלה לבנק</t>
  </si>
  <si>
    <t>לא התקבל החודש</t>
  </si>
  <si>
    <t>איילה בנגב</t>
  </si>
  <si>
    <t>מספר עובד חדש</t>
  </si>
  <si>
    <t>אלמגור</t>
  </si>
  <si>
    <t>אבו זיד</t>
  </si>
  <si>
    <t>לא סופי</t>
  </si>
  <si>
    <t>מס' עובד חדש</t>
  </si>
  <si>
    <t>טוביאנה בנד</t>
  </si>
  <si>
    <t>נמני</t>
  </si>
  <si>
    <t>עלות המכר</t>
  </si>
  <si>
    <t>הנהלה וכלליות</t>
  </si>
  <si>
    <t>אבי ביטון</t>
  </si>
  <si>
    <t>גיא ביטון</t>
  </si>
  <si>
    <t>זאב גאנז</t>
  </si>
  <si>
    <t>סה"כ עלות</t>
  </si>
  <si>
    <t>סיווג לחירום</t>
  </si>
  <si>
    <t>סיווג למטה</t>
  </si>
  <si>
    <t>דרמטולוגיה</t>
  </si>
  <si>
    <t>דוחין</t>
  </si>
  <si>
    <t>איריס</t>
  </si>
  <si>
    <t>שטרית</t>
  </si>
  <si>
    <t>1. איתן ברנע - 9886.5 ש"ח (חישוב סהכ כולל מעמ הכנסות פחות 50%)</t>
  </si>
  <si>
    <t>2. אייל אברם - 14373.84 ש"ח (חישוב סהכ כולל מעמ הכנסות פחות קיזוז מקדמה + 6%  + קבוע 12000)</t>
  </si>
  <si>
    <t xml:space="preserve">יובל ריטוב - 4476.71 ש"ח </t>
  </si>
  <si>
    <t>בנטרול איתן ברנע</t>
  </si>
  <si>
    <t>ישי סיון</t>
  </si>
  <si>
    <t>גלר</t>
  </si>
  <si>
    <t>שושן</t>
  </si>
  <si>
    <t>דאוד</t>
  </si>
  <si>
    <t>יוגב</t>
  </si>
  <si>
    <t>נאסר</t>
  </si>
  <si>
    <t>ליאן</t>
  </si>
  <si>
    <t>נייגר</t>
  </si>
  <si>
    <t>עדי אליס</t>
  </si>
  <si>
    <t>צור קירש</t>
  </si>
  <si>
    <t>ראם</t>
  </si>
  <si>
    <t>נטע</t>
  </si>
  <si>
    <t xml:space="preserve">אופטלמולוגיה </t>
  </si>
  <si>
    <t xml:space="preserve">הקרנות </t>
  </si>
  <si>
    <t>גמח ואין מחליף</t>
  </si>
  <si>
    <t>חודש משוער</t>
  </si>
  <si>
    <t> סכום לתשלום  </t>
  </si>
  <si>
    <t>סטאטוס </t>
  </si>
  <si>
    <t>תשומת לב </t>
  </si>
  <si>
    <t>אושר ע"י כספים (עלה לבנק ונשלח לכספים בדיעבד, בכל מקרה אושר)</t>
  </si>
  <si>
    <t>התקבל, לא אושר ע"י דיקלה </t>
  </si>
  <si>
    <t> התקבל, לא אושר ע"י דיקלה  </t>
  </si>
  <si>
    <t>אין החודש</t>
  </si>
  <si>
    <t>התקבל, ממתינה לפירוט הבדיקות </t>
  </si>
  <si>
    <t>סכום ללא מע"מ</t>
  </si>
  <si>
    <t>נוירו - סרוגו איתי - בחשבונית</t>
  </si>
  <si>
    <t>בונוס מיוחד 03.26</t>
  </si>
  <si>
    <t>ללא מעמ</t>
  </si>
  <si>
    <t>הערכה כי טרם התקבל נתון</t>
  </si>
  <si>
    <t>בנטרול מיכל הראל</t>
  </si>
  <si>
    <t>בית חולים הוטרינרי רחובות בע"מ</t>
  </si>
  <si>
    <t>גולדשטיין</t>
  </si>
  <si>
    <t>שלי שרה</t>
  </si>
  <si>
    <t>שלו</t>
  </si>
  <si>
    <t>נורי</t>
  </si>
  <si>
    <t>עאשור</t>
  </si>
  <si>
    <t>חנאן</t>
  </si>
  <si>
    <t>אלעד וקנין</t>
  </si>
  <si>
    <t>אושר ע"י דנה נמני</t>
  </si>
  <si>
    <t> אין חיוב החודש </t>
  </si>
  <si>
    <t>                       -  </t>
  </si>
  <si>
    <t>סיים העסקה ב-03/26, אין חיובים עתידיים</t>
  </si>
  <si>
    <t>            17345.00</t>
  </si>
  <si>
    <t>            45398.00</t>
  </si>
  <si>
    <t>              2699.00</t>
  </si>
  <si>
    <t>              3800.00</t>
  </si>
  <si>
    <t>              2400.00</t>
  </si>
  <si>
    <t>            56590.00</t>
  </si>
  <si>
    <t>            13958.64</t>
  </si>
  <si>
    <t>              4176.00</t>
  </si>
  <si>
    <t>              3400.00</t>
  </si>
  <si>
    <t>            15580.00</t>
  </si>
  <si>
    <t>          227538</t>
  </si>
  <si>
    <t>            79274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</si>
</sst>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#,##0_ ;[Red]\-#,##0\ "/>
    <numFmt numFmtId="165" formatCode="_-* #,##0_-;\-* #,##0_-;_-* &quot;-&quot;_-;_-@_-"/>
    <numFmt numFmtId="166" formatCode="_ * #,##0_ ;_ * \-#,##0_ ;_ * &quot;-&quot;??_ ;_ @_ "/>
    <numFmt numFmtId="167" formatCode="dd/mm/yy"/>
    <numFmt numFmtId="168" formatCode="&quot;₪&quot;\ #,##0.00"/>
    <numFmt numFmtId="169" formatCode="_(* #,##0_);_(* \(#,##0\);_(* &quot;-&quot;??_);_(@_)"/>
    <numFmt numFmtId="170" formatCode="_(* #,##0.00_);_(* \(#,##0.00\);_(* &quot;-&quot;??_);_(@_)"/>
    <numFmt numFmtId="171" formatCode="#,##0.00_ ;[Red]\-#,##0.00\ "/>
  </numFmts>
  <fonts count="5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sz val="9"/>
      <color indexed="81"/>
      <name val="Tahoma"/>
      <family val="2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i/>
      <u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11"/>
      <color rgb="FFFF0000"/>
      <name val="Arial"/>
      <family val="2"/>
      <charset val="177"/>
      <scheme val="minor"/>
    </font>
    <font>
      <b/>
      <u/>
      <sz val="11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8"/>
      <color theme="1"/>
      <name val="Arial"/>
      <family val="2"/>
      <scheme val="minor"/>
    </font>
    <font>
      <i/>
      <u/>
      <sz val="8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8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sz val="9"/>
      <color theme="1"/>
      <name val="Arial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Aptos"/>
      <family val="2"/>
    </font>
    <font>
      <b/>
      <sz val="10"/>
      <color rgb="FF000000"/>
      <name val="Arial"/>
      <family val="2"/>
      <scheme val="minor"/>
    </font>
    <font>
      <b/>
      <sz val="9"/>
      <color rgb="FFFF0000"/>
      <name val="Arial"/>
      <family val="2"/>
      <scheme val="minor"/>
    </font>
    <font>
      <sz val="12"/>
      <color rgb="FF242424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9"/>
      <name val="Arial"/>
      <family val="2"/>
    </font>
    <font>
      <sz val="11"/>
      <color rgb="FF242424"/>
      <name val="Arial"/>
      <family val="2"/>
    </font>
    <font>
      <b/>
      <sz val="10"/>
      <color rgb="FF000000"/>
      <name val="Arial"/>
      <family val="2"/>
    </font>
    <font>
      <b/>
      <u val="singleAccounting"/>
      <sz val="11"/>
      <color theme="1"/>
      <name val="Arial"/>
      <family val="2"/>
      <scheme val="minor"/>
    </font>
    <font>
      <sz val="11"/>
      <color rgb="FF9C5700"/>
      <name val="Arial"/>
      <family val="2"/>
      <charset val="177"/>
      <scheme val="minor"/>
    </font>
    <font>
      <b/>
      <sz val="11"/>
      <color rgb="FF0C1A3D"/>
      <name val="Arial"/>
      <family val="2"/>
      <scheme val="minor"/>
    </font>
    <font>
      <b/>
      <sz val="11"/>
      <name val="Calibri"/>
      <family val="2"/>
    </font>
    <font>
      <sz val="11"/>
      <color rgb="FF0070C0"/>
      <name val="Arial"/>
      <family val="2"/>
      <charset val="177"/>
      <scheme val="minor"/>
    </font>
    <font>
      <sz val="11"/>
      <color rgb="FF0C1A3D"/>
      <name val="Times New Roman"/>
      <family val="2"/>
      <scheme val="major"/>
    </font>
    <font>
      <b/>
      <sz val="8"/>
      <color rgb="FF0C1A3D"/>
      <name val="Segoe UI"/>
      <family val="2"/>
    </font>
    <font>
      <b/>
      <sz val="11"/>
      <color theme="9" tint="-0.249977111117893"/>
      <name val="Arial"/>
      <family val="2"/>
      <scheme val="minor"/>
    </font>
    <font>
      <b/>
      <sz val="9"/>
      <color indexed="81"/>
      <name val="Tahoma"/>
      <family val="2"/>
    </font>
    <font>
      <b/>
      <sz val="11"/>
      <color rgb="FF000000"/>
      <name val="Times New Roman"/>
      <family val="1"/>
    </font>
    <font>
      <b/>
      <sz val="11"/>
      <color rgb="FF000000"/>
      <name val="Aptos Narrow"/>
      <family val="2"/>
    </font>
    <font>
      <sz val="12"/>
      <color rgb="FF000000"/>
      <name val="Arial"/>
      <family val="2"/>
    </font>
    <font>
      <sz val="11"/>
      <color rgb="FF242424"/>
      <name val="Segoe U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FBF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DDDDD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" fillId="16" borderId="2" applyNumberFormat="0" applyFont="0" applyAlignment="0" applyProtection="0"/>
    <xf numFmtId="0" fontId="6" fillId="0" borderId="0"/>
    <xf numFmtId="0" fontId="37" fillId="25" borderId="0" applyNumberFormat="0" applyBorder="0" applyAlignment="0" applyProtection="0"/>
    <xf numFmtId="17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0"/>
  </cellStyleXfs>
  <cellXfs count="39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 readingOrder="2"/>
    </xf>
    <xf numFmtId="0" fontId="2" fillId="0" borderId="0" xfId="0" applyFont="1" applyAlignment="1">
      <alignment horizontal="right" readingOrder="2"/>
    </xf>
    <xf numFmtId="164" fontId="0" fillId="0" borderId="0" xfId="0" applyNumberFormat="1"/>
    <xf numFmtId="164" fontId="0" fillId="0" borderId="1" xfId="0" applyNumberForma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/>
    <xf numFmtId="165" fontId="0" fillId="0" borderId="0" xfId="0" applyNumberForma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 wrapText="1"/>
    </xf>
    <xf numFmtId="0" fontId="6" fillId="0" borderId="0" xfId="0" applyFont="1"/>
    <xf numFmtId="164" fontId="6" fillId="2" borderId="0" xfId="0" applyNumberFormat="1" applyFont="1" applyFill="1"/>
    <xf numFmtId="164" fontId="6" fillId="0" borderId="0" xfId="0" applyNumberFormat="1" applyFont="1"/>
    <xf numFmtId="164" fontId="6" fillId="3" borderId="0" xfId="0" applyNumberFormat="1" applyFont="1" applyFill="1"/>
    <xf numFmtId="164" fontId="6" fillId="4" borderId="0" xfId="0" applyNumberFormat="1" applyFont="1" applyFill="1"/>
    <xf numFmtId="164" fontId="6" fillId="5" borderId="0" xfId="0" applyNumberFormat="1" applyFont="1" applyFill="1"/>
    <xf numFmtId="164" fontId="6" fillId="6" borderId="0" xfId="0" applyNumberFormat="1" applyFont="1" applyFill="1"/>
    <xf numFmtId="164" fontId="6" fillId="7" borderId="0" xfId="0" applyNumberFormat="1" applyFont="1" applyFill="1"/>
    <xf numFmtId="0" fontId="8" fillId="0" borderId="0" xfId="0" applyFont="1"/>
    <xf numFmtId="164" fontId="8" fillId="0" borderId="1" xfId="0" applyNumberFormat="1" applyFont="1" applyBorder="1"/>
    <xf numFmtId="164" fontId="8" fillId="0" borderId="0" xfId="0" applyNumberFormat="1" applyFont="1"/>
    <xf numFmtId="164" fontId="2" fillId="0" borderId="0" xfId="0" applyNumberFormat="1" applyFont="1"/>
    <xf numFmtId="166" fontId="0" fillId="0" borderId="0" xfId="1" applyNumberFormat="1" applyFont="1"/>
    <xf numFmtId="0" fontId="9" fillId="0" borderId="0" xfId="0" applyFont="1"/>
    <xf numFmtId="0" fontId="6" fillId="8" borderId="0" xfId="0" applyFont="1" applyFill="1"/>
    <xf numFmtId="164" fontId="0" fillId="8" borderId="0" xfId="0" applyNumberFormat="1" applyFill="1"/>
    <xf numFmtId="166" fontId="0" fillId="0" borderId="0" xfId="0" applyNumberFormat="1"/>
    <xf numFmtId="0" fontId="0" fillId="8" borderId="0" xfId="0" applyFill="1"/>
    <xf numFmtId="0" fontId="4" fillId="8" borderId="0" xfId="0" applyFont="1" applyFill="1"/>
    <xf numFmtId="0" fontId="0" fillId="8" borderId="0" xfId="0" applyFill="1" applyAlignment="1">
      <alignment horizontal="right" readingOrder="2"/>
    </xf>
    <xf numFmtId="0" fontId="10" fillId="0" borderId="0" xfId="0" applyFont="1" applyAlignment="1">
      <alignment horizontal="right" vertical="center" readingOrder="2"/>
    </xf>
    <xf numFmtId="0" fontId="0" fillId="0" borderId="0" xfId="0" applyAlignment="1">
      <alignment horizontal="right"/>
    </xf>
    <xf numFmtId="0" fontId="2" fillId="0" borderId="0" xfId="0" applyFont="1"/>
    <xf numFmtId="9" fontId="0" fillId="0" borderId="0" xfId="2" applyFont="1"/>
    <xf numFmtId="166" fontId="0" fillId="0" borderId="0" xfId="1" applyNumberFormat="1" applyFont="1" applyAlignment="1">
      <alignment horizontal="right" readingOrder="2"/>
    </xf>
    <xf numFmtId="166" fontId="0" fillId="8" borderId="0" xfId="1" applyNumberFormat="1" applyFont="1" applyFill="1" applyAlignment="1">
      <alignment horizontal="right" readingOrder="2"/>
    </xf>
    <xf numFmtId="166" fontId="0" fillId="8" borderId="0" xfId="0" applyNumberForma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166" fontId="10" fillId="0" borderId="0" xfId="1" applyNumberFormat="1" applyFont="1" applyAlignment="1">
      <alignment horizontal="right" vertical="center" readingOrder="2"/>
    </xf>
    <xf numFmtId="0" fontId="11" fillId="0" borderId="0" xfId="3"/>
    <xf numFmtId="166" fontId="0" fillId="0" borderId="0" xfId="4" applyNumberFormat="1" applyFont="1"/>
    <xf numFmtId="166" fontId="0" fillId="0" borderId="0" xfId="4" applyNumberFormat="1" applyFont="1" applyFill="1"/>
    <xf numFmtId="166" fontId="0" fillId="8" borderId="0" xfId="4" applyNumberFormat="1" applyFont="1" applyFill="1"/>
    <xf numFmtId="0" fontId="11" fillId="12" borderId="0" xfId="3" applyFill="1"/>
    <xf numFmtId="166" fontId="0" fillId="12" borderId="0" xfId="4" applyNumberFormat="1" applyFont="1" applyFill="1"/>
    <xf numFmtId="0" fontId="11" fillId="13" borderId="0" xfId="3" applyFill="1"/>
    <xf numFmtId="166" fontId="0" fillId="13" borderId="0" xfId="4" applyNumberFormat="1" applyFont="1" applyFill="1"/>
    <xf numFmtId="0" fontId="13" fillId="0" borderId="0" xfId="3" applyFont="1"/>
    <xf numFmtId="166" fontId="11" fillId="0" borderId="0" xfId="3" applyNumberFormat="1"/>
    <xf numFmtId="166" fontId="11" fillId="8" borderId="0" xfId="3" applyNumberFormat="1" applyFill="1"/>
    <xf numFmtId="166" fontId="11" fillId="13" borderId="0" xfId="3" applyNumberFormat="1" applyFill="1"/>
    <xf numFmtId="0" fontId="13" fillId="14" borderId="0" xfId="3" applyFont="1" applyFill="1"/>
    <xf numFmtId="166" fontId="0" fillId="15" borderId="0" xfId="4" applyNumberFormat="1" applyFont="1" applyFill="1"/>
    <xf numFmtId="166" fontId="0" fillId="9" borderId="0" xfId="4" applyNumberFormat="1" applyFont="1" applyFill="1"/>
    <xf numFmtId="166" fontId="11" fillId="15" borderId="0" xfId="4" applyNumberFormat="1" applyFont="1" applyFill="1"/>
    <xf numFmtId="166" fontId="12" fillId="15" borderId="0" xfId="4" applyNumberFormat="1" applyFont="1" applyFill="1"/>
    <xf numFmtId="49" fontId="2" fillId="0" borderId="0" xfId="0" applyNumberFormat="1" applyFont="1" applyAlignment="1">
      <alignment horizontal="center"/>
    </xf>
    <xf numFmtId="0" fontId="6" fillId="13" borderId="0" xfId="0" applyFont="1" applyFill="1"/>
    <xf numFmtId="164" fontId="6" fillId="0" borderId="1" xfId="0" applyNumberFormat="1" applyFont="1" applyBorder="1"/>
    <xf numFmtId="0" fontId="0" fillId="0" borderId="3" xfId="0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wrapText="1"/>
    </xf>
    <xf numFmtId="164" fontId="4" fillId="0" borderId="0" xfId="0" applyNumberFormat="1" applyFont="1"/>
    <xf numFmtId="0" fontId="19" fillId="0" borderId="0" xfId="0" applyFont="1"/>
    <xf numFmtId="164" fontId="19" fillId="0" borderId="0" xfId="0" applyNumberFormat="1" applyFont="1"/>
    <xf numFmtId="164" fontId="4" fillId="5" borderId="0" xfId="0" applyNumberFormat="1" applyFont="1" applyFill="1"/>
    <xf numFmtId="164" fontId="16" fillId="0" borderId="0" xfId="0" applyNumberFormat="1" applyFont="1"/>
    <xf numFmtId="0" fontId="3" fillId="0" borderId="0" xfId="0" applyFont="1" applyAlignment="1">
      <alignment horizontal="center"/>
    </xf>
    <xf numFmtId="164" fontId="6" fillId="10" borderId="0" xfId="0" applyNumberFormat="1" applyFont="1" applyFill="1"/>
    <xf numFmtId="0" fontId="6" fillId="0" borderId="4" xfId="0" applyFont="1" applyBorder="1"/>
    <xf numFmtId="0" fontId="6" fillId="0" borderId="5" xfId="0" applyFont="1" applyBorder="1"/>
    <xf numFmtId="164" fontId="6" fillId="0" borderId="5" xfId="0" applyNumberFormat="1" applyFont="1" applyBorder="1"/>
    <xf numFmtId="164" fontId="6" fillId="10" borderId="5" xfId="0" applyNumberFormat="1" applyFont="1" applyFill="1" applyBorder="1"/>
    <xf numFmtId="164" fontId="6" fillId="3" borderId="5" xfId="0" applyNumberFormat="1" applyFont="1" applyFill="1" applyBorder="1"/>
    <xf numFmtId="0" fontId="6" fillId="17" borderId="6" xfId="0" applyFont="1" applyFill="1" applyBorder="1"/>
    <xf numFmtId="0" fontId="6" fillId="0" borderId="7" xfId="0" applyFont="1" applyBorder="1" applyAlignment="1">
      <alignment readingOrder="2"/>
    </xf>
    <xf numFmtId="0" fontId="6" fillId="0" borderId="8" xfId="0" applyFont="1" applyBorder="1" applyAlignment="1">
      <alignment readingOrder="2"/>
    </xf>
    <xf numFmtId="164" fontId="6" fillId="17" borderId="8" xfId="0" applyNumberFormat="1" applyFont="1" applyFill="1" applyBorder="1" applyAlignment="1">
      <alignment readingOrder="2"/>
    </xf>
    <xf numFmtId="0" fontId="6" fillId="0" borderId="9" xfId="0" applyFont="1" applyBorder="1" applyAlignment="1">
      <alignment readingOrder="2"/>
    </xf>
    <xf numFmtId="0" fontId="6" fillId="0" borderId="0" xfId="0" applyFont="1" applyAlignment="1">
      <alignment readingOrder="2"/>
    </xf>
    <xf numFmtId="164" fontId="6" fillId="0" borderId="8" xfId="0" applyNumberFormat="1" applyFont="1" applyBorder="1" applyAlignment="1">
      <alignment readingOrder="2"/>
    </xf>
    <xf numFmtId="0" fontId="6" fillId="17" borderId="0" xfId="0" applyFont="1" applyFill="1"/>
    <xf numFmtId="0" fontId="6" fillId="0" borderId="7" xfId="0" applyFont="1" applyBorder="1"/>
    <xf numFmtId="0" fontId="6" fillId="0" borderId="8" xfId="0" applyFont="1" applyBorder="1"/>
    <xf numFmtId="164" fontId="6" fillId="17" borderId="8" xfId="0" applyNumberFormat="1" applyFont="1" applyFill="1" applyBorder="1"/>
    <xf numFmtId="164" fontId="6" fillId="0" borderId="8" xfId="0" applyNumberFormat="1" applyFont="1" applyBorder="1"/>
    <xf numFmtId="0" fontId="6" fillId="0" borderId="9" xfId="0" applyFont="1" applyBorder="1"/>
    <xf numFmtId="164" fontId="6" fillId="3" borderId="6" xfId="0" applyNumberFormat="1" applyFont="1" applyFill="1" applyBorder="1"/>
    <xf numFmtId="164" fontId="6" fillId="0" borderId="9" xfId="0" applyNumberFormat="1" applyFont="1" applyBorder="1" applyAlignment="1">
      <alignment readingOrder="2"/>
    </xf>
    <xf numFmtId="0" fontId="20" fillId="0" borderId="10" xfId="0" applyFont="1" applyBorder="1"/>
    <xf numFmtId="0" fontId="20" fillId="0" borderId="11" xfId="0" applyFont="1" applyBorder="1"/>
    <xf numFmtId="164" fontId="20" fillId="0" borderId="11" xfId="0" applyNumberFormat="1" applyFont="1" applyBorder="1"/>
    <xf numFmtId="164" fontId="20" fillId="10" borderId="11" xfId="0" applyNumberFormat="1" applyFont="1" applyFill="1" applyBorder="1"/>
    <xf numFmtId="164" fontId="21" fillId="3" borderId="11" xfId="0" applyNumberFormat="1" applyFont="1" applyFill="1" applyBorder="1"/>
    <xf numFmtId="0" fontId="20" fillId="17" borderId="12" xfId="0" applyFont="1" applyFill="1" applyBorder="1"/>
    <xf numFmtId="0" fontId="6" fillId="0" borderId="10" xfId="0" applyFont="1" applyBorder="1"/>
    <xf numFmtId="0" fontId="6" fillId="0" borderId="11" xfId="0" applyFont="1" applyBorder="1"/>
    <xf numFmtId="164" fontId="6" fillId="0" borderId="11" xfId="0" applyNumberFormat="1" applyFont="1" applyBorder="1"/>
    <xf numFmtId="164" fontId="6" fillId="10" borderId="11" xfId="0" applyNumberFormat="1" applyFont="1" applyFill="1" applyBorder="1"/>
    <xf numFmtId="164" fontId="6" fillId="3" borderId="11" xfId="0" applyNumberFormat="1" applyFont="1" applyFill="1" applyBorder="1"/>
    <xf numFmtId="0" fontId="6" fillId="17" borderId="12" xfId="0" applyFont="1" applyFill="1" applyBorder="1"/>
    <xf numFmtId="9" fontId="6" fillId="0" borderId="0" xfId="0" applyNumberFormat="1" applyFont="1"/>
    <xf numFmtId="164" fontId="6" fillId="18" borderId="0" xfId="0" applyNumberFormat="1" applyFont="1" applyFill="1"/>
    <xf numFmtId="164" fontId="6" fillId="19" borderId="0" xfId="0" applyNumberFormat="1" applyFont="1" applyFill="1"/>
    <xf numFmtId="164" fontId="2" fillId="0" borderId="13" xfId="0" applyNumberFormat="1" applyFont="1" applyBorder="1"/>
    <xf numFmtId="0" fontId="0" fillId="0" borderId="0" xfId="0" pivotButton="1"/>
    <xf numFmtId="0" fontId="22" fillId="0" borderId="0" xfId="0" applyFont="1"/>
    <xf numFmtId="164" fontId="22" fillId="2" borderId="0" xfId="0" applyNumberFormat="1" applyFont="1" applyFill="1"/>
    <xf numFmtId="164" fontId="22" fillId="0" borderId="0" xfId="0" applyNumberFormat="1" applyFont="1"/>
    <xf numFmtId="9" fontId="6" fillId="0" borderId="0" xfId="2" applyFont="1"/>
    <xf numFmtId="9" fontId="22" fillId="0" borderId="0" xfId="0" applyNumberFormat="1" applyFont="1"/>
    <xf numFmtId="17" fontId="0" fillId="0" borderId="0" xfId="0" applyNumberFormat="1"/>
    <xf numFmtId="167" fontId="23" fillId="0" borderId="0" xfId="0" applyNumberFormat="1" applyFont="1" applyAlignment="1">
      <alignment horizontal="right"/>
    </xf>
    <xf numFmtId="4" fontId="23" fillId="0" borderId="0" xfId="0" applyNumberFormat="1" applyFont="1" applyAlignment="1">
      <alignment horizontal="right"/>
    </xf>
    <xf numFmtId="0" fontId="3" fillId="0" borderId="0" xfId="0" applyFont="1"/>
    <xf numFmtId="166" fontId="0" fillId="13" borderId="0" xfId="1" applyNumberFormat="1" applyFont="1" applyFill="1"/>
    <xf numFmtId="0" fontId="24" fillId="0" borderId="0" xfId="0" applyFont="1" applyAlignment="1">
      <alignment horizontal="right" vertical="center" readingOrder="2"/>
    </xf>
    <xf numFmtId="0" fontId="24" fillId="8" borderId="14" xfId="0" applyFont="1" applyFill="1" applyBorder="1" applyAlignment="1">
      <alignment horizontal="right" vertical="center" wrapText="1" readingOrder="2"/>
    </xf>
    <xf numFmtId="0" fontId="24" fillId="8" borderId="15" xfId="0" applyFont="1" applyFill="1" applyBorder="1" applyAlignment="1">
      <alignment horizontal="right" vertical="center" wrapText="1" readingOrder="2"/>
    </xf>
    <xf numFmtId="0" fontId="25" fillId="0" borderId="16" xfId="0" applyFont="1" applyBorder="1" applyAlignment="1">
      <alignment horizontal="right" vertical="center" wrapText="1"/>
    </xf>
    <xf numFmtId="0" fontId="24" fillId="0" borderId="17" xfId="0" applyFont="1" applyBorder="1" applyAlignment="1">
      <alignment horizontal="right" vertical="center" wrapText="1" readingOrder="2"/>
    </xf>
    <xf numFmtId="0" fontId="25" fillId="0" borderId="17" xfId="0" applyFont="1" applyBorder="1" applyAlignment="1">
      <alignment horizontal="right" vertical="center" wrapText="1"/>
    </xf>
    <xf numFmtId="4" fontId="0" fillId="0" borderId="0" xfId="0" applyNumberFormat="1"/>
    <xf numFmtId="4" fontId="25" fillId="0" borderId="17" xfId="0" applyNumberFormat="1" applyFont="1" applyBorder="1" applyAlignment="1">
      <alignment horizontal="right" vertical="center" wrapText="1"/>
    </xf>
    <xf numFmtId="0" fontId="25" fillId="0" borderId="17" xfId="0" applyFont="1" applyBorder="1" applyAlignment="1">
      <alignment vertical="center" wrapText="1"/>
    </xf>
    <xf numFmtId="0" fontId="25" fillId="0" borderId="0" xfId="0" applyFont="1" applyAlignment="1">
      <alignment horizontal="right" vertical="center" readingOrder="2"/>
    </xf>
    <xf numFmtId="0" fontId="24" fillId="16" borderId="2" xfId="5" applyFont="1" applyAlignment="1">
      <alignment horizontal="right" vertical="center" wrapText="1" readingOrder="2"/>
    </xf>
    <xf numFmtId="0" fontId="25" fillId="16" borderId="2" xfId="5" applyFont="1" applyAlignment="1">
      <alignment horizontal="right" vertical="center" wrapText="1"/>
    </xf>
    <xf numFmtId="4" fontId="25" fillId="16" borderId="2" xfId="5" applyNumberFormat="1" applyFont="1" applyAlignment="1">
      <alignment horizontal="right" vertical="center" wrapText="1"/>
    </xf>
    <xf numFmtId="0" fontId="25" fillId="16" borderId="2" xfId="5" applyFont="1" applyAlignment="1">
      <alignment vertical="center" wrapText="1"/>
    </xf>
    <xf numFmtId="0" fontId="0" fillId="16" borderId="2" xfId="5" applyFont="1"/>
    <xf numFmtId="166" fontId="0" fillId="0" borderId="0" xfId="1" applyNumberFormat="1" applyFont="1" applyFill="1"/>
    <xf numFmtId="14" fontId="0" fillId="0" borderId="0" xfId="0" applyNumberFormat="1"/>
    <xf numFmtId="43" fontId="0" fillId="0" borderId="0" xfId="1" applyFont="1"/>
    <xf numFmtId="43" fontId="0" fillId="13" borderId="0" xfId="1" applyFont="1" applyFill="1"/>
    <xf numFmtId="0" fontId="15" fillId="8" borderId="0" xfId="0" applyFont="1" applyFill="1" applyAlignment="1">
      <alignment horizontal="right"/>
    </xf>
    <xf numFmtId="49" fontId="15" fillId="8" borderId="0" xfId="0" applyNumberFormat="1" applyFont="1" applyFill="1" applyAlignment="1">
      <alignment horizontal="right"/>
    </xf>
    <xf numFmtId="1" fontId="23" fillId="8" borderId="0" xfId="0" applyNumberFormat="1" applyFont="1" applyFill="1" applyAlignment="1">
      <alignment horizontal="right"/>
    </xf>
    <xf numFmtId="0" fontId="23" fillId="8" borderId="0" xfId="0" applyFont="1" applyFill="1" applyAlignment="1">
      <alignment horizontal="right"/>
    </xf>
    <xf numFmtId="167" fontId="23" fillId="8" borderId="0" xfId="0" applyNumberFormat="1" applyFont="1" applyFill="1" applyAlignment="1">
      <alignment horizontal="right"/>
    </xf>
    <xf numFmtId="4" fontId="23" fillId="8" borderId="0" xfId="0" applyNumberFormat="1" applyFont="1" applyFill="1" applyAlignment="1">
      <alignment horizontal="right"/>
    </xf>
    <xf numFmtId="49" fontId="14" fillId="8" borderId="0" xfId="0" applyNumberFormat="1" applyFont="1" applyFill="1" applyAlignment="1">
      <alignment horizontal="right"/>
    </xf>
    <xf numFmtId="0" fontId="14" fillId="8" borderId="0" xfId="0" applyFont="1" applyFill="1" applyAlignment="1">
      <alignment horizontal="right"/>
    </xf>
    <xf numFmtId="0" fontId="26" fillId="8" borderId="0" xfId="0" applyFont="1" applyFill="1" applyAlignment="1">
      <alignment horizontal="right"/>
    </xf>
    <xf numFmtId="49" fontId="23" fillId="8" borderId="0" xfId="0" applyNumberFormat="1" applyFont="1" applyFill="1" applyAlignment="1">
      <alignment horizontal="right"/>
    </xf>
    <xf numFmtId="0" fontId="14" fillId="0" borderId="0" xfId="0" applyFont="1" applyAlignment="1">
      <alignment horizontal="right"/>
    </xf>
    <xf numFmtId="1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4" fontId="27" fillId="8" borderId="0" xfId="0" applyNumberFormat="1" applyFont="1" applyFill="1" applyAlignment="1">
      <alignment horizontal="right"/>
    </xf>
    <xf numFmtId="0" fontId="2" fillId="20" borderId="8" xfId="0" applyFont="1" applyFill="1" applyBorder="1" applyAlignment="1">
      <alignment horizontal="center" vertical="center"/>
    </xf>
    <xf numFmtId="43" fontId="2" fillId="20" borderId="8" xfId="1" applyFont="1" applyFill="1" applyBorder="1" applyAlignment="1">
      <alignment horizontal="right" vertical="center"/>
    </xf>
    <xf numFmtId="0" fontId="2" fillId="21" borderId="0" xfId="0" applyFont="1" applyFill="1" applyAlignment="1">
      <alignment vertical="center"/>
    </xf>
    <xf numFmtId="0" fontId="28" fillId="22" borderId="0" xfId="0" applyFont="1" applyFill="1" applyAlignment="1">
      <alignment horizontal="right" vertical="center" wrapText="1" readingOrder="2"/>
    </xf>
    <xf numFmtId="43" fontId="28" fillId="22" borderId="0" xfId="1" applyFont="1" applyFill="1" applyAlignment="1">
      <alignment horizontal="right" vertical="center" wrapText="1" readingOrder="2"/>
    </xf>
    <xf numFmtId="0" fontId="28" fillId="23" borderId="0" xfId="0" applyFont="1" applyFill="1" applyAlignment="1">
      <alignment horizontal="right" vertical="center" wrapText="1" readingOrder="2"/>
    </xf>
    <xf numFmtId="43" fontId="28" fillId="23" borderId="0" xfId="1" applyFont="1" applyFill="1" applyAlignment="1">
      <alignment horizontal="right" vertical="center" wrapText="1" readingOrder="2"/>
    </xf>
    <xf numFmtId="0" fontId="2" fillId="21" borderId="18" xfId="0" applyFont="1" applyFill="1" applyBorder="1" applyAlignment="1">
      <alignment vertical="center"/>
    </xf>
    <xf numFmtId="0" fontId="28" fillId="23" borderId="18" xfId="0" applyFont="1" applyFill="1" applyBorder="1" applyAlignment="1">
      <alignment horizontal="right" vertical="center" wrapText="1" readingOrder="2"/>
    </xf>
    <xf numFmtId="43" fontId="28" fillId="23" borderId="18" xfId="1" applyFont="1" applyFill="1" applyBorder="1" applyAlignment="1">
      <alignment horizontal="right" vertical="center" wrapText="1" readingOrder="2"/>
    </xf>
    <xf numFmtId="0" fontId="2" fillId="21" borderId="19" xfId="0" applyFont="1" applyFill="1" applyBorder="1" applyAlignment="1">
      <alignment vertical="center"/>
    </xf>
    <xf numFmtId="0" fontId="28" fillId="22" borderId="0" xfId="0" applyFont="1" applyFill="1" applyAlignment="1">
      <alignment horizontal="right" vertical="center" readingOrder="2"/>
    </xf>
    <xf numFmtId="0" fontId="28" fillId="22" borderId="18" xfId="0" applyFont="1" applyFill="1" applyBorder="1" applyAlignment="1">
      <alignment horizontal="right" vertical="center" readingOrder="2"/>
    </xf>
    <xf numFmtId="0" fontId="28" fillId="22" borderId="18" xfId="0" applyFont="1" applyFill="1" applyBorder="1" applyAlignment="1">
      <alignment horizontal="right" vertical="center" wrapText="1" readingOrder="2"/>
    </xf>
    <xf numFmtId="43" fontId="28" fillId="22" borderId="18" xfId="1" applyFont="1" applyFill="1" applyBorder="1" applyAlignment="1">
      <alignment horizontal="right" vertical="center" wrapText="1" readingOrder="2"/>
    </xf>
    <xf numFmtId="0" fontId="2" fillId="21" borderId="1" xfId="0" applyFont="1" applyFill="1" applyBorder="1" applyAlignment="1">
      <alignment vertical="center"/>
    </xf>
    <xf numFmtId="0" fontId="28" fillId="23" borderId="1" xfId="0" applyFont="1" applyFill="1" applyBorder="1" applyAlignment="1">
      <alignment horizontal="right" vertical="center" wrapText="1" readingOrder="2"/>
    </xf>
    <xf numFmtId="43" fontId="28" fillId="23" borderId="1" xfId="1" applyFont="1" applyFill="1" applyBorder="1" applyAlignment="1">
      <alignment horizontal="right" vertical="center" wrapText="1" readingOrder="2"/>
    </xf>
    <xf numFmtId="43" fontId="0" fillId="0" borderId="0" xfId="1" applyFont="1" applyAlignment="1">
      <alignment horizontal="right"/>
    </xf>
    <xf numFmtId="9" fontId="0" fillId="0" borderId="0" xfId="2" applyFont="1" applyFill="1"/>
    <xf numFmtId="0" fontId="29" fillId="8" borderId="0" xfId="0" applyFont="1" applyFill="1" applyAlignment="1">
      <alignment horizontal="right"/>
    </xf>
    <xf numFmtId="1" fontId="30" fillId="8" borderId="0" xfId="0" applyNumberFormat="1" applyFont="1" applyFill="1" applyAlignment="1">
      <alignment horizontal="right"/>
    </xf>
    <xf numFmtId="49" fontId="30" fillId="8" borderId="0" xfId="0" applyNumberFormat="1" applyFont="1" applyFill="1" applyAlignment="1">
      <alignment horizontal="right"/>
    </xf>
    <xf numFmtId="167" fontId="30" fillId="8" borderId="0" xfId="0" applyNumberFormat="1" applyFont="1" applyFill="1" applyAlignment="1">
      <alignment horizontal="right"/>
    </xf>
    <xf numFmtId="0" fontId="30" fillId="8" borderId="0" xfId="0" applyFont="1" applyFill="1" applyAlignment="1">
      <alignment horizontal="right"/>
    </xf>
    <xf numFmtId="4" fontId="30" fillId="8" borderId="0" xfId="0" applyNumberFormat="1" applyFont="1" applyFill="1" applyAlignment="1">
      <alignment horizontal="right"/>
    </xf>
    <xf numFmtId="49" fontId="31" fillId="8" borderId="0" xfId="0" applyNumberFormat="1" applyFont="1" applyFill="1" applyAlignment="1">
      <alignment horizontal="right"/>
    </xf>
    <xf numFmtId="0" fontId="31" fillId="8" borderId="0" xfId="0" applyFont="1" applyFill="1" applyAlignment="1">
      <alignment horizontal="right"/>
    </xf>
    <xf numFmtId="43" fontId="32" fillId="22" borderId="0" xfId="1" applyFont="1" applyFill="1" applyAlignment="1">
      <alignment horizontal="right" vertical="center" wrapText="1" readingOrder="2"/>
    </xf>
    <xf numFmtId="167" fontId="33" fillId="8" borderId="0" xfId="0" applyNumberFormat="1" applyFont="1" applyFill="1" applyAlignment="1">
      <alignment horizontal="right"/>
    </xf>
    <xf numFmtId="1" fontId="33" fillId="8" borderId="0" xfId="0" applyNumberFormat="1" applyFont="1" applyFill="1" applyAlignment="1">
      <alignment horizontal="right"/>
    </xf>
    <xf numFmtId="49" fontId="33" fillId="8" borderId="0" xfId="0" applyNumberFormat="1" applyFont="1" applyFill="1" applyAlignment="1">
      <alignment horizontal="right"/>
    </xf>
    <xf numFmtId="0" fontId="33" fillId="8" borderId="0" xfId="0" applyFont="1" applyFill="1" applyAlignment="1">
      <alignment horizontal="right"/>
    </xf>
    <xf numFmtId="4" fontId="33" fillId="8" borderId="0" xfId="0" applyNumberFormat="1" applyFont="1" applyFill="1" applyAlignment="1">
      <alignment horizontal="right"/>
    </xf>
    <xf numFmtId="4" fontId="0" fillId="13" borderId="0" xfId="0" applyNumberFormat="1" applyFill="1"/>
    <xf numFmtId="0" fontId="15" fillId="24" borderId="0" xfId="0" applyFont="1" applyFill="1" applyAlignment="1">
      <alignment horizontal="right"/>
    </xf>
    <xf numFmtId="49" fontId="15" fillId="24" borderId="0" xfId="0" applyNumberFormat="1" applyFont="1" applyFill="1" applyAlignment="1">
      <alignment horizontal="right"/>
    </xf>
    <xf numFmtId="1" fontId="23" fillId="24" borderId="0" xfId="0" applyNumberFormat="1" applyFont="1" applyFill="1" applyAlignment="1">
      <alignment horizontal="right"/>
    </xf>
    <xf numFmtId="0" fontId="23" fillId="24" borderId="0" xfId="0" applyFont="1" applyFill="1" applyAlignment="1">
      <alignment horizontal="right"/>
    </xf>
    <xf numFmtId="167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 applyAlignment="1">
      <alignment horizontal="right"/>
    </xf>
    <xf numFmtId="49" fontId="14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49" fontId="23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34" fillId="0" borderId="0" xfId="0" applyFont="1" applyAlignment="1">
      <alignment horizontal="right" vertical="center" readingOrder="2"/>
    </xf>
    <xf numFmtId="49" fontId="31" fillId="24" borderId="0" xfId="0" applyNumberFormat="1" applyFont="1" applyFill="1" applyAlignment="1">
      <alignment horizontal="right"/>
    </xf>
    <xf numFmtId="0" fontId="31" fillId="24" borderId="0" xfId="0" applyFont="1" applyFill="1" applyAlignment="1">
      <alignment horizontal="right"/>
    </xf>
    <xf numFmtId="1" fontId="30" fillId="24" borderId="0" xfId="0" applyNumberFormat="1" applyFont="1" applyFill="1" applyAlignment="1">
      <alignment horizontal="right"/>
    </xf>
    <xf numFmtId="0" fontId="30" fillId="24" borderId="0" xfId="0" applyFont="1" applyFill="1" applyAlignment="1">
      <alignment horizontal="right"/>
    </xf>
    <xf numFmtId="167" fontId="30" fillId="24" borderId="0" xfId="0" applyNumberFormat="1" applyFont="1" applyFill="1" applyAlignment="1">
      <alignment horizontal="right"/>
    </xf>
    <xf numFmtId="4" fontId="30" fillId="24" borderId="0" xfId="0" applyNumberFormat="1" applyFont="1" applyFill="1" applyAlignment="1">
      <alignment horizontal="right"/>
    </xf>
    <xf numFmtId="0" fontId="29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1" fontId="30" fillId="0" borderId="0" xfId="0" applyNumberFormat="1" applyFont="1" applyAlignment="1">
      <alignment horizontal="right"/>
    </xf>
    <xf numFmtId="0" fontId="30" fillId="0" borderId="0" xfId="0" applyFont="1" applyAlignment="1">
      <alignment horizontal="right"/>
    </xf>
    <xf numFmtId="167" fontId="30" fillId="0" borderId="0" xfId="0" applyNumberFormat="1" applyFont="1" applyAlignment="1">
      <alignment horizontal="right"/>
    </xf>
    <xf numFmtId="4" fontId="30" fillId="0" borderId="0" xfId="0" applyNumberFormat="1" applyFont="1" applyAlignment="1">
      <alignment horizontal="right"/>
    </xf>
    <xf numFmtId="49" fontId="30" fillId="0" borderId="0" xfId="0" applyNumberFormat="1" applyFont="1" applyAlignment="1">
      <alignment horizontal="right"/>
    </xf>
    <xf numFmtId="49" fontId="31" fillId="0" borderId="0" xfId="0" applyNumberFormat="1" applyFont="1" applyAlignment="1">
      <alignment horizontal="right"/>
    </xf>
    <xf numFmtId="0" fontId="31" fillId="0" borderId="0" xfId="0" applyFont="1" applyAlignment="1">
      <alignment horizontal="right"/>
    </xf>
    <xf numFmtId="0" fontId="12" fillId="0" borderId="0" xfId="0" applyFont="1"/>
    <xf numFmtId="0" fontId="28" fillId="22" borderId="19" xfId="0" applyFont="1" applyFill="1" applyBorder="1" applyAlignment="1">
      <alignment horizontal="center" vertical="center" wrapText="1" readingOrder="2"/>
    </xf>
    <xf numFmtId="0" fontId="28" fillId="22" borderId="0" xfId="0" applyFont="1" applyFill="1" applyAlignment="1">
      <alignment horizontal="center" vertical="center" wrapText="1" readingOrder="2"/>
    </xf>
    <xf numFmtId="0" fontId="28" fillId="22" borderId="18" xfId="0" applyFont="1" applyFill="1" applyBorder="1" applyAlignment="1">
      <alignment horizontal="center" vertical="center" wrapText="1" readingOrder="2"/>
    </xf>
    <xf numFmtId="0" fontId="6" fillId="0" borderId="0" xfId="6"/>
    <xf numFmtId="166" fontId="6" fillId="0" borderId="0" xfId="1" applyNumberFormat="1" applyFont="1"/>
    <xf numFmtId="166" fontId="2" fillId="0" borderId="0" xfId="1" applyNumberFormat="1" applyFont="1" applyAlignment="1">
      <alignment horizontal="center"/>
    </xf>
    <xf numFmtId="166" fontId="6" fillId="0" borderId="1" xfId="1" applyNumberFormat="1" applyFont="1" applyBorder="1"/>
    <xf numFmtId="166" fontId="6" fillId="0" borderId="0" xfId="6" applyNumberFormat="1"/>
    <xf numFmtId="166" fontId="36" fillId="0" borderId="0" xfId="1" applyNumberFormat="1" applyFont="1"/>
    <xf numFmtId="166" fontId="6" fillId="0" borderId="0" xfId="1" applyNumberFormat="1" applyFont="1" applyAlignment="1">
      <alignment horizontal="right"/>
    </xf>
    <xf numFmtId="166" fontId="36" fillId="0" borderId="0" xfId="1" applyNumberFormat="1" applyFont="1" applyAlignment="1">
      <alignment horizontal="right"/>
    </xf>
    <xf numFmtId="166" fontId="2" fillId="0" borderId="0" xfId="1" applyNumberFormat="1" applyFont="1" applyAlignment="1">
      <alignment horizontal="right"/>
    </xf>
    <xf numFmtId="168" fontId="38" fillId="8" borderId="20" xfId="0" applyNumberFormat="1" applyFont="1" applyFill="1" applyBorder="1" applyAlignment="1">
      <alignment horizontal="center" vertical="top" wrapText="1"/>
    </xf>
    <xf numFmtId="168" fontId="2" fillId="8" borderId="0" xfId="0" applyNumberFormat="1" applyFont="1" applyFill="1" applyAlignment="1">
      <alignment horizontal="center"/>
    </xf>
    <xf numFmtId="166" fontId="39" fillId="0" borderId="0" xfId="3" applyNumberFormat="1" applyFont="1"/>
    <xf numFmtId="168" fontId="0" fillId="0" borderId="0" xfId="0" applyNumberFormat="1"/>
    <xf numFmtId="168" fontId="2" fillId="26" borderId="21" xfId="0" applyNumberFormat="1" applyFont="1" applyFill="1" applyBorder="1" applyAlignment="1">
      <alignment horizontal="center" vertical="center"/>
    </xf>
    <xf numFmtId="168" fontId="2" fillId="0" borderId="0" xfId="0" applyNumberFormat="1" applyFont="1"/>
    <xf numFmtId="168" fontId="2" fillId="0" borderId="0" xfId="0" applyNumberFormat="1" applyFont="1" applyAlignment="1">
      <alignment horizontal="center"/>
    </xf>
    <xf numFmtId="168" fontId="0" fillId="17" borderId="0" xfId="0" applyNumberFormat="1" applyFill="1"/>
    <xf numFmtId="168" fontId="0" fillId="17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0" fontId="0" fillId="12" borderId="0" xfId="0" applyFill="1"/>
    <xf numFmtId="168" fontId="0" fillId="27" borderId="0" xfId="0" applyNumberFormat="1" applyFill="1" applyAlignment="1">
      <alignment horizontal="center"/>
    </xf>
    <xf numFmtId="168" fontId="40" fillId="27" borderId="0" xfId="7" applyNumberFormat="1" applyFont="1" applyFill="1" applyBorder="1" applyAlignment="1">
      <alignment horizontal="center"/>
    </xf>
    <xf numFmtId="168" fontId="0" fillId="27" borderId="0" xfId="0" applyNumberFormat="1" applyFill="1" applyAlignment="1">
      <alignment horizontal="center" vertical="center"/>
    </xf>
    <xf numFmtId="0" fontId="2" fillId="12" borderId="0" xfId="0" applyFont="1" applyFill="1"/>
    <xf numFmtId="168" fontId="6" fillId="27" borderId="0" xfId="0" applyNumberFormat="1" applyFont="1" applyFill="1" applyAlignment="1">
      <alignment horizontal="center"/>
    </xf>
    <xf numFmtId="0" fontId="0" fillId="28" borderId="0" xfId="0" applyFill="1"/>
    <xf numFmtId="168" fontId="6" fillId="0" borderId="0" xfId="0" applyNumberFormat="1" applyFont="1"/>
    <xf numFmtId="0" fontId="41" fillId="0" borderId="0" xfId="0" applyFont="1"/>
    <xf numFmtId="0" fontId="42" fillId="29" borderId="20" xfId="0" applyFont="1" applyFill="1" applyBorder="1" applyAlignment="1">
      <alignment horizontal="right" vertical="top" wrapText="1"/>
    </xf>
    <xf numFmtId="168" fontId="43" fillId="28" borderId="0" xfId="0" applyNumberFormat="1" applyFont="1" applyFill="1"/>
    <xf numFmtId="168" fontId="43" fillId="28" borderId="0" xfId="0" applyNumberFormat="1" applyFont="1" applyFill="1" applyAlignment="1">
      <alignment horizontal="center"/>
    </xf>
    <xf numFmtId="168" fontId="43" fillId="27" borderId="0" xfId="0" applyNumberFormat="1" applyFont="1" applyFill="1" applyAlignment="1">
      <alignment horizontal="center" vertical="center"/>
    </xf>
    <xf numFmtId="168" fontId="0" fillId="21" borderId="0" xfId="0" applyNumberFormat="1" applyFill="1"/>
    <xf numFmtId="168" fontId="0" fillId="21" borderId="0" xfId="0" applyNumberFormat="1" applyFill="1" applyAlignment="1">
      <alignment horizontal="center"/>
    </xf>
    <xf numFmtId="0" fontId="0" fillId="30" borderId="0" xfId="0" applyFill="1"/>
    <xf numFmtId="168" fontId="0" fillId="0" borderId="0" xfId="0" applyNumberFormat="1" applyAlignment="1">
      <alignment horizontal="center" vertical="center"/>
    </xf>
    <xf numFmtId="0" fontId="42" fillId="0" borderId="0" xfId="0" applyFont="1"/>
    <xf numFmtId="0" fontId="2" fillId="30" borderId="0" xfId="0" applyFont="1" applyFill="1"/>
    <xf numFmtId="168" fontId="2" fillId="10" borderId="0" xfId="0" applyNumberFormat="1" applyFont="1" applyFill="1" applyAlignment="1">
      <alignment horizontal="center"/>
    </xf>
    <xf numFmtId="168" fontId="38" fillId="10" borderId="0" xfId="0" applyNumberFormat="1" applyFont="1" applyFill="1" applyAlignment="1">
      <alignment horizontal="center"/>
    </xf>
    <xf numFmtId="168" fontId="2" fillId="28" borderId="0" xfId="0" applyNumberFormat="1" applyFont="1" applyFill="1"/>
    <xf numFmtId="168" fontId="43" fillId="0" borderId="0" xfId="0" applyNumberFormat="1" applyFont="1"/>
    <xf numFmtId="168" fontId="0" fillId="28" borderId="0" xfId="0" applyNumberFormat="1" applyFill="1"/>
    <xf numFmtId="168" fontId="0" fillId="28" borderId="0" xfId="0" applyNumberFormat="1" applyFill="1" applyAlignment="1">
      <alignment horizontal="center"/>
    </xf>
    <xf numFmtId="168" fontId="12" fillId="21" borderId="0" xfId="0" applyNumberFormat="1" applyFont="1" applyFill="1" applyAlignment="1">
      <alignment horizontal="center"/>
    </xf>
    <xf numFmtId="168" fontId="21" fillId="21" borderId="0" xfId="0" applyNumberFormat="1" applyFont="1" applyFill="1" applyAlignment="1">
      <alignment horizontal="center"/>
    </xf>
    <xf numFmtId="169" fontId="6" fillId="0" borderId="0" xfId="6" applyNumberFormat="1"/>
    <xf numFmtId="0" fontId="6" fillId="0" borderId="8" xfId="6" applyBorder="1"/>
    <xf numFmtId="169" fontId="0" fillId="0" borderId="8" xfId="8" applyNumberFormat="1" applyFont="1" applyBorder="1"/>
    <xf numFmtId="169" fontId="0" fillId="0" borderId="8" xfId="8" applyNumberFormat="1" applyFont="1" applyFill="1" applyBorder="1"/>
    <xf numFmtId="169" fontId="0" fillId="0" borderId="0" xfId="8" applyNumberFormat="1" applyFont="1"/>
    <xf numFmtId="0" fontId="2" fillId="31" borderId="8" xfId="6" applyFont="1" applyFill="1" applyBorder="1"/>
    <xf numFmtId="0" fontId="2" fillId="20" borderId="8" xfId="6" applyFont="1" applyFill="1" applyBorder="1" applyAlignment="1">
      <alignment horizontal="center" vertical="center"/>
    </xf>
    <xf numFmtId="43" fontId="2" fillId="20" borderId="8" xfId="9" applyFont="1" applyFill="1" applyBorder="1" applyAlignment="1">
      <alignment horizontal="right" vertical="center"/>
    </xf>
    <xf numFmtId="0" fontId="2" fillId="21" borderId="0" xfId="6" applyFont="1" applyFill="1" applyAlignment="1">
      <alignment vertical="center"/>
    </xf>
    <xf numFmtId="0" fontId="28" fillId="22" borderId="0" xfId="6" applyFont="1" applyFill="1" applyAlignment="1">
      <alignment horizontal="right" vertical="center" wrapText="1" readingOrder="2"/>
    </xf>
    <xf numFmtId="43" fontId="28" fillId="22" borderId="0" xfId="9" applyFont="1" applyFill="1" applyAlignment="1">
      <alignment horizontal="right" vertical="center" wrapText="1" readingOrder="2"/>
    </xf>
    <xf numFmtId="0" fontId="28" fillId="23" borderId="0" xfId="6" applyFont="1" applyFill="1" applyAlignment="1">
      <alignment horizontal="right" vertical="center" wrapText="1" readingOrder="2"/>
    </xf>
    <xf numFmtId="43" fontId="28" fillId="23" borderId="0" xfId="9" applyFont="1" applyFill="1" applyAlignment="1">
      <alignment horizontal="right" vertical="center" wrapText="1" readingOrder="2"/>
    </xf>
    <xf numFmtId="0" fontId="2" fillId="21" borderId="18" xfId="6" applyFont="1" applyFill="1" applyBorder="1" applyAlignment="1">
      <alignment vertical="center"/>
    </xf>
    <xf numFmtId="0" fontId="28" fillId="22" borderId="18" xfId="6" applyFont="1" applyFill="1" applyBorder="1" applyAlignment="1">
      <alignment horizontal="right" vertical="center" wrapText="1" readingOrder="2"/>
    </xf>
    <xf numFmtId="43" fontId="28" fillId="22" borderId="18" xfId="9" applyFont="1" applyFill="1" applyBorder="1" applyAlignment="1">
      <alignment horizontal="right" vertical="center" wrapText="1" readingOrder="2"/>
    </xf>
    <xf numFmtId="0" fontId="28" fillId="22" borderId="0" xfId="6" applyFont="1" applyFill="1" applyAlignment="1">
      <alignment horizontal="right" vertical="center" readingOrder="2"/>
    </xf>
    <xf numFmtId="0" fontId="28" fillId="22" borderId="0" xfId="6" applyFont="1" applyFill="1" applyAlignment="1">
      <alignment vertical="center" wrapText="1" readingOrder="2"/>
    </xf>
    <xf numFmtId="0" fontId="28" fillId="22" borderId="18" xfId="6" applyFont="1" applyFill="1" applyBorder="1" applyAlignment="1">
      <alignment horizontal="right" vertical="center" readingOrder="2"/>
    </xf>
    <xf numFmtId="0" fontId="28" fillId="22" borderId="18" xfId="6" applyFont="1" applyFill="1" applyBorder="1" applyAlignment="1">
      <alignment vertical="center" readingOrder="2"/>
    </xf>
    <xf numFmtId="0" fontId="2" fillId="21" borderId="1" xfId="6" applyFont="1" applyFill="1" applyBorder="1" applyAlignment="1">
      <alignment vertical="center"/>
    </xf>
    <xf numFmtId="0" fontId="28" fillId="23" borderId="1" xfId="6" applyFont="1" applyFill="1" applyBorder="1" applyAlignment="1">
      <alignment horizontal="right" vertical="center" wrapText="1" readingOrder="2"/>
    </xf>
    <xf numFmtId="43" fontId="28" fillId="23" borderId="1" xfId="9" applyFont="1" applyFill="1" applyBorder="1" applyAlignment="1">
      <alignment horizontal="right" vertical="center" wrapText="1" readingOrder="2"/>
    </xf>
    <xf numFmtId="43" fontId="34" fillId="22" borderId="0" xfId="9" applyFont="1" applyFill="1" applyAlignment="1">
      <alignment horizontal="right" vertical="center" wrapText="1" readingOrder="2"/>
    </xf>
    <xf numFmtId="43" fontId="34" fillId="23" borderId="0" xfId="9" applyFont="1" applyFill="1" applyAlignment="1">
      <alignment horizontal="right" vertical="center" wrapText="1" readingOrder="2"/>
    </xf>
    <xf numFmtId="17" fontId="2" fillId="10" borderId="8" xfId="6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43" fontId="34" fillId="10" borderId="0" xfId="9" applyFont="1" applyFill="1" applyAlignment="1">
      <alignment horizontal="right" vertical="center" wrapText="1" readingOrder="2"/>
    </xf>
    <xf numFmtId="0" fontId="0" fillId="10" borderId="0" xfId="0" applyFill="1"/>
    <xf numFmtId="0" fontId="28" fillId="10" borderId="0" xfId="6" applyFont="1" applyFill="1" applyAlignment="1">
      <alignment horizontal="right" vertical="center" wrapText="1" readingOrder="2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22" xfId="3" applyBorder="1" applyAlignment="1">
      <alignment horizontal="right" vertical="center"/>
    </xf>
    <xf numFmtId="49" fontId="11" fillId="0" borderId="22" xfId="3" applyNumberFormat="1" applyBorder="1" applyAlignment="1">
      <alignment horizontal="right" vertical="center"/>
    </xf>
    <xf numFmtId="0" fontId="6" fillId="0" borderId="22" xfId="0" applyFont="1" applyBorder="1"/>
    <xf numFmtId="43" fontId="0" fillId="0" borderId="0" xfId="0" applyNumberFormat="1"/>
    <xf numFmtId="0" fontId="24" fillId="0" borderId="0" xfId="0" applyFont="1" applyAlignment="1">
      <alignment horizontal="right" vertical="center" indent="1" readingOrder="2"/>
    </xf>
    <xf numFmtId="0" fontId="24" fillId="0" borderId="0" xfId="0" applyFont="1"/>
    <xf numFmtId="0" fontId="0" fillId="0" borderId="22" xfId="0" applyBorder="1"/>
    <xf numFmtId="0" fontId="4" fillId="0" borderId="22" xfId="0" applyFont="1" applyBorder="1"/>
    <xf numFmtId="0" fontId="4" fillId="8" borderId="22" xfId="0" applyFont="1" applyFill="1" applyBorder="1"/>
    <xf numFmtId="164" fontId="0" fillId="10" borderId="0" xfId="0" applyNumberFormat="1" applyFill="1"/>
    <xf numFmtId="171" fontId="0" fillId="0" borderId="0" xfId="0" applyNumberFormat="1"/>
    <xf numFmtId="0" fontId="6" fillId="0" borderId="22" xfId="6" applyBorder="1" applyAlignment="1">
      <alignment horizontal="right" vertical="center"/>
    </xf>
    <xf numFmtId="49" fontId="6" fillId="0" borderId="22" xfId="6" applyNumberFormat="1" applyBorder="1" applyAlignment="1">
      <alignment horizontal="right" vertical="center"/>
    </xf>
    <xf numFmtId="164" fontId="6" fillId="0" borderId="22" xfId="0" applyNumberFormat="1" applyFont="1" applyBorder="1"/>
    <xf numFmtId="9" fontId="0" fillId="0" borderId="0" xfId="0" applyNumberFormat="1"/>
    <xf numFmtId="166" fontId="0" fillId="8" borderId="0" xfId="1" applyNumberFormat="1" applyFont="1" applyFill="1"/>
    <xf numFmtId="0" fontId="45" fillId="32" borderId="8" xfId="0" applyFont="1" applyFill="1" applyBorder="1" applyAlignment="1">
      <alignment horizontal="center" vertical="center" readingOrder="2"/>
    </xf>
    <xf numFmtId="0" fontId="45" fillId="32" borderId="8" xfId="0" applyFont="1" applyFill="1" applyBorder="1" applyAlignment="1">
      <alignment horizontal="right" vertical="center" readingOrder="2"/>
    </xf>
    <xf numFmtId="0" fontId="45" fillId="33" borderId="0" xfId="0" applyFont="1" applyFill="1" applyAlignment="1">
      <alignment horizontal="right" vertical="center" readingOrder="2"/>
    </xf>
    <xf numFmtId="0" fontId="28" fillId="34" borderId="0" xfId="0" applyFont="1" applyFill="1" applyAlignment="1">
      <alignment horizontal="right" vertical="center" wrapText="1" readingOrder="2"/>
    </xf>
    <xf numFmtId="0" fontId="46" fillId="33" borderId="0" xfId="0" applyFont="1" applyFill="1" applyAlignment="1">
      <alignment vertical="center"/>
    </xf>
    <xf numFmtId="0" fontId="28" fillId="35" borderId="0" xfId="0" applyFont="1" applyFill="1" applyAlignment="1">
      <alignment horizontal="right" vertical="center" wrapText="1" readingOrder="2"/>
    </xf>
    <xf numFmtId="0" fontId="46" fillId="33" borderId="8" xfId="0" applyFont="1" applyFill="1" applyBorder="1" applyAlignment="1">
      <alignment vertical="center"/>
    </xf>
    <xf numFmtId="0" fontId="28" fillId="35" borderId="8" xfId="0" applyFont="1" applyFill="1" applyBorder="1" applyAlignment="1">
      <alignment horizontal="right" vertical="center" wrapText="1" readingOrder="2"/>
    </xf>
    <xf numFmtId="0" fontId="45" fillId="33" borderId="8" xfId="0" applyFont="1" applyFill="1" applyBorder="1" applyAlignment="1">
      <alignment horizontal="right" vertical="center" readingOrder="2"/>
    </xf>
    <xf numFmtId="0" fontId="47" fillId="0" borderId="0" xfId="0" applyFont="1" applyAlignment="1">
      <alignment horizontal="right" vertical="center" readingOrder="2"/>
    </xf>
    <xf numFmtId="3" fontId="28" fillId="34" borderId="0" xfId="0" applyNumberFormat="1" applyFont="1" applyFill="1" applyAlignment="1">
      <alignment horizontal="left" vertical="center" wrapText="1" readingOrder="2"/>
    </xf>
    <xf numFmtId="3" fontId="0" fillId="0" borderId="0" xfId="0" applyNumberFormat="1"/>
    <xf numFmtId="3" fontId="28" fillId="35" borderId="0" xfId="0" applyNumberFormat="1" applyFont="1" applyFill="1" applyAlignment="1">
      <alignment horizontal="left" vertical="center" wrapText="1" readingOrder="2"/>
    </xf>
    <xf numFmtId="3" fontId="28" fillId="35" borderId="8" xfId="0" applyNumberFormat="1" applyFont="1" applyFill="1" applyBorder="1" applyAlignment="1">
      <alignment horizontal="left" vertical="center" wrapText="1" readingOrder="2"/>
    </xf>
    <xf numFmtId="3" fontId="34" fillId="34" borderId="0" xfId="0" applyNumberFormat="1" applyFont="1" applyFill="1" applyAlignment="1">
      <alignment horizontal="left" vertical="center" wrapText="1" readingOrder="2"/>
    </xf>
    <xf numFmtId="3" fontId="34" fillId="35" borderId="0" xfId="0" applyNumberFormat="1" applyFont="1" applyFill="1" applyAlignment="1">
      <alignment horizontal="left" vertical="center" wrapText="1" readingOrder="2"/>
    </xf>
    <xf numFmtId="164" fontId="6" fillId="8" borderId="0" xfId="0" applyNumberFormat="1" applyFont="1" applyFill="1"/>
    <xf numFmtId="164" fontId="22" fillId="8" borderId="0" xfId="0" applyNumberFormat="1" applyFont="1" applyFill="1"/>
    <xf numFmtId="164" fontId="6" fillId="13" borderId="0" xfId="0" applyNumberFormat="1" applyFont="1" applyFill="1"/>
    <xf numFmtId="166" fontId="6" fillId="13" borderId="0" xfId="1" applyNumberFormat="1" applyFont="1" applyFill="1"/>
    <xf numFmtId="0" fontId="2" fillId="31" borderId="8" xfId="0" applyFont="1" applyFill="1" applyBorder="1"/>
    <xf numFmtId="0" fontId="0" fillId="0" borderId="8" xfId="0" applyBorder="1"/>
    <xf numFmtId="169" fontId="0" fillId="8" borderId="0" xfId="8" applyNumberFormat="1" applyFont="1" applyFill="1"/>
    <xf numFmtId="169" fontId="0" fillId="0" borderId="0" xfId="0" applyNumberFormat="1"/>
    <xf numFmtId="169" fontId="0" fillId="0" borderId="18" xfId="8" applyNumberFormat="1" applyFont="1" applyBorder="1"/>
    <xf numFmtId="0" fontId="6" fillId="8" borderId="0" xfId="6" applyFill="1"/>
    <xf numFmtId="169" fontId="0" fillId="0" borderId="0" xfId="8" applyNumberFormat="1" applyFont="1" applyFill="1"/>
    <xf numFmtId="0" fontId="47" fillId="0" borderId="23" xfId="0" applyFont="1" applyBorder="1" applyAlignment="1">
      <alignment horizontal="right" vertical="center" readingOrder="2"/>
    </xf>
    <xf numFmtId="0" fontId="47" fillId="0" borderId="9" xfId="0" applyFont="1" applyBorder="1" applyAlignment="1">
      <alignment horizontal="right" vertical="center" readingOrder="2"/>
    </xf>
    <xf numFmtId="0" fontId="11" fillId="0" borderId="0" xfId="10" applyAlignment="1">
      <alignment horizontal="right" vertical="center"/>
    </xf>
    <xf numFmtId="49" fontId="11" fillId="0" borderId="0" xfId="1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22" xfId="0" applyBorder="1" applyAlignment="1">
      <alignment horizontal="right" readingOrder="2"/>
    </xf>
    <xf numFmtId="0" fontId="6" fillId="36" borderId="0" xfId="6" applyFill="1" applyAlignment="1">
      <alignment horizontal="right" vertical="center" readingOrder="2"/>
    </xf>
    <xf numFmtId="0" fontId="49" fillId="36" borderId="0" xfId="6" applyFont="1" applyFill="1" applyAlignment="1">
      <alignment horizontal="right" vertical="center" readingOrder="2"/>
    </xf>
    <xf numFmtId="0" fontId="49" fillId="36" borderId="24" xfId="6" applyFont="1" applyFill="1" applyBorder="1" applyAlignment="1">
      <alignment horizontal="left" vertical="center" readingOrder="1"/>
    </xf>
    <xf numFmtId="0" fontId="50" fillId="37" borderId="24" xfId="6" applyFont="1" applyFill="1" applyBorder="1" applyAlignment="1">
      <alignment horizontal="right" vertical="center" readingOrder="2"/>
    </xf>
    <xf numFmtId="0" fontId="48" fillId="36" borderId="0" xfId="6" applyFont="1" applyFill="1"/>
    <xf numFmtId="0" fontId="49" fillId="36" borderId="24" xfId="6" applyFont="1" applyFill="1" applyBorder="1" applyAlignment="1">
      <alignment horizontal="right" vertical="center" readingOrder="2"/>
    </xf>
    <xf numFmtId="0" fontId="49" fillId="36" borderId="0" xfId="6" applyFont="1" applyFill="1" applyAlignment="1">
      <alignment vertical="center" readingOrder="2"/>
    </xf>
    <xf numFmtId="169" fontId="48" fillId="36" borderId="0" xfId="9" applyNumberFormat="1" applyFont="1" applyFill="1" applyAlignment="1"/>
    <xf numFmtId="169" fontId="49" fillId="36" borderId="0" xfId="9" applyNumberFormat="1" applyFont="1" applyFill="1" applyAlignment="1">
      <alignment horizontal="left" vertical="center" readingOrder="1"/>
    </xf>
    <xf numFmtId="169" fontId="49" fillId="36" borderId="0" xfId="9" applyNumberFormat="1" applyFont="1" applyFill="1" applyAlignment="1">
      <alignment vertical="center" readingOrder="2"/>
    </xf>
    <xf numFmtId="169" fontId="49" fillId="36" borderId="24" xfId="9" applyNumberFormat="1" applyFont="1" applyFill="1" applyBorder="1" applyAlignment="1">
      <alignment horizontal="left" vertical="center" readingOrder="1"/>
    </xf>
    <xf numFmtId="0" fontId="51" fillId="32" borderId="8" xfId="0" applyFont="1" applyFill="1" applyBorder="1" applyAlignment="1">
      <alignment horizontal="center" vertical="center" readingOrder="2"/>
    </xf>
    <xf numFmtId="0" fontId="51" fillId="32" borderId="8" xfId="0" applyFont="1" applyFill="1" applyBorder="1" applyAlignment="1">
      <alignment horizontal="right" vertical="center" readingOrder="2"/>
    </xf>
    <xf numFmtId="0" fontId="51" fillId="33" borderId="0" xfId="0" applyFont="1" applyFill="1" applyAlignment="1">
      <alignment horizontal="right" vertical="center" readingOrder="2"/>
    </xf>
    <xf numFmtId="0" fontId="47" fillId="34" borderId="0" xfId="0" applyFont="1" applyFill="1" applyAlignment="1">
      <alignment horizontal="right" vertical="center" wrapText="1" readingOrder="2"/>
    </xf>
    <xf numFmtId="0" fontId="51" fillId="33" borderId="0" xfId="0" applyFont="1" applyFill="1" applyAlignment="1">
      <alignment vertical="center"/>
    </xf>
    <xf numFmtId="0" fontId="47" fillId="35" borderId="0" xfId="0" applyFont="1" applyFill="1" applyAlignment="1">
      <alignment horizontal="right" vertical="center" wrapText="1" readingOrder="2"/>
    </xf>
    <xf numFmtId="0" fontId="51" fillId="33" borderId="8" xfId="0" applyFont="1" applyFill="1" applyBorder="1" applyAlignment="1">
      <alignment vertical="center"/>
    </xf>
    <xf numFmtId="0" fontId="47" fillId="35" borderId="8" xfId="0" applyFont="1" applyFill="1" applyBorder="1" applyAlignment="1">
      <alignment horizontal="right" vertical="center" wrapText="1" readingOrder="2"/>
    </xf>
    <xf numFmtId="0" fontId="51" fillId="33" borderId="8" xfId="0" applyFont="1" applyFill="1" applyBorder="1" applyAlignment="1">
      <alignment horizontal="right" vertical="center" readingOrder="2"/>
    </xf>
    <xf numFmtId="1" fontId="47" fillId="34" borderId="0" xfId="0" applyNumberFormat="1" applyFont="1" applyFill="1" applyAlignment="1">
      <alignment horizontal="left" vertical="center" wrapText="1" readingOrder="2"/>
    </xf>
    <xf numFmtId="1" fontId="47" fillId="35" borderId="0" xfId="0" applyNumberFormat="1" applyFont="1" applyFill="1" applyAlignment="1">
      <alignment horizontal="left" vertical="center" wrapText="1" readingOrder="2"/>
    </xf>
    <xf numFmtId="1" fontId="47" fillId="35" borderId="8" xfId="0" applyNumberFormat="1" applyFont="1" applyFill="1" applyBorder="1" applyAlignment="1">
      <alignment horizontal="left" vertical="center" wrapText="1" readingOrder="2"/>
    </xf>
    <xf numFmtId="3" fontId="47" fillId="34" borderId="0" xfId="0" applyNumberFormat="1" applyFont="1" applyFill="1" applyAlignment="1">
      <alignment horizontal="left" vertical="center" wrapText="1" readingOrder="2"/>
    </xf>
    <xf numFmtId="3" fontId="47" fillId="35" borderId="0" xfId="0" applyNumberFormat="1" applyFont="1" applyFill="1" applyAlignment="1">
      <alignment horizontal="left" vertical="center" wrapText="1" readingOrder="2"/>
    </xf>
    <xf numFmtId="166" fontId="6" fillId="0" borderId="0" xfId="6" applyNumberFormat="1" applyAlignment="1">
      <alignment horizontal="center"/>
    </xf>
    <xf numFmtId="166" fontId="6" fillId="0" borderId="0" xfId="1" applyNumberFormat="1" applyFont="1" applyAlignment="1">
      <alignment horizontal="right"/>
    </xf>
    <xf numFmtId="166" fontId="6" fillId="0" borderId="0" xfId="1" applyNumberFormat="1" applyFont="1" applyAlignment="1">
      <alignment horizontal="center"/>
    </xf>
    <xf numFmtId="0" fontId="49" fillId="36" borderId="0" xfId="6" applyFont="1" applyFill="1" applyAlignment="1">
      <alignment horizontal="center" vertical="center" readingOrder="2"/>
    </xf>
    <xf numFmtId="0" fontId="2" fillId="21" borderId="19" xfId="6" applyFont="1" applyFill="1" applyBorder="1" applyAlignment="1">
      <alignment horizontal="center" vertical="center"/>
    </xf>
    <xf numFmtId="0" fontId="2" fillId="21" borderId="0" xfId="6" applyFont="1" applyFill="1" applyAlignment="1">
      <alignment horizontal="center" vertical="center"/>
    </xf>
    <xf numFmtId="0" fontId="45" fillId="33" borderId="5" xfId="0" applyFont="1" applyFill="1" applyBorder="1" applyAlignment="1">
      <alignment horizontal="center" vertical="center" readingOrder="2"/>
    </xf>
    <xf numFmtId="0" fontId="45" fillId="33" borderId="0" xfId="0" applyFont="1" applyFill="1" applyAlignment="1">
      <alignment horizontal="center" vertical="center" readingOrder="2"/>
    </xf>
    <xf numFmtId="0" fontId="47" fillId="34" borderId="5" xfId="0" applyFont="1" applyFill="1" applyBorder="1" applyAlignment="1">
      <alignment horizontal="center" vertical="center" wrapText="1" readingOrder="2"/>
    </xf>
    <xf numFmtId="0" fontId="47" fillId="34" borderId="0" xfId="0" applyFont="1" applyFill="1" applyAlignment="1">
      <alignment horizontal="center" vertical="center" wrapText="1" readingOrder="2"/>
    </xf>
    <xf numFmtId="0" fontId="47" fillId="34" borderId="24" xfId="0" applyFont="1" applyFill="1" applyBorder="1" applyAlignment="1">
      <alignment horizontal="center" vertical="center" wrapText="1" readingOrder="2"/>
    </xf>
    <xf numFmtId="0" fontId="51" fillId="33" borderId="5" xfId="0" applyFont="1" applyFill="1" applyBorder="1" applyAlignment="1">
      <alignment horizontal="center" vertical="center" readingOrder="2"/>
    </xf>
    <xf numFmtId="0" fontId="51" fillId="33" borderId="0" xfId="0" applyFont="1" applyFill="1" applyAlignment="1">
      <alignment horizontal="center" vertical="center" readingOrder="2"/>
    </xf>
  </cellXfs>
  <cellStyles count="11">
    <cellStyle name="Comma" xfId="1" builtinId="3"/>
    <cellStyle name="Comma 2" xfId="4" xr:uid="{38BE0B5A-2D17-48A1-AEE9-0B3100BC03C3}"/>
    <cellStyle name="Comma 3" xfId="8" xr:uid="{B5766E3D-4B20-4FAC-A875-F83A9F8F3D51}"/>
    <cellStyle name="Comma 4" xfId="9" xr:uid="{49536B07-32BE-430B-9291-F3033F07CEF8}"/>
    <cellStyle name="Neutral" xfId="7" builtinId="28"/>
    <cellStyle name="Normal" xfId="0" builtinId="0"/>
    <cellStyle name="Normal 2" xfId="3" xr:uid="{529F7015-D942-4BAF-84AF-5896C68C652B}"/>
    <cellStyle name="Normal 3" xfId="6" xr:uid="{B2A9F874-38AA-4196-A878-448C0DD1515E}"/>
    <cellStyle name="Normal 4" xfId="10" xr:uid="{67DB6925-0693-47FD-89D6-0BE45FE25D52}"/>
    <cellStyle name="Note" xfId="5" builtinId="10"/>
    <cellStyle name="Percent" xfId="2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pivotCacheDefinition" Target="pivotCache/pivotCacheDefinition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20</xdr:row>
      <xdr:rowOff>0</xdr:rowOff>
    </xdr:from>
    <xdr:to>
      <xdr:col>19</xdr:col>
      <xdr:colOff>745701</xdr:colOff>
      <xdr:row>38</xdr:row>
      <xdr:rowOff>267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4004689-1C3A-A213-1A9C-9FD961FE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9669359" y="3429000"/>
          <a:ext cx="9762066" cy="3086367"/>
        </a:xfrm>
        <a:prstGeom prst="rect">
          <a:avLst/>
        </a:prstGeom>
      </xdr:spPr>
    </xdr:pic>
    <xdr:clientData/>
  </xdr:twoCellAnchor>
  <xdr:twoCellAnchor editAs="oneCell">
    <xdr:from>
      <xdr:col>18</xdr:col>
      <xdr:colOff>659130</xdr:colOff>
      <xdr:row>51</xdr:row>
      <xdr:rowOff>333376</xdr:rowOff>
    </xdr:from>
    <xdr:to>
      <xdr:col>32</xdr:col>
      <xdr:colOff>529692</xdr:colOff>
      <xdr:row>75</xdr:row>
      <xdr:rowOff>93829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F5E2CAB4-0FBF-AA1F-A439-FAA45D306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2486348" y="9572626"/>
          <a:ext cx="9551772" cy="4822038"/>
        </a:xfrm>
        <a:prstGeom prst="rect">
          <a:avLst/>
        </a:prstGeom>
      </xdr:spPr>
    </xdr:pic>
    <xdr:clientData/>
  </xdr:twoCellAnchor>
  <xdr:twoCellAnchor editAs="oneCell">
    <xdr:from>
      <xdr:col>18</xdr:col>
      <xdr:colOff>645795</xdr:colOff>
      <xdr:row>79</xdr:row>
      <xdr:rowOff>2620</xdr:rowOff>
    </xdr:from>
    <xdr:to>
      <xdr:col>36</xdr:col>
      <xdr:colOff>441254</xdr:colOff>
      <xdr:row>104</xdr:row>
      <xdr:rowOff>423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03E6A76A-9E47-5C41-647C-32820608B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99911596" y="14985445"/>
          <a:ext cx="12139859" cy="427452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120</xdr:row>
      <xdr:rowOff>198</xdr:rowOff>
    </xdr:from>
    <xdr:to>
      <xdr:col>17</xdr:col>
      <xdr:colOff>0</xdr:colOff>
      <xdr:row>120</xdr:row>
      <xdr:rowOff>198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C42C64F9-9BB4-4A26-A808-BF12A3DC3A0B}"/>
            </a:ext>
          </a:extLst>
        </xdr:cNvPr>
        <xdr:cNvCxnSpPr/>
      </xdr:nvCxnSpPr>
      <xdr:spPr>
        <a:xfrm flipH="1">
          <a:off x="10975055520" y="1633499598"/>
          <a:ext cx="1472184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17</xdr:col>
      <xdr:colOff>0</xdr:colOff>
      <xdr:row>10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D53FF93D-25CE-4974-979F-8CDBCD35E64E}"/>
            </a:ext>
          </a:extLst>
        </xdr:cNvPr>
        <xdr:cNvCxnSpPr/>
      </xdr:nvCxnSpPr>
      <xdr:spPr>
        <a:xfrm flipH="1">
          <a:off x="10975055520" y="4283445840"/>
          <a:ext cx="1472184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144</xdr:row>
      <xdr:rowOff>99</xdr:rowOff>
    </xdr:from>
    <xdr:to>
      <xdr:col>17</xdr:col>
      <xdr:colOff>0</xdr:colOff>
      <xdr:row>144</xdr:row>
      <xdr:rowOff>99</xdr:rowOff>
    </xdr:to>
    <xdr:cxnSp macro="">
      <xdr:nvCxnSpPr>
        <xdr:cNvPr id="3" name="מחבר ישר 2">
          <a:extLst>
            <a:ext uri="{FF2B5EF4-FFF2-40B4-BE49-F238E27FC236}">
              <a16:creationId xmlns:a16="http://schemas.microsoft.com/office/drawing/2014/main" id="{5513BF0A-6D8B-488C-83AF-6C67B6C3DDE5}"/>
            </a:ext>
          </a:extLst>
        </xdr:cNvPr>
        <xdr:cNvCxnSpPr/>
      </xdr:nvCxnSpPr>
      <xdr:spPr>
        <a:xfrm>
          <a:off x="10975055520" y="1379540139"/>
          <a:ext cx="1472184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9.25/&#1512;&#1495;&#1493;&#1489;&#1493;&#1514;%20&#1506;&#1500;&#1493;&#1514;%20&#1513;&#1499;&#1512;%20&#1488;&#1504;&#1500;&#1497;&#1496;&#1497;%209.25.xlsx" TargetMode="External"/><Relationship Id="rId1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9.25/&#1512;&#1495;&#1493;&#1489;&#1493;&#1514;%20&#1506;&#1500;&#1493;&#1514;%20&#1513;&#1499;&#1512;%20&#1488;&#1504;&#1500;&#1497;&#1496;&#1497;%209.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2.26/&#1511;&#1489;&#1510;&#1497;&#1501;%20&#1505;&#1493;&#1508;&#1497;&#1497;&#1501;%202.26/&#1512;&#1495;&#1493;&#1489;&#1493;&#1514;%202.26%20&#1492;&#1513;&#1493;&#1493;&#1488;&#1514;&#1497;%20&#1506;&#1501;%20&#1492;&#1506;&#1512;&#1493;&#1514;.xlsx" TargetMode="External"/><Relationship Id="rId1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2.26/&#1511;&#1489;&#1510;&#1497;&#1501;%20&#1505;&#1493;&#1508;&#1497;&#1497;&#1501;%202.26/&#1512;&#1495;&#1493;&#1489;&#1493;&#1514;%202.26%20&#1492;&#1513;&#1493;&#1493;&#1488;&#1514;&#1497;%20&#1506;&#1501;%20&#1492;&#1506;&#1512;&#1493;&#1514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3.26/&#1512;&#1495;&#1493;&#1489;&#1493;&#1514;%20&#1492;&#1513;&#1493;&#1493;&#1488;&#1514;&#1497;%203.26_&#1506;&#1501;%20&#1492;&#1506;&#1512;&#1493;&#1514;.xlsx" TargetMode="External"/><Relationship Id="rId1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3.26/&#1512;&#1495;&#1493;&#1489;&#1493;&#1514;%20&#1492;&#1513;&#1493;&#1493;&#1488;&#1514;&#1497;%203.26_&#1506;&#1501;%20&#1492;&#1506;&#1512;&#1493;&#1514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9.25/&#1489;&#1488;&#1512;%20&#1513;&#1489;&#1506;%20&#1506;&#1500;&#1493;&#1514;%20&#1513;&#1499;&#1512;%20&#1488;&#1504;&#1500;&#1497;&#1496;&#1497;%209.25.xlsx" TargetMode="External"/><Relationship Id="rId1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9.25/&#1489;&#1488;&#1512;%20&#1513;&#1489;&#1506;%20&#1506;&#1500;&#1493;&#1514;%20&#1513;&#1499;&#1512;%20&#1488;&#1504;&#1500;&#1497;&#1496;&#1497;%209.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9.25/&#1502;&#1497;%20&#1493;&#1493;&#1496;%20&#1506;&#1500;&#1493;&#1514;%20&#1513;&#1499;&#1512;%20&#1488;&#1504;&#1500;&#1497;&#1496;&#1497;%209.25.xlsx" TargetMode="External"/><Relationship Id="rId1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9.25/&#1502;&#1497;%20&#1493;&#1493;&#1496;%20&#1506;&#1500;&#1493;&#1514;%20&#1513;&#1499;&#1512;%20&#1488;&#1504;&#1500;&#1497;&#1496;&#1497;%209.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11.25/&#1495;&#1497;&#1508;&#1492;%20&#1505;&#1493;&#1508;&#1497;/&#1495;&#1497;&#1508;&#1492;%2011.25.xlsx" TargetMode="External"/><Relationship Id="rId1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11.25/&#1495;&#1497;&#1508;&#1492;%20&#1505;&#1493;&#1508;&#1497;/&#1495;&#1497;&#1508;&#1492;%2011.2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2.26/&#1511;&#1489;&#1510;&#1497;&#1501;%20&#1505;&#1493;&#1508;&#1497;&#1497;&#1501;%202.26/&#1499;&#1508;&#1512;%20&#1505;&#1489;&#1488;%202.26%20&#1489;&#1511;&#1512;&#1514;%20&#1513;&#1499;&#1512;.xlsx" TargetMode="External"/><Relationship Id="rId1" Type="http://schemas.openxmlformats.org/officeDocument/2006/relationships/externalLinkPath" Target="https://chavatdaat.sharepoint.com/sites/chavatdaat/Shared%20Documents/&#1499;&#1505;&#1508;&#1497;&#1501;/finance/&#1504;&#1514;&#1493;&#1504;&#1497;&#1501;%20010226/&#1513;&#1499;&#1512;/2.26/&#1511;&#1489;&#1510;&#1497;&#1501;%20&#1505;&#1493;&#1508;&#1497;&#1497;&#1501;%202.26/&#1499;&#1508;&#1512;%20&#1505;&#1489;&#1488;%202.26%20&#1489;&#1511;&#1512;&#1514;%20&#1513;&#1499;&#1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שוואה"/>
      <sheetName val="1.26"/>
      <sheetName val="12.25"/>
      <sheetName val="11.25 מעודכן"/>
      <sheetName val="11.25"/>
      <sheetName val="10.25 מעודכן"/>
      <sheetName val="10.25"/>
      <sheetName val="9.25"/>
      <sheetName val="8.25"/>
      <sheetName val="השוואה (2)"/>
    </sheetNames>
    <sheetDataSet>
      <sheetData sheetId="0">
        <row r="2">
          <cell r="A2" t="str">
            <v>0002 - אריאלי שרון</v>
          </cell>
          <cell r="B2">
            <v>18212.310000000001</v>
          </cell>
          <cell r="C2">
            <v>17869.13</v>
          </cell>
          <cell r="D2">
            <v>17744.38</v>
          </cell>
          <cell r="E2">
            <v>15471.92</v>
          </cell>
          <cell r="F2">
            <v>16429.71</v>
          </cell>
          <cell r="G2">
            <v>16425.54</v>
          </cell>
        </row>
        <row r="3">
          <cell r="A3" t="str">
            <v>0004 - ארוגטי עירית</v>
          </cell>
          <cell r="B3">
            <v>23408.7</v>
          </cell>
          <cell r="C3">
            <v>24056.11</v>
          </cell>
          <cell r="D3">
            <v>24101.48</v>
          </cell>
          <cell r="E3">
            <v>21703.96</v>
          </cell>
          <cell r="F3">
            <v>21952.52</v>
          </cell>
          <cell r="G3">
            <v>22436.2</v>
          </cell>
        </row>
        <row r="4">
          <cell r="A4" t="str">
            <v>0005 - הראל מיכל</v>
          </cell>
          <cell r="B4">
            <v>23191.37</v>
          </cell>
          <cell r="C4">
            <v>1220.52</v>
          </cell>
          <cell r="D4">
            <v>1220.52</v>
          </cell>
          <cell r="E4">
            <v>1220.52</v>
          </cell>
          <cell r="F4">
            <v>29894.55</v>
          </cell>
          <cell r="G4"/>
        </row>
        <row r="5">
          <cell r="A5" t="str">
            <v>0007 - דבורקין אן</v>
          </cell>
          <cell r="B5">
            <v>24022.37</v>
          </cell>
          <cell r="C5">
            <v>13044.4</v>
          </cell>
          <cell r="D5"/>
          <cell r="E5"/>
          <cell r="F5"/>
          <cell r="G5"/>
        </row>
        <row r="6">
          <cell r="A6" t="str">
            <v>0009 - פרידמן מיכל</v>
          </cell>
          <cell r="B6">
            <v>22333.119999999999</v>
          </cell>
          <cell r="C6">
            <v>23348.95</v>
          </cell>
          <cell r="D6">
            <v>18724.41</v>
          </cell>
          <cell r="E6">
            <v>19000.38</v>
          </cell>
          <cell r="F6">
            <v>65410.83</v>
          </cell>
          <cell r="G6"/>
        </row>
        <row r="7">
          <cell r="A7" t="str">
            <v>0010 - קובזב מרגריטה</v>
          </cell>
          <cell r="B7">
            <v>12286.9</v>
          </cell>
          <cell r="C7">
            <v>14610.73</v>
          </cell>
          <cell r="D7">
            <v>11486.28</v>
          </cell>
          <cell r="E7">
            <v>12472.96</v>
          </cell>
          <cell r="F7">
            <v>13117.94</v>
          </cell>
          <cell r="G7">
            <v>13195.99</v>
          </cell>
        </row>
        <row r="8">
          <cell r="A8" t="str">
            <v>0011 - הראל טל</v>
          </cell>
          <cell r="B8">
            <v>18090.77</v>
          </cell>
          <cell r="C8">
            <v>14816.17</v>
          </cell>
          <cell r="D8">
            <v>18970.3</v>
          </cell>
          <cell r="E8">
            <v>15295.71</v>
          </cell>
          <cell r="F8">
            <v>14534.22</v>
          </cell>
          <cell r="G8">
            <v>16665.64</v>
          </cell>
        </row>
        <row r="9">
          <cell r="A9" t="str">
            <v>0012 - בסיוני פאוזי</v>
          </cell>
          <cell r="B9">
            <v>4859.22</v>
          </cell>
          <cell r="C9">
            <v>11715.02</v>
          </cell>
          <cell r="D9">
            <v>12540.03</v>
          </cell>
          <cell r="E9">
            <v>693.88</v>
          </cell>
          <cell r="F9">
            <v>861.95</v>
          </cell>
          <cell r="G9">
            <v>647.38</v>
          </cell>
        </row>
        <row r="10">
          <cell r="A10" t="str">
            <v>0013 - פאר יונית</v>
          </cell>
          <cell r="B10">
            <v>19161.32</v>
          </cell>
          <cell r="C10">
            <v>18796.48</v>
          </cell>
          <cell r="D10">
            <v>16975.22</v>
          </cell>
          <cell r="E10">
            <v>15566.24</v>
          </cell>
          <cell r="F10">
            <v>19474.45</v>
          </cell>
          <cell r="G10">
            <v>19087.43</v>
          </cell>
        </row>
        <row r="11">
          <cell r="A11" t="str">
            <v>0014 - אבידן קינג מלי</v>
          </cell>
          <cell r="B11">
            <v>20213.21</v>
          </cell>
          <cell r="C11">
            <v>16563.080000000002</v>
          </cell>
          <cell r="D11">
            <v>2348.67</v>
          </cell>
          <cell r="E11">
            <v>3017.41</v>
          </cell>
          <cell r="F11">
            <v>3459.83</v>
          </cell>
          <cell r="G11">
            <v>3546.64</v>
          </cell>
        </row>
        <row r="12">
          <cell r="A12" t="str">
            <v>0018 - מזרחי מעיין</v>
          </cell>
          <cell r="B12">
            <v>848.83</v>
          </cell>
          <cell r="C12">
            <v>4151.07</v>
          </cell>
          <cell r="D12">
            <v>7608.01</v>
          </cell>
          <cell r="E12">
            <v>10983.57</v>
          </cell>
          <cell r="F12">
            <v>12322.78</v>
          </cell>
          <cell r="G12">
            <v>13265.39</v>
          </cell>
        </row>
        <row r="13">
          <cell r="A13" t="str">
            <v>0025 - דקל מריה</v>
          </cell>
          <cell r="B13">
            <v>18744.650000000001</v>
          </cell>
          <cell r="C13">
            <v>18173.509999999998</v>
          </cell>
          <cell r="D13">
            <v>16640.03</v>
          </cell>
          <cell r="E13">
            <v>16785.18</v>
          </cell>
          <cell r="F13">
            <v>16956.990000000002</v>
          </cell>
          <cell r="G13">
            <v>16111.68</v>
          </cell>
        </row>
        <row r="14">
          <cell r="A14" t="str">
            <v>0026 - בודאי עומר</v>
          </cell>
          <cell r="B14">
            <v>10441.52</v>
          </cell>
          <cell r="C14">
            <v>10097.25</v>
          </cell>
          <cell r="D14">
            <v>9780.49</v>
          </cell>
          <cell r="E14">
            <v>5896.01</v>
          </cell>
          <cell r="F14">
            <v>4985.57</v>
          </cell>
          <cell r="G14"/>
        </row>
        <row r="15">
          <cell r="A15" t="str">
            <v>0028 - בריל שלומית</v>
          </cell>
          <cell r="B15">
            <v>16838.759999999998</v>
          </cell>
          <cell r="C15">
            <v>18089.62</v>
          </cell>
          <cell r="D15">
            <v>19319.11</v>
          </cell>
          <cell r="E15">
            <v>16238.36</v>
          </cell>
          <cell r="F15">
            <v>29606.87</v>
          </cell>
          <cell r="G15"/>
        </row>
        <row r="16">
          <cell r="A16" t="str">
            <v>0029 - שגב נעה</v>
          </cell>
          <cell r="B16">
            <v>13072.06</v>
          </cell>
          <cell r="C16">
            <v>7437.69</v>
          </cell>
          <cell r="D16">
            <v>5392.75</v>
          </cell>
          <cell r="E16">
            <v>10789.62</v>
          </cell>
          <cell r="F16">
            <v>7717.57</v>
          </cell>
          <cell r="G16">
            <v>9381.7900000000009</v>
          </cell>
        </row>
        <row r="17">
          <cell r="A17" t="str">
            <v>0034 - אור-נזרוב ילנה</v>
          </cell>
          <cell r="B17">
            <v>11108.9</v>
          </cell>
          <cell r="C17">
            <v>9388.92</v>
          </cell>
          <cell r="D17">
            <v>9897.84</v>
          </cell>
          <cell r="E17">
            <v>8207.67</v>
          </cell>
          <cell r="F17">
            <v>9223</v>
          </cell>
          <cell r="G17"/>
        </row>
        <row r="18">
          <cell r="A18" t="str">
            <v>0038 - גלעדי כליל</v>
          </cell>
          <cell r="B18">
            <v>10780.7</v>
          </cell>
          <cell r="C18"/>
          <cell r="D18"/>
          <cell r="E18"/>
          <cell r="F18"/>
          <cell r="G18"/>
        </row>
        <row r="19">
          <cell r="A19" t="str">
            <v>0041 - כהן נאוה</v>
          </cell>
          <cell r="B19">
            <v>14153.17</v>
          </cell>
          <cell r="C19">
            <v>12083.28</v>
          </cell>
          <cell r="D19">
            <v>16503.759999999998</v>
          </cell>
          <cell r="E19">
            <v>13670.29</v>
          </cell>
          <cell r="F19">
            <v>13048.08</v>
          </cell>
          <cell r="G19">
            <v>13527.3</v>
          </cell>
        </row>
        <row r="20">
          <cell r="A20" t="str">
            <v>0043 - שנרך שחף</v>
          </cell>
          <cell r="B20">
            <v>17430.62</v>
          </cell>
          <cell r="C20">
            <v>15205.5</v>
          </cell>
          <cell r="D20">
            <v>17869.78</v>
          </cell>
          <cell r="E20">
            <v>17042.810000000001</v>
          </cell>
          <cell r="F20">
            <v>19373.919999999998</v>
          </cell>
          <cell r="G20">
            <v>16762.060000000001</v>
          </cell>
        </row>
        <row r="21">
          <cell r="A21" t="str">
            <v>0044 - אופק סיוון</v>
          </cell>
          <cell r="B21">
            <v>28083.99</v>
          </cell>
          <cell r="C21">
            <v>28607.96</v>
          </cell>
          <cell r="D21">
            <v>23984.6</v>
          </cell>
          <cell r="E21">
            <v>23925.69</v>
          </cell>
          <cell r="F21">
            <v>24367.040000000001</v>
          </cell>
          <cell r="G21">
            <v>32175.9</v>
          </cell>
        </row>
        <row r="22">
          <cell r="A22" t="str">
            <v>0046 - שמואלוביץ מיטל</v>
          </cell>
          <cell r="B22">
            <v>10820.19</v>
          </cell>
          <cell r="C22">
            <v>9278.9699999999993</v>
          </cell>
          <cell r="D22">
            <v>6869.92</v>
          </cell>
          <cell r="E22">
            <v>10709.55</v>
          </cell>
          <cell r="F22">
            <v>18621.7</v>
          </cell>
          <cell r="G22"/>
        </row>
        <row r="23">
          <cell r="A23" t="str">
            <v>0047 - זלינגר עמית</v>
          </cell>
          <cell r="B23">
            <v>20645.98</v>
          </cell>
          <cell r="C23">
            <v>22066.73</v>
          </cell>
          <cell r="D23">
            <v>21593.79</v>
          </cell>
          <cell r="E23">
            <v>26507.17</v>
          </cell>
          <cell r="F23">
            <v>22837.82</v>
          </cell>
          <cell r="G23">
            <v>24862.959999999999</v>
          </cell>
        </row>
        <row r="24">
          <cell r="A24" t="str">
            <v>0048 - שרוי מאי</v>
          </cell>
          <cell r="B24">
            <v>17485.240000000002</v>
          </cell>
          <cell r="C24">
            <v>16233.08</v>
          </cell>
          <cell r="D24">
            <v>14117.51</v>
          </cell>
          <cell r="E24">
            <v>16621.03</v>
          </cell>
          <cell r="F24">
            <v>14181.44</v>
          </cell>
          <cell r="G24">
            <v>12808.16</v>
          </cell>
        </row>
        <row r="25">
          <cell r="A25" t="str">
            <v>0051 - סלבין עדן</v>
          </cell>
          <cell r="B25">
            <v>6248.76</v>
          </cell>
          <cell r="C25">
            <v>7741.7</v>
          </cell>
          <cell r="D25">
            <v>6447.49</v>
          </cell>
          <cell r="E25">
            <v>7284.5</v>
          </cell>
          <cell r="F25">
            <v>7083.7</v>
          </cell>
          <cell r="G25">
            <v>5505.5</v>
          </cell>
        </row>
        <row r="26">
          <cell r="A26" t="str">
            <v>0057 - אביבי נופר</v>
          </cell>
          <cell r="B26">
            <v>11620.06</v>
          </cell>
          <cell r="C26">
            <v>5962.13</v>
          </cell>
          <cell r="D26">
            <v>12365.36</v>
          </cell>
          <cell r="E26"/>
          <cell r="F26"/>
          <cell r="G26"/>
        </row>
        <row r="27">
          <cell r="A27" t="str">
            <v>0058 - תומפסון ג'וסלין</v>
          </cell>
          <cell r="B27">
            <v>7687.32</v>
          </cell>
          <cell r="C27">
            <v>10614.31</v>
          </cell>
          <cell r="D27">
            <v>7239.91</v>
          </cell>
          <cell r="E27">
            <v>11452.79</v>
          </cell>
          <cell r="F27">
            <v>10105.299999999999</v>
          </cell>
          <cell r="G27">
            <v>14049.41</v>
          </cell>
        </row>
        <row r="28">
          <cell r="A28" t="str">
            <v>0060 - גלפנד אביגיל</v>
          </cell>
          <cell r="B28">
            <v>9453.49</v>
          </cell>
          <cell r="C28">
            <v>8896.16</v>
          </cell>
          <cell r="D28">
            <v>6643.73</v>
          </cell>
          <cell r="E28">
            <v>7337.47</v>
          </cell>
          <cell r="F28">
            <v>7715.44</v>
          </cell>
          <cell r="G28">
            <v>7713.35</v>
          </cell>
        </row>
        <row r="29">
          <cell r="A29" t="str">
            <v>0061 - שדאד ג'ורג'</v>
          </cell>
          <cell r="B29">
            <v>29825.01</v>
          </cell>
          <cell r="C29"/>
          <cell r="D29"/>
          <cell r="E29"/>
          <cell r="F29">
            <v>19435.310000000001</v>
          </cell>
          <cell r="G29">
            <v>24949.279999999999</v>
          </cell>
        </row>
        <row r="30">
          <cell r="A30" t="str">
            <v>0063 - זיני דניאל</v>
          </cell>
          <cell r="B30">
            <v>7778.84</v>
          </cell>
          <cell r="C30"/>
          <cell r="D30"/>
          <cell r="E30"/>
          <cell r="F30"/>
          <cell r="G30"/>
        </row>
        <row r="31">
          <cell r="A31" t="str">
            <v>0064 - מימון-לידר דפנה</v>
          </cell>
          <cell r="B31">
            <v>20078.05</v>
          </cell>
          <cell r="C31">
            <v>19035.560000000001</v>
          </cell>
          <cell r="D31">
            <v>15698.24</v>
          </cell>
          <cell r="E31"/>
          <cell r="F31"/>
          <cell r="G31"/>
        </row>
        <row r="32">
          <cell r="A32" t="str">
            <v>0065 - גובר יריב</v>
          </cell>
          <cell r="B32">
            <v>30865.91</v>
          </cell>
          <cell r="C32">
            <v>29671.47</v>
          </cell>
          <cell r="D32">
            <v>30745.06</v>
          </cell>
          <cell r="E32">
            <v>28784.92</v>
          </cell>
          <cell r="F32">
            <v>26978.560000000001</v>
          </cell>
          <cell r="G32">
            <v>27826.52</v>
          </cell>
        </row>
        <row r="33">
          <cell r="A33" t="str">
            <v>0067 - עוזיאל עידן יעקב</v>
          </cell>
          <cell r="B33">
            <v>28551.74</v>
          </cell>
          <cell r="C33">
            <v>36487.17</v>
          </cell>
          <cell r="D33">
            <v>31033.3</v>
          </cell>
          <cell r="E33">
            <v>29854.78</v>
          </cell>
          <cell r="F33">
            <v>27548.33</v>
          </cell>
          <cell r="G33">
            <v>30887.88</v>
          </cell>
        </row>
        <row r="34">
          <cell r="A34" t="str">
            <v>0069 - גרבשקוב וסיליסה</v>
          </cell>
          <cell r="B34">
            <v>12117.5</v>
          </cell>
          <cell r="C34">
            <v>11601.76</v>
          </cell>
          <cell r="D34">
            <v>12682.99</v>
          </cell>
          <cell r="E34">
            <v>8918.82</v>
          </cell>
          <cell r="F34">
            <v>10634.47</v>
          </cell>
          <cell r="G34">
            <v>8884.85</v>
          </cell>
        </row>
        <row r="35">
          <cell r="A35" t="str">
            <v>0070 - חיריק אור</v>
          </cell>
          <cell r="B35">
            <v>7087.66</v>
          </cell>
          <cell r="C35">
            <v>8232.74</v>
          </cell>
          <cell r="D35">
            <v>9448.14</v>
          </cell>
          <cell r="E35">
            <v>6501.91</v>
          </cell>
          <cell r="F35">
            <v>5839.89</v>
          </cell>
          <cell r="G35">
            <v>6620.88</v>
          </cell>
        </row>
        <row r="36">
          <cell r="A36" t="str">
            <v>0072 - גוטמן רחל לאה</v>
          </cell>
          <cell r="B36">
            <v>13672.86</v>
          </cell>
          <cell r="C36">
            <v>11405.16</v>
          </cell>
          <cell r="D36">
            <v>15958.3</v>
          </cell>
          <cell r="E36">
            <v>12666.62</v>
          </cell>
          <cell r="F36">
            <v>4326.41</v>
          </cell>
          <cell r="G36">
            <v>7824.79</v>
          </cell>
        </row>
        <row r="37">
          <cell r="A37" t="str">
            <v>0074 - קוטליארוב ניקול</v>
          </cell>
          <cell r="B37">
            <v>11961.92</v>
          </cell>
          <cell r="C37">
            <v>14220.52</v>
          </cell>
          <cell r="D37">
            <v>11868.09</v>
          </cell>
          <cell r="E37">
            <v>12844.62</v>
          </cell>
          <cell r="F37">
            <v>12434.76</v>
          </cell>
          <cell r="G37">
            <v>11088.04</v>
          </cell>
        </row>
        <row r="38">
          <cell r="A38" t="str">
            <v>0075 - רפאל שיר</v>
          </cell>
          <cell r="B38">
            <v>6139.82</v>
          </cell>
          <cell r="C38">
            <v>11384.09</v>
          </cell>
          <cell r="D38">
            <v>12488.32</v>
          </cell>
          <cell r="E38">
            <v>11029.21</v>
          </cell>
          <cell r="F38">
            <v>10925.11</v>
          </cell>
          <cell r="G38">
            <v>11186.81</v>
          </cell>
        </row>
        <row r="39">
          <cell r="A39" t="str">
            <v>0076 - פלור רון</v>
          </cell>
          <cell r="B39">
            <v>3668.45</v>
          </cell>
          <cell r="C39">
            <v>5452.86</v>
          </cell>
          <cell r="D39">
            <v>1140.8800000000001</v>
          </cell>
          <cell r="E39">
            <v>3142.74</v>
          </cell>
          <cell r="F39">
            <v>5419.51</v>
          </cell>
          <cell r="G39">
            <v>4829.99</v>
          </cell>
        </row>
        <row r="40">
          <cell r="A40" t="str">
            <v>0077 - טוקר ערד</v>
          </cell>
          <cell r="B40">
            <v>2967.49</v>
          </cell>
          <cell r="C40">
            <v>6681.95</v>
          </cell>
          <cell r="D40">
            <v>4303.2299999999996</v>
          </cell>
          <cell r="E40">
            <v>4324.09</v>
          </cell>
          <cell r="F40">
            <v>7296.52</v>
          </cell>
          <cell r="G40"/>
        </row>
        <row r="41">
          <cell r="A41" t="str">
            <v>0078 - משעלי נעם</v>
          </cell>
          <cell r="B41">
            <v>19805</v>
          </cell>
          <cell r="C41">
            <v>18664.03</v>
          </cell>
          <cell r="D41">
            <v>29176.34</v>
          </cell>
          <cell r="E41">
            <v>22429.66</v>
          </cell>
          <cell r="F41">
            <v>19184.91</v>
          </cell>
          <cell r="G41">
            <v>17856.310000000001</v>
          </cell>
        </row>
        <row r="42">
          <cell r="A42" t="str">
            <v>0079 - צודיק דינה</v>
          </cell>
          <cell r="B42">
            <v>5771.05</v>
          </cell>
          <cell r="C42">
            <v>5782.8</v>
          </cell>
          <cell r="D42">
            <v>7560.14</v>
          </cell>
          <cell r="E42">
            <v>8516.5300000000007</v>
          </cell>
          <cell r="F42">
            <v>8213.68</v>
          </cell>
          <cell r="G42">
            <v>8669.2800000000007</v>
          </cell>
        </row>
        <row r="43">
          <cell r="A43" t="str">
            <v>0080 - ספיבק מיכל</v>
          </cell>
          <cell r="B43">
            <v>31173.65</v>
          </cell>
          <cell r="C43">
            <v>17066.36</v>
          </cell>
          <cell r="D43">
            <v>13309.25</v>
          </cell>
          <cell r="E43">
            <v>31915.15</v>
          </cell>
          <cell r="F43">
            <v>31915.15</v>
          </cell>
          <cell r="G43">
            <v>32622.33</v>
          </cell>
        </row>
        <row r="44">
          <cell r="A44" t="str">
            <v>0081 - חירש שיר</v>
          </cell>
          <cell r="B44">
            <v>6899.22</v>
          </cell>
          <cell r="C44">
            <v>13751.64</v>
          </cell>
          <cell r="D44">
            <v>17884.61</v>
          </cell>
          <cell r="E44">
            <v>13978.27</v>
          </cell>
          <cell r="F44">
            <v>14173.93</v>
          </cell>
          <cell r="G44">
            <v>16305.53</v>
          </cell>
        </row>
        <row r="45">
          <cell r="A45" t="str">
            <v>0082 - אבו אסעד לינא</v>
          </cell>
          <cell r="B45">
            <v>4329.54</v>
          </cell>
          <cell r="C45">
            <v>5026.2299999999996</v>
          </cell>
          <cell r="D45">
            <v>5146.54</v>
          </cell>
          <cell r="E45">
            <v>4076.08</v>
          </cell>
          <cell r="F45">
            <v>4493.1099999999997</v>
          </cell>
          <cell r="G45">
            <v>4467.22</v>
          </cell>
        </row>
        <row r="46">
          <cell r="A46" t="str">
            <v>0083 - שנר רותם</v>
          </cell>
          <cell r="B46">
            <v>2604.1</v>
          </cell>
          <cell r="C46">
            <v>3750.63</v>
          </cell>
          <cell r="D46">
            <v>7809.17</v>
          </cell>
          <cell r="E46">
            <v>6975.85</v>
          </cell>
          <cell r="F46">
            <v>7273.66</v>
          </cell>
          <cell r="G46">
            <v>8054.69</v>
          </cell>
        </row>
        <row r="47">
          <cell r="A47" t="str">
            <v>0084 - דומב הדס</v>
          </cell>
          <cell r="B47"/>
          <cell r="C47">
            <v>5297.4</v>
          </cell>
          <cell r="D47">
            <v>5418.15</v>
          </cell>
          <cell r="E47">
            <v>4941.7700000000004</v>
          </cell>
          <cell r="F47">
            <v>5822.92</v>
          </cell>
          <cell r="G47">
            <v>5274.18</v>
          </cell>
        </row>
        <row r="48">
          <cell r="A48" t="str">
            <v>0085 - קרלן שחר</v>
          </cell>
          <cell r="B48"/>
          <cell r="C48">
            <v>865.18</v>
          </cell>
          <cell r="D48">
            <v>3318.64</v>
          </cell>
          <cell r="E48">
            <v>4898.6499999999996</v>
          </cell>
          <cell r="F48">
            <v>5736.65</v>
          </cell>
          <cell r="G48">
            <v>5722.11</v>
          </cell>
        </row>
        <row r="49">
          <cell r="A49" t="str">
            <v>0086 - חזי נח קרין</v>
          </cell>
          <cell r="B49"/>
          <cell r="C49"/>
          <cell r="D49">
            <v>3587.42</v>
          </cell>
          <cell r="E49">
            <v>9096.39</v>
          </cell>
          <cell r="F49">
            <v>9297.66</v>
          </cell>
          <cell r="G49">
            <v>9831.08</v>
          </cell>
        </row>
        <row r="50">
          <cell r="A50" t="str">
            <v>0087 - כוכב קרן</v>
          </cell>
          <cell r="B50"/>
          <cell r="C50"/>
          <cell r="D50">
            <v>631.91</v>
          </cell>
          <cell r="E50">
            <v>5225.22</v>
          </cell>
          <cell r="F50">
            <v>5456.62</v>
          </cell>
          <cell r="G50">
            <v>3439.23</v>
          </cell>
        </row>
        <row r="51">
          <cell r="A51" t="str">
            <v>0088 - מזרחי שקד</v>
          </cell>
          <cell r="B51"/>
          <cell r="C51"/>
          <cell r="D51"/>
          <cell r="E51">
            <v>3117.68</v>
          </cell>
          <cell r="F51">
            <v>4479.3100000000004</v>
          </cell>
          <cell r="G51">
            <v>3480.87</v>
          </cell>
        </row>
        <row r="52">
          <cell r="A52" t="str">
            <v>0089 - פנקס עומר</v>
          </cell>
          <cell r="B52"/>
          <cell r="C52"/>
          <cell r="D52"/>
          <cell r="E52">
            <v>3110.88</v>
          </cell>
          <cell r="F52">
            <v>4295.1499999999996</v>
          </cell>
          <cell r="G52">
            <v>3640.77</v>
          </cell>
        </row>
        <row r="53">
          <cell r="A53" t="str">
            <v>0090 - בן אברהם אור</v>
          </cell>
          <cell r="B53"/>
          <cell r="C53"/>
          <cell r="D53"/>
          <cell r="E53">
            <v>1925.6</v>
          </cell>
          <cell r="F53">
            <v>6705.54</v>
          </cell>
          <cell r="G53">
            <v>7418.99</v>
          </cell>
        </row>
        <row r="54">
          <cell r="A54" t="str">
            <v>0091 - בודה נועה</v>
          </cell>
          <cell r="B54"/>
          <cell r="C54"/>
          <cell r="D54"/>
          <cell r="E54"/>
          <cell r="F54">
            <v>6452.51</v>
          </cell>
          <cell r="G54">
            <v>11293.66</v>
          </cell>
        </row>
        <row r="55">
          <cell r="A55" t="str">
            <v>0092 - וולוביק רוזין</v>
          </cell>
          <cell r="B55"/>
          <cell r="C55"/>
          <cell r="D55"/>
          <cell r="E55"/>
          <cell r="F55">
            <v>769.08</v>
          </cell>
          <cell r="G55">
            <v>5026.17</v>
          </cell>
        </row>
        <row r="56">
          <cell r="A56" t="str">
            <v>אדלר נועה</v>
          </cell>
          <cell r="B56"/>
          <cell r="C56"/>
          <cell r="D56"/>
          <cell r="E56"/>
          <cell r="F56"/>
          <cell r="G56">
            <v>3042.14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שוואה"/>
      <sheetName val="עלות 2.26"/>
      <sheetName val="Sheet1"/>
      <sheetName val="רחובות מעודכן 2.26"/>
      <sheetName val="2.26 מעודכן 8.3.26"/>
      <sheetName val="1.26 רחובות מעודכן"/>
    </sheetNames>
    <sheetDataSet>
      <sheetData sheetId="0">
        <row r="2">
          <cell r="A2">
            <v>26</v>
          </cell>
          <cell r="B2" t="str">
            <v>0002 - אריאלי שרון</v>
          </cell>
          <cell r="C2">
            <v>15471.92</v>
          </cell>
          <cell r="D2">
            <v>16429.71</v>
          </cell>
          <cell r="E2">
            <v>16425.54</v>
          </cell>
          <cell r="F2">
            <v>17467.37</v>
          </cell>
          <cell r="G2">
            <v>17467.37</v>
          </cell>
          <cell r="H2">
            <v>17467.37</v>
          </cell>
        </row>
        <row r="3">
          <cell r="A3">
            <v>42</v>
          </cell>
          <cell r="B3" t="str">
            <v>0004 - ארוגטי עירית</v>
          </cell>
          <cell r="C3">
            <v>21703.96</v>
          </cell>
          <cell r="D3">
            <v>21952.52</v>
          </cell>
          <cell r="E3">
            <v>22436.2</v>
          </cell>
          <cell r="F3">
            <v>20857.009999999998</v>
          </cell>
          <cell r="G3">
            <v>20857.009999999998</v>
          </cell>
          <cell r="H3">
            <v>20857.009999999998</v>
          </cell>
        </row>
        <row r="4">
          <cell r="A4">
            <v>59</v>
          </cell>
          <cell r="B4" t="str">
            <v>0005 - הראל מיכל</v>
          </cell>
          <cell r="C4">
            <v>1220.52</v>
          </cell>
          <cell r="D4">
            <v>29894.55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0007 - דבורקין אן</v>
          </cell>
        </row>
        <row r="6">
          <cell r="A6">
            <v>91</v>
          </cell>
          <cell r="B6" t="str">
            <v>0009 - פרידמן מיכל</v>
          </cell>
          <cell r="C6">
            <v>19000.38</v>
          </cell>
          <cell r="D6">
            <v>65410.83</v>
          </cell>
          <cell r="F6">
            <v>0</v>
          </cell>
          <cell r="G6">
            <v>0</v>
          </cell>
          <cell r="H6">
            <v>0</v>
          </cell>
        </row>
        <row r="7">
          <cell r="A7">
            <v>109</v>
          </cell>
          <cell r="B7" t="str">
            <v>0010 - קובזב מרגריטה</v>
          </cell>
          <cell r="C7">
            <v>12472.96</v>
          </cell>
          <cell r="D7">
            <v>13117.94</v>
          </cell>
          <cell r="E7">
            <v>13195.99</v>
          </cell>
          <cell r="F7">
            <v>10931.54</v>
          </cell>
          <cell r="G7">
            <v>10931.54</v>
          </cell>
          <cell r="H7">
            <v>10931.54</v>
          </cell>
        </row>
        <row r="8">
          <cell r="A8">
            <v>117</v>
          </cell>
          <cell r="B8" t="str">
            <v>0011 - הראל טל</v>
          </cell>
          <cell r="C8">
            <v>15295.71</v>
          </cell>
          <cell r="D8">
            <v>14534.22</v>
          </cell>
          <cell r="E8">
            <v>16665.64</v>
          </cell>
          <cell r="F8">
            <v>15435.42</v>
          </cell>
          <cell r="G8">
            <v>15435.42</v>
          </cell>
          <cell r="H8">
            <v>15435.42</v>
          </cell>
        </row>
        <row r="9">
          <cell r="A9">
            <v>125</v>
          </cell>
          <cell r="B9" t="str">
            <v>0012 - בסיוני פאוזי</v>
          </cell>
          <cell r="C9">
            <v>693.88</v>
          </cell>
          <cell r="D9">
            <v>861.95</v>
          </cell>
          <cell r="E9">
            <v>647.38</v>
          </cell>
          <cell r="F9">
            <v>703.64</v>
          </cell>
          <cell r="G9">
            <v>703.64</v>
          </cell>
          <cell r="H9">
            <v>703.64</v>
          </cell>
        </row>
        <row r="10">
          <cell r="A10">
            <v>133</v>
          </cell>
          <cell r="B10" t="str">
            <v>0013 - פאר יונית</v>
          </cell>
          <cell r="C10">
            <v>15566.24</v>
          </cell>
          <cell r="D10">
            <v>19474.45</v>
          </cell>
          <cell r="E10">
            <v>19087.43</v>
          </cell>
          <cell r="F10">
            <v>20493.82</v>
          </cell>
          <cell r="G10">
            <v>20493.82</v>
          </cell>
          <cell r="H10">
            <v>20493.82</v>
          </cell>
        </row>
        <row r="11">
          <cell r="A11">
            <v>141</v>
          </cell>
          <cell r="B11" t="str">
            <v>0014 - אבידן קינג מלי</v>
          </cell>
          <cell r="C11">
            <v>3017.41</v>
          </cell>
          <cell r="D11">
            <v>3459.83</v>
          </cell>
          <cell r="E11">
            <v>3546.64</v>
          </cell>
          <cell r="F11">
            <v>2794.96</v>
          </cell>
          <cell r="G11">
            <v>2794.96</v>
          </cell>
          <cell r="H11">
            <v>2794.96</v>
          </cell>
        </row>
        <row r="12">
          <cell r="A12">
            <v>182</v>
          </cell>
          <cell r="B12" t="str">
            <v>0018 - מזרחי מעיין</v>
          </cell>
          <cell r="C12">
            <v>10983.57</v>
          </cell>
          <cell r="D12">
            <v>12322.78</v>
          </cell>
          <cell r="E12">
            <v>13265.39</v>
          </cell>
          <cell r="F12">
            <v>12212.56</v>
          </cell>
          <cell r="G12">
            <v>12212.56</v>
          </cell>
          <cell r="H12">
            <v>12212.56</v>
          </cell>
        </row>
        <row r="13">
          <cell r="A13">
            <v>257</v>
          </cell>
          <cell r="B13" t="str">
            <v>0025 - דקל מריה</v>
          </cell>
          <cell r="C13">
            <v>16785.18</v>
          </cell>
          <cell r="D13">
            <v>16956.990000000002</v>
          </cell>
          <cell r="E13">
            <v>16111.68</v>
          </cell>
          <cell r="F13">
            <v>16566.189999999999</v>
          </cell>
          <cell r="G13">
            <v>16566.189999999999</v>
          </cell>
          <cell r="H13">
            <v>16566.189999999999</v>
          </cell>
        </row>
        <row r="14">
          <cell r="A14">
            <v>265</v>
          </cell>
          <cell r="B14" t="str">
            <v>0026 - בודאי עומר</v>
          </cell>
          <cell r="C14">
            <v>5896.01</v>
          </cell>
          <cell r="D14">
            <v>4985.57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281</v>
          </cell>
          <cell r="B15" t="str">
            <v>0028 - בריל שלומית</v>
          </cell>
          <cell r="C15">
            <v>16238.36</v>
          </cell>
          <cell r="D15">
            <v>29606.87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299</v>
          </cell>
          <cell r="B16" t="str">
            <v>0029 - שגב נעה</v>
          </cell>
          <cell r="C16">
            <v>10789.62</v>
          </cell>
          <cell r="D16">
            <v>7717.57</v>
          </cell>
          <cell r="E16">
            <v>9381.7900000000009</v>
          </cell>
          <cell r="F16">
            <v>7523.1</v>
          </cell>
          <cell r="G16">
            <v>7523.1</v>
          </cell>
          <cell r="H16">
            <v>7523.1</v>
          </cell>
        </row>
        <row r="17">
          <cell r="A17">
            <v>349</v>
          </cell>
          <cell r="B17" t="str">
            <v>0034 - אור-נזרוב ילנה</v>
          </cell>
          <cell r="C17">
            <v>8207.67</v>
          </cell>
          <cell r="D17">
            <v>9223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0038 - גלעדי כליל</v>
          </cell>
        </row>
        <row r="19">
          <cell r="A19">
            <v>414</v>
          </cell>
          <cell r="B19" t="str">
            <v>0041 - כהן נאוה</v>
          </cell>
          <cell r="C19">
            <v>13670.29</v>
          </cell>
          <cell r="D19">
            <v>13048.08</v>
          </cell>
          <cell r="E19">
            <v>13527.3</v>
          </cell>
          <cell r="F19">
            <v>11651.53</v>
          </cell>
          <cell r="G19">
            <v>11651.53</v>
          </cell>
          <cell r="H19">
            <v>11651.53</v>
          </cell>
        </row>
        <row r="20">
          <cell r="A20">
            <v>430</v>
          </cell>
          <cell r="B20" t="str">
            <v>0043 - שנרך שחף</v>
          </cell>
          <cell r="C20">
            <v>17042.810000000001</v>
          </cell>
          <cell r="D20">
            <v>19373.919999999998</v>
          </cell>
          <cell r="E20">
            <v>16762.060000000001</v>
          </cell>
          <cell r="F20">
            <v>8646.49</v>
          </cell>
          <cell r="G20">
            <v>8646.49</v>
          </cell>
          <cell r="H20">
            <v>8646.49</v>
          </cell>
        </row>
        <row r="21">
          <cell r="A21">
            <v>448</v>
          </cell>
          <cell r="B21" t="str">
            <v>0044 - אופק סיוון</v>
          </cell>
          <cell r="C21">
            <v>23925.69</v>
          </cell>
          <cell r="D21">
            <v>24367.040000000001</v>
          </cell>
          <cell r="E21">
            <v>28327.27</v>
          </cell>
          <cell r="F21">
            <v>28542.47</v>
          </cell>
          <cell r="G21">
            <v>29117.47</v>
          </cell>
          <cell r="H21">
            <v>29692.47</v>
          </cell>
        </row>
        <row r="22">
          <cell r="A22">
            <v>463</v>
          </cell>
          <cell r="B22" t="str">
            <v>0046 - שמואלוביץ מיטל</v>
          </cell>
          <cell r="C22">
            <v>10709.55</v>
          </cell>
          <cell r="D22">
            <v>18621.7</v>
          </cell>
          <cell r="F22">
            <v>0</v>
          </cell>
          <cell r="G22">
            <v>0</v>
          </cell>
          <cell r="H22">
            <v>0</v>
          </cell>
        </row>
        <row r="23">
          <cell r="A23">
            <v>471</v>
          </cell>
          <cell r="B23" t="str">
            <v>0047 - זלינגר עמית</v>
          </cell>
          <cell r="C23">
            <v>26507.17</v>
          </cell>
          <cell r="D23">
            <v>22837.82</v>
          </cell>
          <cell r="E23">
            <v>24862.959999999999</v>
          </cell>
          <cell r="F23">
            <v>22606.91</v>
          </cell>
          <cell r="G23">
            <v>22606.91</v>
          </cell>
          <cell r="H23">
            <v>22606.91</v>
          </cell>
        </row>
        <row r="24">
          <cell r="A24">
            <v>489</v>
          </cell>
          <cell r="B24" t="str">
            <v>0048 - שרוי מאי</v>
          </cell>
          <cell r="C24">
            <v>16621.03</v>
          </cell>
          <cell r="D24">
            <v>14181.44</v>
          </cell>
          <cell r="E24">
            <v>12808.16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513</v>
          </cell>
          <cell r="B25" t="str">
            <v>0051 - סלבין עדן</v>
          </cell>
          <cell r="C25">
            <v>7284.5</v>
          </cell>
          <cell r="D25">
            <v>7083.7</v>
          </cell>
          <cell r="E25">
            <v>5505.5</v>
          </cell>
          <cell r="F25">
            <v>3792.43</v>
          </cell>
          <cell r="G25">
            <v>3792.43</v>
          </cell>
          <cell r="H25">
            <v>3792.43</v>
          </cell>
        </row>
        <row r="26">
          <cell r="B26" t="str">
            <v>0057 - אביבי נופר</v>
          </cell>
        </row>
        <row r="27">
          <cell r="A27">
            <v>588</v>
          </cell>
          <cell r="B27" t="str">
            <v>0058 - תומפסון ג'וסלין</v>
          </cell>
          <cell r="C27">
            <v>11452.79</v>
          </cell>
          <cell r="D27">
            <v>10105.299999999999</v>
          </cell>
          <cell r="E27">
            <v>14049.41</v>
          </cell>
          <cell r="F27">
            <v>9992.4500000000007</v>
          </cell>
          <cell r="G27">
            <v>9992.4500000000007</v>
          </cell>
          <cell r="H27">
            <v>9992.4500000000007</v>
          </cell>
        </row>
        <row r="28">
          <cell r="A28">
            <v>604</v>
          </cell>
          <cell r="B28" t="str">
            <v>0060 - גלפנד אביגיל</v>
          </cell>
          <cell r="C28">
            <v>7337.47</v>
          </cell>
          <cell r="D28">
            <v>7715.44</v>
          </cell>
          <cell r="E28">
            <v>7713.35</v>
          </cell>
          <cell r="F28">
            <v>5904.14</v>
          </cell>
          <cell r="G28">
            <v>5904.14</v>
          </cell>
          <cell r="H28">
            <v>5904.14</v>
          </cell>
        </row>
        <row r="29">
          <cell r="A29">
            <v>612</v>
          </cell>
          <cell r="B29" t="str">
            <v>0061 - שדאד ג'ורג'</v>
          </cell>
          <cell r="D29">
            <v>19435.310000000001</v>
          </cell>
          <cell r="E29">
            <v>24949.279999999999</v>
          </cell>
          <cell r="F29">
            <v>24197.599999999999</v>
          </cell>
          <cell r="G29">
            <v>24197.599999999999</v>
          </cell>
          <cell r="H29">
            <v>24197.599999999999</v>
          </cell>
        </row>
        <row r="30">
          <cell r="B30" t="str">
            <v>0063 - זיני דניאל</v>
          </cell>
        </row>
        <row r="31">
          <cell r="B31" t="str">
            <v>0064 - מימון-לידר דפנה</v>
          </cell>
        </row>
        <row r="32">
          <cell r="A32">
            <v>653</v>
          </cell>
          <cell r="B32" t="str">
            <v>0065 - גובר יריב</v>
          </cell>
          <cell r="C32">
            <v>28784.92</v>
          </cell>
          <cell r="D32">
            <v>26978.560000000001</v>
          </cell>
          <cell r="E32">
            <v>27826.52</v>
          </cell>
          <cell r="F32">
            <v>25863.65</v>
          </cell>
          <cell r="G32">
            <v>25988.65</v>
          </cell>
          <cell r="H32">
            <v>26113.65</v>
          </cell>
        </row>
        <row r="33">
          <cell r="A33">
            <v>679</v>
          </cell>
          <cell r="B33" t="str">
            <v>0067 - עוזיאל עידן יעקב</v>
          </cell>
          <cell r="C33">
            <v>29854.78</v>
          </cell>
          <cell r="D33">
            <v>27548.33</v>
          </cell>
          <cell r="E33">
            <v>30887.88</v>
          </cell>
          <cell r="F33">
            <v>27961.89</v>
          </cell>
          <cell r="G33">
            <v>27961.89</v>
          </cell>
          <cell r="H33">
            <v>27961.89</v>
          </cell>
        </row>
        <row r="34">
          <cell r="A34">
            <v>695</v>
          </cell>
          <cell r="B34" t="str">
            <v>0069 - גרבשקוב וסיליסה</v>
          </cell>
          <cell r="C34">
            <v>8918.82</v>
          </cell>
          <cell r="D34">
            <v>10634.47</v>
          </cell>
          <cell r="E34">
            <v>8884.85</v>
          </cell>
          <cell r="F34">
            <v>9449.85</v>
          </cell>
          <cell r="G34">
            <v>9449.85</v>
          </cell>
          <cell r="H34">
            <v>9449.85</v>
          </cell>
        </row>
        <row r="35">
          <cell r="A35">
            <v>703</v>
          </cell>
          <cell r="B35" t="str">
            <v>0070 - חיריק אור</v>
          </cell>
          <cell r="C35">
            <v>6501.91</v>
          </cell>
          <cell r="D35">
            <v>5839.89</v>
          </cell>
          <cell r="E35">
            <v>6620.88</v>
          </cell>
          <cell r="F35">
            <v>4973.7</v>
          </cell>
          <cell r="G35">
            <v>4973.7</v>
          </cell>
          <cell r="H35">
            <v>4973.7</v>
          </cell>
        </row>
        <row r="36">
          <cell r="A36">
            <v>729</v>
          </cell>
          <cell r="B36" t="str">
            <v>0072 - גוטמן רחל לאה</v>
          </cell>
          <cell r="C36">
            <v>12666.62</v>
          </cell>
          <cell r="D36">
            <v>4326.41</v>
          </cell>
          <cell r="E36">
            <v>7824.79</v>
          </cell>
          <cell r="F36">
            <v>12147.07</v>
          </cell>
          <cell r="G36">
            <v>12147.07</v>
          </cell>
          <cell r="H36">
            <v>12147.07</v>
          </cell>
        </row>
        <row r="37">
          <cell r="A37">
            <v>745</v>
          </cell>
          <cell r="B37" t="str">
            <v>0074 - קוטליארוב ניקול</v>
          </cell>
          <cell r="C37">
            <v>12844.62</v>
          </cell>
          <cell r="D37">
            <v>12434.76</v>
          </cell>
          <cell r="E37">
            <v>11088.04</v>
          </cell>
          <cell r="F37">
            <v>9040.57</v>
          </cell>
          <cell r="G37">
            <v>9040.57</v>
          </cell>
          <cell r="H37">
            <v>9040.57</v>
          </cell>
        </row>
        <row r="38">
          <cell r="A38">
            <v>752</v>
          </cell>
          <cell r="B38" t="str">
            <v>0075 - רפאל שיר</v>
          </cell>
          <cell r="C38">
            <v>11029.21</v>
          </cell>
          <cell r="D38">
            <v>10925.11</v>
          </cell>
          <cell r="E38">
            <v>11186.81</v>
          </cell>
          <cell r="F38">
            <v>10042.74</v>
          </cell>
          <cell r="G38">
            <v>10042.74</v>
          </cell>
          <cell r="H38">
            <v>10042.74</v>
          </cell>
        </row>
        <row r="39">
          <cell r="A39">
            <v>760</v>
          </cell>
          <cell r="B39" t="str">
            <v>0076 - פלור רון</v>
          </cell>
          <cell r="C39">
            <v>3142.74</v>
          </cell>
          <cell r="D39">
            <v>5419.51</v>
          </cell>
          <cell r="E39">
            <v>4829.99</v>
          </cell>
          <cell r="F39">
            <v>3835.69</v>
          </cell>
          <cell r="G39">
            <v>3835.69</v>
          </cell>
          <cell r="H39">
            <v>3835.69</v>
          </cell>
        </row>
        <row r="40">
          <cell r="A40">
            <v>778</v>
          </cell>
          <cell r="B40" t="str">
            <v>0077 - טוקר ערד</v>
          </cell>
          <cell r="C40">
            <v>4324.09</v>
          </cell>
          <cell r="D40">
            <v>7296.52</v>
          </cell>
          <cell r="E40">
            <v>4109.22</v>
          </cell>
          <cell r="F40">
            <v>2032.71</v>
          </cell>
          <cell r="G40">
            <v>3437.09</v>
          </cell>
          <cell r="H40">
            <v>3437.09</v>
          </cell>
        </row>
        <row r="41">
          <cell r="A41">
            <v>786</v>
          </cell>
          <cell r="B41" t="str">
            <v>0078 - משעלי נעם</v>
          </cell>
          <cell r="C41">
            <v>22429.66</v>
          </cell>
          <cell r="D41">
            <v>19184.91</v>
          </cell>
          <cell r="E41">
            <v>17856.310000000001</v>
          </cell>
          <cell r="F41">
            <v>19568.580000000002</v>
          </cell>
          <cell r="G41">
            <v>19568.580000000002</v>
          </cell>
          <cell r="H41">
            <v>19568.580000000002</v>
          </cell>
        </row>
        <row r="42">
          <cell r="A42">
            <v>794</v>
          </cell>
          <cell r="B42" t="str">
            <v>0079 - צודיק דינה</v>
          </cell>
          <cell r="C42">
            <v>8516.5300000000007</v>
          </cell>
          <cell r="D42">
            <v>8213.68</v>
          </cell>
          <cell r="E42">
            <v>8669.2800000000007</v>
          </cell>
          <cell r="F42">
            <v>6373.39</v>
          </cell>
          <cell r="G42">
            <v>6373.39</v>
          </cell>
          <cell r="H42">
            <v>6373.39</v>
          </cell>
        </row>
        <row r="43">
          <cell r="A43">
            <v>802</v>
          </cell>
          <cell r="B43" t="str">
            <v>0080 - ספיבק מיכל</v>
          </cell>
          <cell r="C43">
            <v>31915.15</v>
          </cell>
          <cell r="D43">
            <v>31915.15</v>
          </cell>
          <cell r="E43">
            <v>31168.33</v>
          </cell>
          <cell r="F43">
            <v>34692.93</v>
          </cell>
          <cell r="G43">
            <v>35582.730000000003</v>
          </cell>
          <cell r="H43">
            <v>36324.230000000003</v>
          </cell>
        </row>
        <row r="44">
          <cell r="A44">
            <v>810</v>
          </cell>
          <cell r="B44" t="str">
            <v>0081 - הירש שיר</v>
          </cell>
          <cell r="C44">
            <v>13978.27</v>
          </cell>
          <cell r="D44">
            <v>14173.93</v>
          </cell>
          <cell r="E44">
            <v>16305.53</v>
          </cell>
          <cell r="F44">
            <v>13858.18</v>
          </cell>
          <cell r="G44">
            <v>13858.18</v>
          </cell>
          <cell r="H44">
            <v>13858.18</v>
          </cell>
        </row>
        <row r="45">
          <cell r="A45">
            <v>828</v>
          </cell>
          <cell r="B45" t="str">
            <v>0082 - אבו אסעד לינא</v>
          </cell>
          <cell r="C45">
            <v>4076.08</v>
          </cell>
          <cell r="D45">
            <v>4493.1099999999997</v>
          </cell>
          <cell r="E45">
            <v>4467.22</v>
          </cell>
          <cell r="F45">
            <v>3128.61</v>
          </cell>
          <cell r="G45">
            <v>3128.61</v>
          </cell>
          <cell r="H45">
            <v>3128.61</v>
          </cell>
        </row>
        <row r="46">
          <cell r="A46">
            <v>836</v>
          </cell>
          <cell r="B46" t="str">
            <v>0083 - שנר רותם</v>
          </cell>
          <cell r="C46">
            <v>6975.85</v>
          </cell>
          <cell r="D46">
            <v>7273.66</v>
          </cell>
          <cell r="E46">
            <v>8054.69</v>
          </cell>
          <cell r="F46">
            <v>5915.41</v>
          </cell>
          <cell r="G46">
            <v>8091.68</v>
          </cell>
          <cell r="H46">
            <v>8091.68</v>
          </cell>
        </row>
        <row r="47">
          <cell r="A47">
            <v>844</v>
          </cell>
          <cell r="B47" t="str">
            <v>0084 - דומב הדס</v>
          </cell>
          <cell r="C47">
            <v>4941.7700000000004</v>
          </cell>
          <cell r="D47">
            <v>5822.92</v>
          </cell>
          <cell r="E47">
            <v>5274.18</v>
          </cell>
          <cell r="F47">
            <v>4989.68</v>
          </cell>
          <cell r="G47">
            <v>4989.68</v>
          </cell>
          <cell r="H47">
            <v>4989.68</v>
          </cell>
        </row>
        <row r="48">
          <cell r="A48">
            <v>851</v>
          </cell>
          <cell r="B48" t="str">
            <v>0085 - קרלן שחר</v>
          </cell>
          <cell r="C48">
            <v>4898.6499999999996</v>
          </cell>
          <cell r="D48">
            <v>5736.65</v>
          </cell>
          <cell r="E48">
            <v>5722.11</v>
          </cell>
          <cell r="F48">
            <v>5283.81</v>
          </cell>
          <cell r="G48">
            <v>5283.81</v>
          </cell>
          <cell r="H48">
            <v>5283.81</v>
          </cell>
        </row>
        <row r="49">
          <cell r="A49">
            <v>869</v>
          </cell>
          <cell r="B49" t="str">
            <v>0086 - חזי נח קרין</v>
          </cell>
          <cell r="C49">
            <v>9096.39</v>
          </cell>
          <cell r="D49">
            <v>9297.66</v>
          </cell>
          <cell r="E49">
            <v>9831.08</v>
          </cell>
          <cell r="F49">
            <v>12994.26</v>
          </cell>
          <cell r="G49">
            <v>12994.26</v>
          </cell>
          <cell r="H49">
            <v>12994.26</v>
          </cell>
        </row>
        <row r="50">
          <cell r="A50">
            <v>877</v>
          </cell>
          <cell r="B50" t="str">
            <v>0087 - כוכב קרן</v>
          </cell>
          <cell r="C50">
            <v>5225.22</v>
          </cell>
          <cell r="D50">
            <v>5456.62</v>
          </cell>
          <cell r="E50">
            <v>3439.23</v>
          </cell>
          <cell r="F50">
            <v>6728.54</v>
          </cell>
          <cell r="G50">
            <v>6728.54</v>
          </cell>
          <cell r="H50">
            <v>6728.54</v>
          </cell>
        </row>
        <row r="51">
          <cell r="A51">
            <v>885</v>
          </cell>
          <cell r="B51" t="str">
            <v>0088 - מזרחי שקד</v>
          </cell>
          <cell r="C51">
            <v>3117.68</v>
          </cell>
          <cell r="D51">
            <v>4479.3100000000004</v>
          </cell>
          <cell r="E51">
            <v>3480.87</v>
          </cell>
          <cell r="F51">
            <v>3267.76</v>
          </cell>
          <cell r="G51">
            <v>3267.76</v>
          </cell>
          <cell r="H51">
            <v>3267.76</v>
          </cell>
        </row>
        <row r="52">
          <cell r="A52">
            <v>893</v>
          </cell>
          <cell r="B52" t="str">
            <v>0089 - פנקס עומר</v>
          </cell>
          <cell r="C52">
            <v>3110.88</v>
          </cell>
          <cell r="D52">
            <v>4295.1499999999996</v>
          </cell>
          <cell r="E52">
            <v>3640.77</v>
          </cell>
          <cell r="F52">
            <v>2299.5500000000002</v>
          </cell>
          <cell r="G52">
            <v>2299.5500000000002</v>
          </cell>
          <cell r="H52">
            <v>2299.5500000000002</v>
          </cell>
        </row>
        <row r="53">
          <cell r="A53">
            <v>901</v>
          </cell>
          <cell r="B53" t="str">
            <v>0090 - בן אברהם אור</v>
          </cell>
          <cell r="C53">
            <v>1925.6</v>
          </cell>
          <cell r="D53">
            <v>6705.54</v>
          </cell>
          <cell r="E53">
            <v>7418.99</v>
          </cell>
          <cell r="F53">
            <v>6112.62</v>
          </cell>
          <cell r="G53">
            <v>6112.62</v>
          </cell>
          <cell r="H53">
            <v>6112.62</v>
          </cell>
        </row>
        <row r="54">
          <cell r="A54">
            <v>919</v>
          </cell>
          <cell r="B54" t="str">
            <v>0091 - בודה נועה</v>
          </cell>
          <cell r="D54">
            <v>6452.51</v>
          </cell>
          <cell r="E54">
            <v>11293.66</v>
          </cell>
          <cell r="F54">
            <v>11393.7</v>
          </cell>
          <cell r="G54">
            <v>13580.46</v>
          </cell>
          <cell r="H54">
            <v>13580.46</v>
          </cell>
        </row>
        <row r="55">
          <cell r="A55">
            <v>927</v>
          </cell>
          <cell r="B55" t="str">
            <v>0092 - וולוביק רוזין</v>
          </cell>
          <cell r="D55">
            <v>769.08</v>
          </cell>
          <cell r="E55">
            <v>5026.17</v>
          </cell>
          <cell r="F55">
            <v>4363.83</v>
          </cell>
          <cell r="G55">
            <v>4363.83</v>
          </cell>
          <cell r="H55">
            <v>4363.83</v>
          </cell>
        </row>
        <row r="56">
          <cell r="A56">
            <v>935</v>
          </cell>
          <cell r="B56" t="str">
            <v>אדלר נועה</v>
          </cell>
          <cell r="E56">
            <v>3042.14</v>
          </cell>
          <cell r="F56">
            <v>5455.95</v>
          </cell>
          <cell r="G56">
            <v>5455.95</v>
          </cell>
          <cell r="H56">
            <v>5455.95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שוואה"/>
      <sheetName val="רחובות עלות מעודכן 3.26"/>
      <sheetName val="עלות 3.26"/>
      <sheetName val="עדכוני 3.26 רחובות"/>
      <sheetName val="עלות 2.26"/>
      <sheetName val="Sheet1"/>
      <sheetName val="רחובות מעודכן 2.26"/>
      <sheetName val="2.26 מעודכן 8.3.26"/>
      <sheetName val="1.26 רחובות מעודכן"/>
    </sheetNames>
    <sheetDataSet>
      <sheetData sheetId="0">
        <row r="2">
          <cell r="A2">
            <v>26</v>
          </cell>
          <cell r="B2" t="str">
            <v>0002 - אריאלי שרון</v>
          </cell>
          <cell r="C2">
            <v>15471.92</v>
          </cell>
          <cell r="D2">
            <v>16429.71</v>
          </cell>
          <cell r="E2">
            <v>16425.54</v>
          </cell>
          <cell r="F2">
            <v>17467.37</v>
          </cell>
          <cell r="G2">
            <v>17467.37</v>
          </cell>
          <cell r="H2">
            <v>17467.37</v>
          </cell>
          <cell r="I2">
            <v>15055.62</v>
          </cell>
          <cell r="J2">
            <v>15055.62</v>
          </cell>
        </row>
        <row r="3">
          <cell r="A3">
            <v>42</v>
          </cell>
          <cell r="B3" t="str">
            <v>0004 - ארוגטי עירית</v>
          </cell>
          <cell r="C3">
            <v>21703.96</v>
          </cell>
          <cell r="D3">
            <v>21952.52</v>
          </cell>
          <cell r="E3">
            <v>22436.2</v>
          </cell>
          <cell r="F3">
            <v>20857.009999999998</v>
          </cell>
          <cell r="G3">
            <v>20857.009999999998</v>
          </cell>
          <cell r="H3">
            <v>20857.009999999998</v>
          </cell>
          <cell r="I3">
            <v>20502.150000000001</v>
          </cell>
          <cell r="J3">
            <v>20913.169999999998</v>
          </cell>
        </row>
        <row r="4">
          <cell r="A4">
            <v>59</v>
          </cell>
          <cell r="B4" t="str">
            <v>0005 - הראל מיכל</v>
          </cell>
          <cell r="C4">
            <v>1220.52</v>
          </cell>
          <cell r="D4">
            <v>29894.55</v>
          </cell>
          <cell r="F4">
            <v>0</v>
          </cell>
          <cell r="G4">
            <v>0</v>
          </cell>
          <cell r="H4">
            <v>0</v>
          </cell>
          <cell r="I4">
            <v>52650</v>
          </cell>
          <cell r="J4">
            <v>52650</v>
          </cell>
        </row>
        <row r="5">
          <cell r="B5" t="str">
            <v>0007 - דבורקין אן</v>
          </cell>
        </row>
        <row r="6">
          <cell r="A6">
            <v>91</v>
          </cell>
          <cell r="B6" t="str">
            <v>0009 - פרידמן מיכל</v>
          </cell>
          <cell r="C6">
            <v>19000.38</v>
          </cell>
          <cell r="D6">
            <v>65410.83</v>
          </cell>
          <cell r="F6">
            <v>0</v>
          </cell>
          <cell r="G6">
            <v>0</v>
          </cell>
          <cell r="H6">
            <v>0</v>
          </cell>
        </row>
        <row r="7">
          <cell r="A7">
            <v>109</v>
          </cell>
          <cell r="B7" t="str">
            <v>0010 - קובזב מרגריטה</v>
          </cell>
          <cell r="C7">
            <v>12472.96</v>
          </cell>
          <cell r="D7">
            <v>13117.94</v>
          </cell>
          <cell r="E7">
            <v>13195.99</v>
          </cell>
          <cell r="F7">
            <v>10931.54</v>
          </cell>
          <cell r="G7">
            <v>10931.54</v>
          </cell>
          <cell r="H7">
            <v>10931.54</v>
          </cell>
          <cell r="I7">
            <v>12642.23</v>
          </cell>
          <cell r="J7">
            <v>12642.23</v>
          </cell>
        </row>
        <row r="8">
          <cell r="A8">
            <v>117</v>
          </cell>
          <cell r="B8" t="str">
            <v>0011 - הראל טל</v>
          </cell>
          <cell r="C8">
            <v>15295.71</v>
          </cell>
          <cell r="D8">
            <v>14534.22</v>
          </cell>
          <cell r="E8">
            <v>16665.64</v>
          </cell>
          <cell r="F8">
            <v>15435.42</v>
          </cell>
          <cell r="G8">
            <v>15435.42</v>
          </cell>
          <cell r="H8">
            <v>15435.42</v>
          </cell>
          <cell r="I8">
            <v>17723.400000000001</v>
          </cell>
          <cell r="J8">
            <v>17723.400000000001</v>
          </cell>
        </row>
        <row r="9">
          <cell r="A9">
            <v>125</v>
          </cell>
          <cell r="B9" t="str">
            <v>0012 - בסיוני פאוזי</v>
          </cell>
          <cell r="C9">
            <v>693.88</v>
          </cell>
          <cell r="D9">
            <v>861.95</v>
          </cell>
          <cell r="E9">
            <v>647.38</v>
          </cell>
          <cell r="F9">
            <v>703.64</v>
          </cell>
          <cell r="G9">
            <v>703.64</v>
          </cell>
          <cell r="H9">
            <v>703.64</v>
          </cell>
          <cell r="I9">
            <v>548.04</v>
          </cell>
          <cell r="J9">
            <v>548.04</v>
          </cell>
        </row>
        <row r="10">
          <cell r="A10">
            <v>133</v>
          </cell>
          <cell r="B10" t="str">
            <v>0013 - פאר יונית</v>
          </cell>
          <cell r="C10">
            <v>15566.24</v>
          </cell>
          <cell r="D10">
            <v>19474.45</v>
          </cell>
          <cell r="E10">
            <v>19087.43</v>
          </cell>
          <cell r="F10">
            <v>20493.82</v>
          </cell>
          <cell r="G10">
            <v>20493.82</v>
          </cell>
          <cell r="H10">
            <v>20493.82</v>
          </cell>
          <cell r="I10">
            <v>19423.21</v>
          </cell>
          <cell r="J10">
            <v>19423.21</v>
          </cell>
        </row>
        <row r="11">
          <cell r="A11">
            <v>141</v>
          </cell>
          <cell r="B11" t="str">
            <v>0014 - אבידן קינג מלי</v>
          </cell>
          <cell r="C11">
            <v>3017.41</v>
          </cell>
          <cell r="D11">
            <v>3459.83</v>
          </cell>
          <cell r="E11">
            <v>3546.64</v>
          </cell>
          <cell r="F11">
            <v>2794.96</v>
          </cell>
          <cell r="G11">
            <v>2794.96</v>
          </cell>
          <cell r="H11">
            <v>2794.96</v>
          </cell>
          <cell r="I11">
            <v>2879.03</v>
          </cell>
          <cell r="J11">
            <v>2879.03</v>
          </cell>
        </row>
        <row r="12">
          <cell r="A12">
            <v>182</v>
          </cell>
          <cell r="B12" t="str">
            <v>0018 - מזרחי מעיין</v>
          </cell>
          <cell r="C12">
            <v>10983.57</v>
          </cell>
          <cell r="D12">
            <v>12322.78</v>
          </cell>
          <cell r="E12">
            <v>13265.39</v>
          </cell>
          <cell r="F12">
            <v>12212.56</v>
          </cell>
          <cell r="G12">
            <v>12212.56</v>
          </cell>
          <cell r="H12">
            <v>12212.56</v>
          </cell>
          <cell r="I12">
            <v>13064.21</v>
          </cell>
          <cell r="J12">
            <v>13505.14</v>
          </cell>
        </row>
        <row r="13">
          <cell r="A13">
            <v>257</v>
          </cell>
          <cell r="B13" t="str">
            <v>0025 - דקל מריה</v>
          </cell>
          <cell r="C13">
            <v>16785.18</v>
          </cell>
          <cell r="D13">
            <v>16956.990000000002</v>
          </cell>
          <cell r="E13">
            <v>16111.68</v>
          </cell>
          <cell r="F13">
            <v>16566.189999999999</v>
          </cell>
          <cell r="G13">
            <v>16566.189999999999</v>
          </cell>
          <cell r="H13">
            <v>16566.189999999999</v>
          </cell>
          <cell r="I13">
            <v>17334.009999999998</v>
          </cell>
          <cell r="J13">
            <v>17543.97</v>
          </cell>
        </row>
        <row r="14">
          <cell r="A14">
            <v>265</v>
          </cell>
          <cell r="B14" t="str">
            <v>0026 - בודאי עומר</v>
          </cell>
          <cell r="C14">
            <v>5896.01</v>
          </cell>
          <cell r="D14">
            <v>4985.57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281</v>
          </cell>
          <cell r="B15" t="str">
            <v>0028 - בריל שלומית</v>
          </cell>
          <cell r="C15">
            <v>16238.36</v>
          </cell>
          <cell r="D15">
            <v>29606.87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299</v>
          </cell>
          <cell r="B16" t="str">
            <v>0029 - שגב נעה</v>
          </cell>
          <cell r="C16">
            <v>10789.62</v>
          </cell>
          <cell r="D16">
            <v>7717.57</v>
          </cell>
          <cell r="E16">
            <v>9381.7900000000009</v>
          </cell>
          <cell r="F16">
            <v>7523.1</v>
          </cell>
          <cell r="G16">
            <v>7523.1</v>
          </cell>
          <cell r="H16">
            <v>7523.1</v>
          </cell>
          <cell r="I16">
            <v>22.98</v>
          </cell>
          <cell r="J16">
            <v>22.98</v>
          </cell>
        </row>
        <row r="17">
          <cell r="A17">
            <v>349</v>
          </cell>
          <cell r="B17" t="str">
            <v>0034 - אור-נזרוב ילנה</v>
          </cell>
          <cell r="C17">
            <v>8207.67</v>
          </cell>
          <cell r="D17">
            <v>9223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0038 - גלעדי כליל</v>
          </cell>
        </row>
        <row r="19">
          <cell r="A19">
            <v>414</v>
          </cell>
          <cell r="B19" t="str">
            <v>0041 - כהן נאוה</v>
          </cell>
          <cell r="C19">
            <v>13670.29</v>
          </cell>
          <cell r="D19">
            <v>13048.08</v>
          </cell>
          <cell r="E19">
            <v>13527.3</v>
          </cell>
          <cell r="F19">
            <v>11651.53</v>
          </cell>
          <cell r="G19">
            <v>11651.53</v>
          </cell>
          <cell r="H19">
            <v>11651.53</v>
          </cell>
          <cell r="I19">
            <v>15986.39</v>
          </cell>
          <cell r="J19">
            <v>15986.39</v>
          </cell>
        </row>
        <row r="20">
          <cell r="A20">
            <v>430</v>
          </cell>
          <cell r="B20" t="str">
            <v>0043 - שנרך שחף</v>
          </cell>
          <cell r="C20">
            <v>17042.810000000001</v>
          </cell>
          <cell r="D20">
            <v>19373.919999999998</v>
          </cell>
          <cell r="E20">
            <v>16762.060000000001</v>
          </cell>
          <cell r="F20">
            <v>8646.49</v>
          </cell>
          <cell r="G20">
            <v>8646.49</v>
          </cell>
          <cell r="H20">
            <v>8646.49</v>
          </cell>
          <cell r="I20">
            <v>14628.96</v>
          </cell>
          <cell r="J20">
            <v>14628.96</v>
          </cell>
        </row>
        <row r="21">
          <cell r="A21">
            <v>448</v>
          </cell>
          <cell r="B21" t="str">
            <v>0044 - אופק סיוון</v>
          </cell>
          <cell r="C21">
            <v>23925.69</v>
          </cell>
          <cell r="D21">
            <v>24367.040000000001</v>
          </cell>
          <cell r="E21">
            <v>28327.27</v>
          </cell>
          <cell r="F21">
            <v>28542.47</v>
          </cell>
          <cell r="G21">
            <v>29117.47</v>
          </cell>
          <cell r="H21">
            <v>29692.47</v>
          </cell>
          <cell r="I21">
            <v>28925.24</v>
          </cell>
          <cell r="J21">
            <v>28925.24</v>
          </cell>
        </row>
        <row r="22">
          <cell r="A22">
            <v>463</v>
          </cell>
          <cell r="B22" t="str">
            <v>0046 - שמואלוביץ מיטל</v>
          </cell>
          <cell r="C22">
            <v>10709.55</v>
          </cell>
          <cell r="D22">
            <v>18621.7</v>
          </cell>
          <cell r="F22">
            <v>0</v>
          </cell>
          <cell r="G22">
            <v>0</v>
          </cell>
          <cell r="H22">
            <v>0</v>
          </cell>
        </row>
        <row r="23">
          <cell r="A23">
            <v>471</v>
          </cell>
          <cell r="B23" t="str">
            <v>0047 - זלינגר עמית</v>
          </cell>
          <cell r="C23">
            <v>26507.17</v>
          </cell>
          <cell r="D23">
            <v>22837.82</v>
          </cell>
          <cell r="E23">
            <v>24862.959999999999</v>
          </cell>
          <cell r="F23">
            <v>22606.91</v>
          </cell>
          <cell r="G23">
            <v>22606.91</v>
          </cell>
          <cell r="H23">
            <v>22606.91</v>
          </cell>
          <cell r="I23">
            <v>16040.01</v>
          </cell>
          <cell r="J23">
            <v>16289.11</v>
          </cell>
        </row>
        <row r="24">
          <cell r="A24">
            <v>489</v>
          </cell>
          <cell r="B24" t="str">
            <v>0048 - שרוי מאי</v>
          </cell>
          <cell r="C24">
            <v>16621.03</v>
          </cell>
          <cell r="D24">
            <v>14181.44</v>
          </cell>
          <cell r="E24">
            <v>12808.16</v>
          </cell>
          <cell r="F24">
            <v>0</v>
          </cell>
          <cell r="G24">
            <v>0</v>
          </cell>
          <cell r="H24">
            <v>0</v>
          </cell>
          <cell r="I24">
            <v>707.65</v>
          </cell>
          <cell r="J24">
            <v>3040.76</v>
          </cell>
        </row>
        <row r="25">
          <cell r="A25">
            <v>513</v>
          </cell>
          <cell r="B25" t="str">
            <v>0051 - סלבין עדן</v>
          </cell>
          <cell r="C25">
            <v>7284.5</v>
          </cell>
          <cell r="D25">
            <v>7083.7</v>
          </cell>
          <cell r="E25">
            <v>5505.5</v>
          </cell>
          <cell r="F25">
            <v>3792.43</v>
          </cell>
          <cell r="G25">
            <v>3792.43</v>
          </cell>
          <cell r="H25">
            <v>3792.43</v>
          </cell>
          <cell r="I25">
            <v>7247.5</v>
          </cell>
          <cell r="J25">
            <v>7247.5</v>
          </cell>
        </row>
        <row r="26">
          <cell r="B26" t="str">
            <v>0057 - אביבי נופר</v>
          </cell>
        </row>
        <row r="27">
          <cell r="A27">
            <v>588</v>
          </cell>
          <cell r="B27" t="str">
            <v>0058 - תומפסון ג'וסלין</v>
          </cell>
          <cell r="C27">
            <v>11452.79</v>
          </cell>
          <cell r="D27">
            <v>10105.299999999999</v>
          </cell>
          <cell r="E27">
            <v>14049.41</v>
          </cell>
          <cell r="F27">
            <v>9992.4500000000007</v>
          </cell>
          <cell r="G27">
            <v>9992.4500000000007</v>
          </cell>
          <cell r="H27">
            <v>9992.4500000000007</v>
          </cell>
          <cell r="I27">
            <v>14930.99</v>
          </cell>
          <cell r="J27">
            <v>14930.99</v>
          </cell>
        </row>
        <row r="28">
          <cell r="A28">
            <v>604</v>
          </cell>
          <cell r="B28" t="str">
            <v>0060 - גלפנד אביגיל</v>
          </cell>
          <cell r="C28">
            <v>7337.47</v>
          </cell>
          <cell r="D28">
            <v>7715.44</v>
          </cell>
          <cell r="E28">
            <v>7713.35</v>
          </cell>
          <cell r="F28">
            <v>5904.14</v>
          </cell>
          <cell r="G28">
            <v>5904.14</v>
          </cell>
          <cell r="H28">
            <v>5904.14</v>
          </cell>
          <cell r="I28">
            <v>3413.96</v>
          </cell>
          <cell r="J28">
            <v>3413.96</v>
          </cell>
        </row>
        <row r="29">
          <cell r="A29">
            <v>612</v>
          </cell>
          <cell r="B29" t="str">
            <v>0061 - שדאד ג'ורג'</v>
          </cell>
          <cell r="D29">
            <v>19435.310000000001</v>
          </cell>
          <cell r="E29">
            <v>24949.279999999999</v>
          </cell>
          <cell r="F29">
            <v>24197.599999999999</v>
          </cell>
          <cell r="G29">
            <v>24197.599999999999</v>
          </cell>
          <cell r="H29">
            <v>24197.599999999999</v>
          </cell>
          <cell r="I29">
            <v>25586.51</v>
          </cell>
          <cell r="J29">
            <v>25586.51</v>
          </cell>
        </row>
        <row r="30">
          <cell r="B30" t="str">
            <v>0063 - זיני דניאל</v>
          </cell>
        </row>
        <row r="31">
          <cell r="B31" t="str">
            <v>0064 - מימון-לידר דפנה</v>
          </cell>
        </row>
        <row r="32">
          <cell r="A32">
            <v>653</v>
          </cell>
          <cell r="B32" t="str">
            <v>0065 - גובר יריב</v>
          </cell>
          <cell r="C32">
            <v>28784.92</v>
          </cell>
          <cell r="D32">
            <v>26978.560000000001</v>
          </cell>
          <cell r="E32">
            <v>27826.52</v>
          </cell>
          <cell r="F32">
            <v>25863.65</v>
          </cell>
          <cell r="G32">
            <v>25988.65</v>
          </cell>
          <cell r="H32">
            <v>26113.65</v>
          </cell>
          <cell r="I32">
            <v>29520.01</v>
          </cell>
          <cell r="J32">
            <v>29520.01</v>
          </cell>
        </row>
        <row r="33">
          <cell r="A33">
            <v>679</v>
          </cell>
          <cell r="B33" t="str">
            <v>0067 - עוזיאל עידן יעקב</v>
          </cell>
          <cell r="C33">
            <v>29854.78</v>
          </cell>
          <cell r="D33">
            <v>27548.33</v>
          </cell>
          <cell r="E33">
            <v>30887.88</v>
          </cell>
          <cell r="F33">
            <v>27961.89</v>
          </cell>
          <cell r="G33">
            <v>27961.89</v>
          </cell>
          <cell r="H33">
            <v>27961.89</v>
          </cell>
          <cell r="I33">
            <v>26655.82</v>
          </cell>
          <cell r="J33">
            <v>26655.82</v>
          </cell>
        </row>
        <row r="34">
          <cell r="A34">
            <v>695</v>
          </cell>
          <cell r="B34" t="str">
            <v>0069 - גרבשקוב וסיליסה</v>
          </cell>
          <cell r="C34">
            <v>8918.82</v>
          </cell>
          <cell r="D34">
            <v>10634.47</v>
          </cell>
          <cell r="E34">
            <v>8884.85</v>
          </cell>
          <cell r="F34">
            <v>9449.85</v>
          </cell>
          <cell r="G34">
            <v>9449.85</v>
          </cell>
          <cell r="H34">
            <v>9449.85</v>
          </cell>
          <cell r="I34">
            <v>8945.06</v>
          </cell>
          <cell r="J34">
            <v>8945.06</v>
          </cell>
        </row>
        <row r="35">
          <cell r="A35">
            <v>703</v>
          </cell>
          <cell r="B35" t="str">
            <v>0070 - חיריק אור</v>
          </cell>
          <cell r="C35">
            <v>6501.91</v>
          </cell>
          <cell r="D35">
            <v>5839.89</v>
          </cell>
          <cell r="E35">
            <v>6620.88</v>
          </cell>
          <cell r="F35">
            <v>4973.7</v>
          </cell>
          <cell r="G35">
            <v>4973.7</v>
          </cell>
          <cell r="H35">
            <v>4973.7</v>
          </cell>
          <cell r="I35">
            <v>8710.01</v>
          </cell>
          <cell r="J35">
            <v>8710.01</v>
          </cell>
        </row>
        <row r="36">
          <cell r="A36">
            <v>729</v>
          </cell>
          <cell r="B36" t="str">
            <v>0072 - גוטמן רחל לאה</v>
          </cell>
          <cell r="C36">
            <v>12666.62</v>
          </cell>
          <cell r="D36">
            <v>4326.41</v>
          </cell>
          <cell r="E36">
            <v>7824.79</v>
          </cell>
          <cell r="F36">
            <v>12147.07</v>
          </cell>
          <cell r="G36">
            <v>12147.07</v>
          </cell>
          <cell r="H36">
            <v>12147.07</v>
          </cell>
          <cell r="J36">
            <v>0</v>
          </cell>
        </row>
        <row r="37">
          <cell r="A37">
            <v>745</v>
          </cell>
          <cell r="B37" t="str">
            <v>0074 - קוטליארוב ניקול</v>
          </cell>
          <cell r="C37">
            <v>12844.62</v>
          </cell>
          <cell r="D37">
            <v>12434.76</v>
          </cell>
          <cell r="E37">
            <v>11088.04</v>
          </cell>
          <cell r="F37">
            <v>9040.57</v>
          </cell>
          <cell r="G37">
            <v>9040.57</v>
          </cell>
          <cell r="H37">
            <v>9040.57</v>
          </cell>
          <cell r="I37">
            <v>11034.23</v>
          </cell>
          <cell r="J37">
            <v>11034.23</v>
          </cell>
        </row>
        <row r="38">
          <cell r="A38">
            <v>752</v>
          </cell>
          <cell r="B38" t="str">
            <v>0075 - רפאל שיר</v>
          </cell>
          <cell r="C38">
            <v>11029.21</v>
          </cell>
          <cell r="D38">
            <v>10925.11</v>
          </cell>
          <cell r="E38">
            <v>11186.81</v>
          </cell>
          <cell r="F38">
            <v>10042.74</v>
          </cell>
          <cell r="G38">
            <v>10042.74</v>
          </cell>
          <cell r="H38">
            <v>10042.74</v>
          </cell>
          <cell r="I38">
            <v>9578.2199999999993</v>
          </cell>
          <cell r="J38">
            <v>9578.2199999999993</v>
          </cell>
        </row>
        <row r="39">
          <cell r="A39">
            <v>760</v>
          </cell>
          <cell r="B39" t="str">
            <v>0076 - פלור רון</v>
          </cell>
          <cell r="C39">
            <v>3142.74</v>
          </cell>
          <cell r="D39">
            <v>5419.51</v>
          </cell>
          <cell r="E39">
            <v>4829.99</v>
          </cell>
          <cell r="F39">
            <v>3835.69</v>
          </cell>
          <cell r="G39">
            <v>3835.69</v>
          </cell>
          <cell r="H39">
            <v>3835.69</v>
          </cell>
          <cell r="I39">
            <v>5181.99</v>
          </cell>
          <cell r="J39">
            <v>5181.99</v>
          </cell>
        </row>
        <row r="40">
          <cell r="A40">
            <v>778</v>
          </cell>
          <cell r="B40" t="str">
            <v>0077 - טוקר ערד</v>
          </cell>
          <cell r="C40">
            <v>4324.09</v>
          </cell>
          <cell r="D40">
            <v>7296.52</v>
          </cell>
          <cell r="E40">
            <v>4109.22</v>
          </cell>
          <cell r="F40">
            <v>2032.71</v>
          </cell>
          <cell r="G40">
            <v>3437.09</v>
          </cell>
          <cell r="H40">
            <v>3437.09</v>
          </cell>
          <cell r="I40">
            <v>4268.6499999999996</v>
          </cell>
          <cell r="J40">
            <v>4268.6499999999996</v>
          </cell>
        </row>
        <row r="41">
          <cell r="A41">
            <v>786</v>
          </cell>
          <cell r="B41" t="str">
            <v>0078 - משעלי נעם</v>
          </cell>
          <cell r="C41">
            <v>22429.66</v>
          </cell>
          <cell r="D41">
            <v>19184.91</v>
          </cell>
          <cell r="E41">
            <v>17856.310000000001</v>
          </cell>
          <cell r="F41">
            <v>19568.580000000002</v>
          </cell>
          <cell r="G41">
            <v>19568.580000000002</v>
          </cell>
          <cell r="H41">
            <v>19568.580000000002</v>
          </cell>
          <cell r="I41">
            <v>22796.45</v>
          </cell>
          <cell r="J41">
            <v>23100.22</v>
          </cell>
        </row>
        <row r="42">
          <cell r="A42">
            <v>794</v>
          </cell>
          <cell r="B42" t="str">
            <v>0079 - צודיק דינה</v>
          </cell>
          <cell r="C42">
            <v>8516.5300000000007</v>
          </cell>
          <cell r="D42">
            <v>8213.68</v>
          </cell>
          <cell r="E42">
            <v>8669.2800000000007</v>
          </cell>
          <cell r="F42">
            <v>6373.39</v>
          </cell>
          <cell r="G42">
            <v>6373.39</v>
          </cell>
          <cell r="H42">
            <v>6373.39</v>
          </cell>
          <cell r="I42">
            <v>4486.17</v>
          </cell>
          <cell r="J42">
            <v>4486.17</v>
          </cell>
        </row>
        <row r="43">
          <cell r="A43">
            <v>802</v>
          </cell>
          <cell r="B43" t="str">
            <v>0080 - ספיבק מיכל</v>
          </cell>
          <cell r="C43">
            <v>31915.15</v>
          </cell>
          <cell r="D43">
            <v>31915.15</v>
          </cell>
          <cell r="E43">
            <v>31168.33</v>
          </cell>
          <cell r="F43">
            <v>34692.93</v>
          </cell>
          <cell r="G43">
            <v>35582.730000000003</v>
          </cell>
          <cell r="H43">
            <v>36324.230000000003</v>
          </cell>
          <cell r="I43">
            <v>35605.699999999997</v>
          </cell>
          <cell r="J43">
            <v>35605.699999999997</v>
          </cell>
        </row>
        <row r="44">
          <cell r="A44">
            <v>810</v>
          </cell>
          <cell r="B44" t="str">
            <v>0081 - הירש שיר</v>
          </cell>
          <cell r="C44">
            <v>13978.27</v>
          </cell>
          <cell r="D44">
            <v>14173.93</v>
          </cell>
          <cell r="E44">
            <v>16305.53</v>
          </cell>
          <cell r="F44">
            <v>13858.18</v>
          </cell>
          <cell r="G44">
            <v>13858.18</v>
          </cell>
          <cell r="H44">
            <v>13858.18</v>
          </cell>
          <cell r="I44">
            <v>13660.56</v>
          </cell>
          <cell r="J44">
            <v>13660.56</v>
          </cell>
        </row>
        <row r="45">
          <cell r="A45">
            <v>828</v>
          </cell>
          <cell r="B45" t="str">
            <v>0082 - אבו אסעד לינא</v>
          </cell>
          <cell r="C45">
            <v>4076.08</v>
          </cell>
          <cell r="D45">
            <v>4493.1099999999997</v>
          </cell>
          <cell r="E45">
            <v>4467.22</v>
          </cell>
          <cell r="F45">
            <v>3128.61</v>
          </cell>
          <cell r="G45">
            <v>3128.61</v>
          </cell>
          <cell r="H45">
            <v>3128.61</v>
          </cell>
          <cell r="I45">
            <v>5422.42</v>
          </cell>
          <cell r="J45">
            <v>5422.42</v>
          </cell>
        </row>
        <row r="46">
          <cell r="A46">
            <v>836</v>
          </cell>
          <cell r="B46" t="str">
            <v>0083 - שנר רותם</v>
          </cell>
          <cell r="C46">
            <v>6975.85</v>
          </cell>
          <cell r="D46">
            <v>7273.66</v>
          </cell>
          <cell r="E46">
            <v>8054.69</v>
          </cell>
          <cell r="F46">
            <v>5915.41</v>
          </cell>
          <cell r="G46">
            <v>8091.68</v>
          </cell>
          <cell r="H46">
            <v>8091.68</v>
          </cell>
          <cell r="I46">
            <v>10799.24</v>
          </cell>
          <cell r="J46">
            <v>10799.24</v>
          </cell>
        </row>
        <row r="47">
          <cell r="A47">
            <v>844</v>
          </cell>
          <cell r="B47" t="str">
            <v>0084 - דומב הדס</v>
          </cell>
          <cell r="C47">
            <v>4941.7700000000004</v>
          </cell>
          <cell r="D47">
            <v>5822.92</v>
          </cell>
          <cell r="E47">
            <v>5274.18</v>
          </cell>
          <cell r="F47">
            <v>4989.68</v>
          </cell>
          <cell r="G47">
            <v>4989.68</v>
          </cell>
          <cell r="H47">
            <v>4989.68</v>
          </cell>
          <cell r="I47">
            <v>5275.64</v>
          </cell>
          <cell r="J47">
            <v>5275.64</v>
          </cell>
        </row>
        <row r="48">
          <cell r="A48">
            <v>851</v>
          </cell>
          <cell r="B48" t="str">
            <v>0085 - קרלן שחר</v>
          </cell>
          <cell r="C48">
            <v>4898.6499999999996</v>
          </cell>
          <cell r="D48">
            <v>5736.65</v>
          </cell>
          <cell r="E48">
            <v>5722.11</v>
          </cell>
          <cell r="F48">
            <v>5283.81</v>
          </cell>
          <cell r="G48">
            <v>5283.81</v>
          </cell>
          <cell r="H48">
            <v>5283.81</v>
          </cell>
          <cell r="I48">
            <v>3586.19</v>
          </cell>
          <cell r="J48">
            <v>3586.19</v>
          </cell>
        </row>
        <row r="49">
          <cell r="A49">
            <v>869</v>
          </cell>
          <cell r="B49" t="str">
            <v>0086 - חזי נח קרין</v>
          </cell>
          <cell r="C49">
            <v>9096.39</v>
          </cell>
          <cell r="D49">
            <v>9297.66</v>
          </cell>
          <cell r="E49">
            <v>9831.08</v>
          </cell>
          <cell r="F49">
            <v>12994.26</v>
          </cell>
          <cell r="G49">
            <v>12994.26</v>
          </cell>
          <cell r="H49">
            <v>12994.26</v>
          </cell>
          <cell r="I49">
            <v>10051.370000000001</v>
          </cell>
          <cell r="J49">
            <v>10051.370000000001</v>
          </cell>
        </row>
        <row r="50">
          <cell r="A50">
            <v>877</v>
          </cell>
          <cell r="B50" t="str">
            <v>0087 - כוכב קרן</v>
          </cell>
          <cell r="C50">
            <v>5225.22</v>
          </cell>
          <cell r="D50">
            <v>5456.62</v>
          </cell>
          <cell r="E50">
            <v>3439.23</v>
          </cell>
          <cell r="F50">
            <v>6728.54</v>
          </cell>
          <cell r="G50">
            <v>6728.54</v>
          </cell>
          <cell r="H50">
            <v>6728.54</v>
          </cell>
          <cell r="I50">
            <v>6411.63</v>
          </cell>
          <cell r="J50">
            <v>6411.63</v>
          </cell>
        </row>
        <row r="51">
          <cell r="A51">
            <v>885</v>
          </cell>
          <cell r="B51" t="str">
            <v>0088 - מזרחי שקד</v>
          </cell>
          <cell r="C51">
            <v>3117.68</v>
          </cell>
          <cell r="D51">
            <v>4479.3100000000004</v>
          </cell>
          <cell r="E51">
            <v>3480.87</v>
          </cell>
          <cell r="F51">
            <v>3267.76</v>
          </cell>
          <cell r="G51">
            <v>3267.76</v>
          </cell>
          <cell r="H51">
            <v>3267.76</v>
          </cell>
          <cell r="I51">
            <v>6640.59</v>
          </cell>
          <cell r="J51">
            <v>6640.59</v>
          </cell>
        </row>
        <row r="52">
          <cell r="A52">
            <v>893</v>
          </cell>
          <cell r="B52" t="str">
            <v>0089 - פנקס עומר</v>
          </cell>
          <cell r="C52">
            <v>3110.88</v>
          </cell>
          <cell r="D52">
            <v>4295.1499999999996</v>
          </cell>
          <cell r="E52">
            <v>3640.77</v>
          </cell>
          <cell r="F52">
            <v>2299.5500000000002</v>
          </cell>
          <cell r="G52">
            <v>2299.5500000000002</v>
          </cell>
          <cell r="H52">
            <v>2299.5500000000002</v>
          </cell>
          <cell r="I52">
            <v>4191.54</v>
          </cell>
          <cell r="J52">
            <v>4191.54</v>
          </cell>
        </row>
        <row r="53">
          <cell r="A53">
            <v>901</v>
          </cell>
          <cell r="B53" t="str">
            <v>0090 - בן אברהם אור</v>
          </cell>
          <cell r="C53">
            <v>1925.6</v>
          </cell>
          <cell r="D53">
            <v>6705.54</v>
          </cell>
          <cell r="E53">
            <v>7418.99</v>
          </cell>
          <cell r="F53">
            <v>6112.62</v>
          </cell>
          <cell r="G53">
            <v>6112.62</v>
          </cell>
          <cell r="H53">
            <v>6112.62</v>
          </cell>
          <cell r="I53">
            <v>8416.06</v>
          </cell>
          <cell r="J53">
            <v>8416.06</v>
          </cell>
        </row>
        <row r="54">
          <cell r="A54">
            <v>919</v>
          </cell>
          <cell r="B54" t="str">
            <v>0091 - בודה נועה</v>
          </cell>
          <cell r="D54">
            <v>6452.51</v>
          </cell>
          <cell r="E54">
            <v>11293.66</v>
          </cell>
          <cell r="F54">
            <v>11393.7</v>
          </cell>
          <cell r="G54">
            <v>13580.46</v>
          </cell>
          <cell r="H54">
            <v>13580.46</v>
          </cell>
          <cell r="I54">
            <v>9845.7999999999993</v>
          </cell>
          <cell r="J54">
            <v>9845.7999999999993</v>
          </cell>
        </row>
        <row r="55">
          <cell r="A55">
            <v>927</v>
          </cell>
          <cell r="B55" t="str">
            <v>0092 - וולוביק רוזין</v>
          </cell>
          <cell r="D55">
            <v>769.08</v>
          </cell>
          <cell r="E55">
            <v>5026.17</v>
          </cell>
          <cell r="F55">
            <v>4363.83</v>
          </cell>
          <cell r="G55">
            <v>4363.83</v>
          </cell>
          <cell r="H55">
            <v>4363.83</v>
          </cell>
          <cell r="I55">
            <v>4892.96</v>
          </cell>
          <cell r="J55">
            <v>4892.96</v>
          </cell>
        </row>
        <row r="56">
          <cell r="A56">
            <v>935</v>
          </cell>
          <cell r="B56" t="str">
            <v>אדלר נועה</v>
          </cell>
          <cell r="E56">
            <v>3042.14</v>
          </cell>
          <cell r="F56">
            <v>5455.95</v>
          </cell>
          <cell r="G56">
            <v>5455.95</v>
          </cell>
          <cell r="H56">
            <v>5455.95</v>
          </cell>
          <cell r="I56">
            <v>8070.63</v>
          </cell>
          <cell r="J56">
            <v>8070.63</v>
          </cell>
        </row>
        <row r="57">
          <cell r="A57">
            <v>943</v>
          </cell>
          <cell r="B57" t="str">
            <v>ישי סיון</v>
          </cell>
          <cell r="C57">
            <v>0</v>
          </cell>
          <cell r="D57">
            <v>0</v>
          </cell>
          <cell r="E57">
            <v>0</v>
          </cell>
          <cell r="H57">
            <v>0</v>
          </cell>
          <cell r="I57">
            <v>13367.24</v>
          </cell>
          <cell r="J57">
            <v>13367.24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שוואה"/>
      <sheetName val="1.26"/>
      <sheetName val="1-12"/>
      <sheetName val="1-11"/>
      <sheetName val="9-10"/>
      <sheetName val="8-9"/>
      <sheetName val="1-8"/>
    </sheetNames>
    <sheetDataSet>
      <sheetData sheetId="0">
        <row r="4">
          <cell r="A4" t="str">
            <v>אזולאי  אבישג</v>
          </cell>
          <cell r="B4">
            <v>9454.4</v>
          </cell>
          <cell r="C4">
            <v>7376.31</v>
          </cell>
          <cell r="D4">
            <v>8035.97</v>
          </cell>
          <cell r="E4">
            <v>7626.95</v>
          </cell>
          <cell r="F4">
            <v>8317.2900000000009</v>
          </cell>
          <cell r="G4">
            <v>6343.07</v>
          </cell>
          <cell r="H4">
            <v>10132.18</v>
          </cell>
          <cell r="I4">
            <v>8195.16</v>
          </cell>
          <cell r="J4">
            <v>9717.17</v>
          </cell>
        </row>
        <row r="5">
          <cell r="A5" t="str">
            <v>אילוז  רוני</v>
          </cell>
          <cell r="B5">
            <v>1819.65</v>
          </cell>
          <cell r="C5">
            <v>4991.1000000000004</v>
          </cell>
          <cell r="D5">
            <v>5162.55</v>
          </cell>
          <cell r="E5">
            <v>4784.8999999999996</v>
          </cell>
          <cell r="F5">
            <v>5249.83</v>
          </cell>
          <cell r="G5">
            <v>1177.68</v>
          </cell>
          <cell r="H5">
            <v>2098.02</v>
          </cell>
          <cell r="I5">
            <v>4583.51</v>
          </cell>
          <cell r="J5">
            <v>5089.84</v>
          </cell>
        </row>
        <row r="6">
          <cell r="A6" t="str">
            <v>אסרף  נופר מזל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1445.53</v>
          </cell>
          <cell r="H6">
            <v>5634.61</v>
          </cell>
          <cell r="I6">
            <v>4832.6899999999996</v>
          </cell>
          <cell r="J6">
            <v>0</v>
          </cell>
        </row>
        <row r="7">
          <cell r="A7" t="str">
            <v>אשר  עומרי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11525.5</v>
          </cell>
          <cell r="G7">
            <v>25386.59</v>
          </cell>
          <cell r="H7">
            <v>24980.94</v>
          </cell>
          <cell r="I7">
            <v>25411.02</v>
          </cell>
          <cell r="J7">
            <v>25437.22</v>
          </cell>
        </row>
        <row r="8">
          <cell r="A8" t="str">
            <v>ביטון  אסתר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1233.5999999999999</v>
          </cell>
          <cell r="J8">
            <v>0</v>
          </cell>
        </row>
        <row r="9">
          <cell r="A9" t="str">
            <v>ברנע  איתן</v>
          </cell>
          <cell r="B9">
            <v>27618.240000000002</v>
          </cell>
          <cell r="C9">
            <v>27618.240000000002</v>
          </cell>
          <cell r="D9">
            <v>27618.240000000002</v>
          </cell>
          <cell r="E9">
            <v>27618.240000000002</v>
          </cell>
          <cell r="F9">
            <v>27618.240000000002</v>
          </cell>
          <cell r="G9">
            <v>27618.240000000002</v>
          </cell>
          <cell r="H9">
            <v>27618.240000000002</v>
          </cell>
          <cell r="I9">
            <v>27618.240000000002</v>
          </cell>
          <cell r="J9">
            <v>27618.240000000002</v>
          </cell>
        </row>
        <row r="10">
          <cell r="A10" t="str">
            <v>גודימנקו  איריס</v>
          </cell>
          <cell r="B10">
            <v>7002.33</v>
          </cell>
          <cell r="C10">
            <v>5703.52</v>
          </cell>
          <cell r="D10">
            <v>7212.32</v>
          </cell>
          <cell r="E10">
            <v>7450.97</v>
          </cell>
          <cell r="F10">
            <v>5348.03</v>
          </cell>
          <cell r="G10">
            <v>6288.3</v>
          </cell>
          <cell r="H10">
            <v>8617.81</v>
          </cell>
          <cell r="I10">
            <v>8351.36</v>
          </cell>
          <cell r="J10">
            <v>6564.54</v>
          </cell>
        </row>
        <row r="11">
          <cell r="A11" t="str">
            <v>גולוס צורים  עדי</v>
          </cell>
          <cell r="B11">
            <v>8079.33</v>
          </cell>
          <cell r="C11">
            <v>8462.94</v>
          </cell>
          <cell r="D11">
            <v>8267.91</v>
          </cell>
          <cell r="E11">
            <v>10162.540000000001</v>
          </cell>
          <cell r="F11">
            <v>8759.64</v>
          </cell>
          <cell r="G11">
            <v>8167.91</v>
          </cell>
          <cell r="H11">
            <v>6469.48</v>
          </cell>
          <cell r="I11">
            <v>9587.75</v>
          </cell>
          <cell r="J11">
            <v>9500.4699999999993</v>
          </cell>
        </row>
        <row r="12">
          <cell r="A12" t="str">
            <v>דלגדו  גבריאלה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הלברטל  כרמל</v>
          </cell>
          <cell r="B13">
            <v>11378.04</v>
          </cell>
          <cell r="C13">
            <v>1028.75</v>
          </cell>
          <cell r="D13">
            <v>1028.75</v>
          </cell>
          <cell r="E13">
            <v>1028.75</v>
          </cell>
          <cell r="F13">
            <v>2050.7399999999998</v>
          </cell>
          <cell r="G13">
            <v>10229.26</v>
          </cell>
          <cell r="H13">
            <v>11454.15</v>
          </cell>
          <cell r="I13">
            <v>13132.33</v>
          </cell>
          <cell r="J13">
            <v>11856.76</v>
          </cell>
        </row>
        <row r="14">
          <cell r="A14" t="str">
            <v>ווסלינג  קים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2381.77</v>
          </cell>
        </row>
        <row r="15">
          <cell r="A15" t="str">
            <v>כהן  ליאור</v>
          </cell>
          <cell r="B15">
            <v>10247.530000000001</v>
          </cell>
          <cell r="C15">
            <v>6128</v>
          </cell>
          <cell r="D15">
            <v>14951.37</v>
          </cell>
          <cell r="E15">
            <v>13324.59</v>
          </cell>
          <cell r="F15">
            <v>16120.18</v>
          </cell>
          <cell r="G15">
            <v>14294.71</v>
          </cell>
          <cell r="H15">
            <v>8968.5400000000009</v>
          </cell>
          <cell r="I15">
            <v>7662.8</v>
          </cell>
          <cell r="J15">
            <v>9521.64</v>
          </cell>
        </row>
        <row r="16">
          <cell r="A16" t="str">
            <v>לוין פדן  שני</v>
          </cell>
          <cell r="B16">
            <v>13189</v>
          </cell>
          <cell r="C16">
            <v>15614.29</v>
          </cell>
          <cell r="D16">
            <v>13594.83</v>
          </cell>
          <cell r="E16">
            <v>15551.23</v>
          </cell>
          <cell r="F16">
            <v>10586.34</v>
          </cell>
          <cell r="G16">
            <v>13759.66</v>
          </cell>
          <cell r="H16">
            <v>15394.57</v>
          </cell>
          <cell r="I16">
            <v>13732.66</v>
          </cell>
          <cell r="J16">
            <v>11203.29</v>
          </cell>
        </row>
        <row r="17">
          <cell r="A17" t="str">
            <v>מולצ'נוב  ליאורה</v>
          </cell>
          <cell r="B17">
            <v>2943.58</v>
          </cell>
          <cell r="C17">
            <v>5044.37</v>
          </cell>
          <cell r="D17">
            <v>4195.72</v>
          </cell>
          <cell r="E17">
            <v>5680.41</v>
          </cell>
          <cell r="F17">
            <v>5994.74</v>
          </cell>
          <cell r="G17">
            <v>6216.82</v>
          </cell>
          <cell r="H17">
            <v>6475.35</v>
          </cell>
          <cell r="I17">
            <v>7026.26</v>
          </cell>
          <cell r="J17">
            <v>6076.11</v>
          </cell>
        </row>
        <row r="18">
          <cell r="A18" t="str">
            <v>נחום  ספיר</v>
          </cell>
          <cell r="B18">
            <v>9949.92</v>
          </cell>
          <cell r="C18">
            <v>9858.57</v>
          </cell>
          <cell r="D18">
            <v>10800.73</v>
          </cell>
          <cell r="E18">
            <v>10753.09</v>
          </cell>
          <cell r="F18">
            <v>10448.74</v>
          </cell>
          <cell r="G18">
            <v>7917.24</v>
          </cell>
          <cell r="H18">
            <v>15866.56</v>
          </cell>
          <cell r="I18">
            <v>11245.49</v>
          </cell>
          <cell r="J18">
            <v>9968.17</v>
          </cell>
        </row>
        <row r="19">
          <cell r="A19" t="str">
            <v>סבג  אלמוג</v>
          </cell>
          <cell r="B19">
            <v>9324.2800000000007</v>
          </cell>
          <cell r="C19">
            <v>8084.87</v>
          </cell>
          <cell r="D19">
            <v>10235.4</v>
          </cell>
          <cell r="E19">
            <v>9187.92</v>
          </cell>
          <cell r="F19">
            <v>12370.33</v>
          </cell>
          <cell r="G19">
            <v>9842.07</v>
          </cell>
          <cell r="H19">
            <v>12755.76</v>
          </cell>
          <cell r="I19">
            <v>9075.5</v>
          </cell>
          <cell r="J19">
            <v>10319</v>
          </cell>
        </row>
        <row r="20">
          <cell r="A20" t="str">
            <v>סויפר  רועי</v>
          </cell>
          <cell r="B20"/>
          <cell r="C20"/>
          <cell r="D20"/>
          <cell r="E20"/>
          <cell r="F20"/>
          <cell r="G20"/>
          <cell r="H20"/>
          <cell r="I20"/>
          <cell r="J20"/>
        </row>
        <row r="21">
          <cell r="A21" t="str">
            <v>סיונוב  אפרת ליאל</v>
          </cell>
          <cell r="B21">
            <v>7836.49</v>
          </cell>
          <cell r="C21">
            <v>6928.1</v>
          </cell>
          <cell r="D21">
            <v>7673.81</v>
          </cell>
          <cell r="E21">
            <v>9412.67</v>
          </cell>
          <cell r="F21">
            <v>8794.02</v>
          </cell>
          <cell r="G21">
            <v>10501.27</v>
          </cell>
          <cell r="H21">
            <v>11967.74</v>
          </cell>
          <cell r="I21">
            <v>9656.0300000000007</v>
          </cell>
          <cell r="J21">
            <v>10258.94</v>
          </cell>
        </row>
        <row r="22">
          <cell r="A22" t="str">
            <v>פרסדנוב  מרי ילנה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1858.76</v>
          </cell>
        </row>
        <row r="23">
          <cell r="A23" t="str">
            <v>צור לוטן  מירב</v>
          </cell>
          <cell r="B23">
            <v>9667.26</v>
          </cell>
          <cell r="C23">
            <v>8961.3799999999992</v>
          </cell>
          <cell r="D23">
            <v>7093.25</v>
          </cell>
          <cell r="E23">
            <v>15128.19</v>
          </cell>
          <cell r="F23">
            <v>10147.780000000001</v>
          </cell>
          <cell r="G23">
            <v>10530.71</v>
          </cell>
          <cell r="H23">
            <v>10726.84</v>
          </cell>
          <cell r="I23">
            <v>8810.98</v>
          </cell>
          <cell r="J23">
            <v>10571.39</v>
          </cell>
        </row>
        <row r="24">
          <cell r="A24" t="str">
            <v>קורנבלוט  טל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רבקין  גלית</v>
          </cell>
          <cell r="B25">
            <v>6353.8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רנזין  אירינה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4462.83</v>
          </cell>
          <cell r="I26">
            <v>8226.41</v>
          </cell>
          <cell r="J26">
            <v>6159.03</v>
          </cell>
        </row>
        <row r="27">
          <cell r="A27" t="str">
            <v>שילה  מור</v>
          </cell>
          <cell r="B27">
            <v>2869.73</v>
          </cell>
          <cell r="C27">
            <v>2640.48</v>
          </cell>
          <cell r="D27">
            <v>3575.99</v>
          </cell>
          <cell r="E27">
            <v>3131.31</v>
          </cell>
          <cell r="F27">
            <v>3182.74</v>
          </cell>
          <cell r="G27">
            <v>3122.13</v>
          </cell>
          <cell r="H27">
            <v>3480.51</v>
          </cell>
          <cell r="I27">
            <v>3755.51</v>
          </cell>
          <cell r="J27">
            <v>3765.93</v>
          </cell>
        </row>
        <row r="28">
          <cell r="A28" t="str">
            <v>תמם  שלי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3046.26</v>
          </cell>
          <cell r="J28">
            <v>3544.09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מי ווט"/>
      <sheetName val="1.26"/>
      <sheetName val="12.25"/>
      <sheetName val="11.25"/>
      <sheetName val="10.25"/>
      <sheetName val="9.25"/>
      <sheetName val="8.25"/>
      <sheetName val="7.25"/>
    </sheetNames>
    <sheetDataSet>
      <sheetData sheetId="0">
        <row r="2">
          <cell r="A2">
            <v>3</v>
          </cell>
          <cell r="B2" t="str">
            <v>וקנין</v>
          </cell>
          <cell r="C2" t="str">
            <v>הלל</v>
          </cell>
          <cell r="D2">
            <v>3749</v>
          </cell>
          <cell r="E2">
            <v>5870</v>
          </cell>
          <cell r="F2">
            <v>3976</v>
          </cell>
          <cell r="G2">
            <v>2610</v>
          </cell>
          <cell r="H2">
            <v>0</v>
          </cell>
          <cell r="I2"/>
          <cell r="J2"/>
        </row>
        <row r="3">
          <cell r="A3">
            <v>4</v>
          </cell>
          <cell r="B3" t="str">
            <v>פינקמן</v>
          </cell>
          <cell r="C3" t="str">
            <v>הדר</v>
          </cell>
          <cell r="D3"/>
          <cell r="E3">
            <v>902</v>
          </cell>
          <cell r="F3">
            <v>2329</v>
          </cell>
          <cell r="G3">
            <v>1369</v>
          </cell>
          <cell r="H3">
            <v>1146</v>
          </cell>
          <cell r="I3">
            <v>2625</v>
          </cell>
          <cell r="J3">
            <v>1343.17</v>
          </cell>
        </row>
        <row r="4">
          <cell r="A4">
            <v>6</v>
          </cell>
          <cell r="B4" t="str">
            <v>באבי</v>
          </cell>
          <cell r="C4" t="str">
            <v>מאיה</v>
          </cell>
          <cell r="D4">
            <v>8742</v>
          </cell>
          <cell r="E4">
            <v>8099</v>
          </cell>
          <cell r="F4">
            <v>5774</v>
          </cell>
          <cell r="G4">
            <v>10937</v>
          </cell>
          <cell r="H4">
            <v>5397</v>
          </cell>
          <cell r="I4">
            <v>5259</v>
          </cell>
          <cell r="J4">
            <v>6368.94</v>
          </cell>
        </row>
        <row r="5">
          <cell r="A5">
            <v>9</v>
          </cell>
          <cell r="B5" t="str">
            <v>גור שחר</v>
          </cell>
          <cell r="C5" t="str">
            <v>נועה</v>
          </cell>
          <cell r="D5">
            <v>4600</v>
          </cell>
          <cell r="E5">
            <v>5886</v>
          </cell>
          <cell r="F5">
            <v>9597</v>
          </cell>
          <cell r="G5">
            <v>10862</v>
          </cell>
          <cell r="H5">
            <v>4873</v>
          </cell>
          <cell r="I5">
            <v>9789</v>
          </cell>
          <cell r="J5">
            <v>7336.72</v>
          </cell>
        </row>
        <row r="6">
          <cell r="A6">
            <v>10</v>
          </cell>
          <cell r="B6" t="str">
            <v>מאיר</v>
          </cell>
          <cell r="C6" t="str">
            <v>שנית</v>
          </cell>
          <cell r="D6">
            <v>13196</v>
          </cell>
          <cell r="E6">
            <v>13153</v>
          </cell>
          <cell r="F6">
            <v>13099</v>
          </cell>
          <cell r="G6">
            <v>16517</v>
          </cell>
          <cell r="H6">
            <v>13100</v>
          </cell>
          <cell r="I6">
            <v>13100</v>
          </cell>
          <cell r="J6">
            <v>13148.17</v>
          </cell>
        </row>
        <row r="7">
          <cell r="A7">
            <v>11</v>
          </cell>
          <cell r="B7" t="str">
            <v>אלון</v>
          </cell>
          <cell r="C7" t="str">
            <v>ליז</v>
          </cell>
          <cell r="D7">
            <v>14049</v>
          </cell>
          <cell r="E7">
            <v>13953</v>
          </cell>
          <cell r="F7">
            <v>13953</v>
          </cell>
          <cell r="G7">
            <v>17551</v>
          </cell>
          <cell r="H7">
            <v>13953</v>
          </cell>
          <cell r="I7">
            <v>13953</v>
          </cell>
          <cell r="J7">
            <v>14393.17</v>
          </cell>
        </row>
        <row r="8">
          <cell r="A8">
            <v>13</v>
          </cell>
          <cell r="B8" t="str">
            <v>בדולח</v>
          </cell>
          <cell r="C8" t="str">
            <v>נעה</v>
          </cell>
          <cell r="D8">
            <v>22300</v>
          </cell>
          <cell r="E8">
            <v>22203</v>
          </cell>
          <cell r="F8">
            <v>22203</v>
          </cell>
          <cell r="G8">
            <v>25351</v>
          </cell>
          <cell r="H8">
            <v>22203</v>
          </cell>
          <cell r="I8">
            <v>22203</v>
          </cell>
          <cell r="J8">
            <v>22196.07</v>
          </cell>
        </row>
        <row r="9">
          <cell r="A9">
            <v>16</v>
          </cell>
          <cell r="B9" t="str">
            <v>באסל</v>
          </cell>
          <cell r="C9" t="str">
            <v>חגאזי</v>
          </cell>
          <cell r="D9">
            <v>26178</v>
          </cell>
          <cell r="E9">
            <v>25588</v>
          </cell>
          <cell r="F9">
            <v>30645</v>
          </cell>
          <cell r="G9">
            <v>31945</v>
          </cell>
          <cell r="H9">
            <v>29892</v>
          </cell>
          <cell r="I9">
            <v>28278</v>
          </cell>
          <cell r="J9">
            <v>32467.87</v>
          </cell>
        </row>
        <row r="10">
          <cell r="A10">
            <v>21</v>
          </cell>
          <cell r="B10" t="str">
            <v>סימון</v>
          </cell>
          <cell r="C10" t="str">
            <v>אביגיל סלה</v>
          </cell>
          <cell r="D10">
            <v>17420</v>
          </cell>
          <cell r="E10">
            <v>14119</v>
          </cell>
          <cell r="F10">
            <v>14400</v>
          </cell>
          <cell r="G10">
            <v>17289</v>
          </cell>
          <cell r="H10">
            <v>14084</v>
          </cell>
          <cell r="I10">
            <v>15460</v>
          </cell>
          <cell r="J10">
            <v>15758.25</v>
          </cell>
        </row>
        <row r="11">
          <cell r="A11">
            <v>22</v>
          </cell>
          <cell r="B11" t="str">
            <v>מיכסיונוק</v>
          </cell>
          <cell r="C11" t="str">
            <v>ארינה</v>
          </cell>
          <cell r="D11">
            <v>11959</v>
          </cell>
          <cell r="E11">
            <v>11825</v>
          </cell>
          <cell r="F11">
            <v>9836</v>
          </cell>
          <cell r="G11">
            <v>13312</v>
          </cell>
          <cell r="H11">
            <v>9614</v>
          </cell>
          <cell r="I11">
            <v>10295</v>
          </cell>
          <cell r="J11">
            <v>8062.21</v>
          </cell>
        </row>
        <row r="12">
          <cell r="A12">
            <v>23</v>
          </cell>
          <cell r="B12" t="str">
            <v>חיים</v>
          </cell>
          <cell r="C12" t="str">
            <v>נתנאל</v>
          </cell>
          <cell r="D12">
            <v>30825</v>
          </cell>
          <cell r="E12">
            <v>32748</v>
          </cell>
          <cell r="F12">
            <v>28129</v>
          </cell>
          <cell r="G12">
            <v>37001</v>
          </cell>
          <cell r="H12">
            <v>34631</v>
          </cell>
          <cell r="I12">
            <v>30685</v>
          </cell>
          <cell r="J12">
            <v>33761.26</v>
          </cell>
        </row>
        <row r="13">
          <cell r="A13">
            <v>24</v>
          </cell>
          <cell r="B13" t="str">
            <v>שרבן</v>
          </cell>
          <cell r="C13" t="str">
            <v>אנקה</v>
          </cell>
          <cell r="D13">
            <v>20355</v>
          </cell>
          <cell r="E13">
            <v>20161</v>
          </cell>
          <cell r="F13">
            <v>20161</v>
          </cell>
          <cell r="G13">
            <v>22860</v>
          </cell>
          <cell r="H13">
            <v>20161</v>
          </cell>
          <cell r="I13">
            <v>21171</v>
          </cell>
          <cell r="J13"/>
        </row>
        <row r="14">
          <cell r="A14">
            <v>25</v>
          </cell>
          <cell r="B14" t="str">
            <v>עבד אלהאדי</v>
          </cell>
          <cell r="C14" t="str">
            <v>גיהאד</v>
          </cell>
          <cell r="D14">
            <v>22499</v>
          </cell>
          <cell r="E14">
            <v>19104</v>
          </cell>
          <cell r="F14">
            <v>19969</v>
          </cell>
          <cell r="G14">
            <v>25727</v>
          </cell>
          <cell r="H14">
            <v>17667</v>
          </cell>
          <cell r="I14">
            <v>19684</v>
          </cell>
          <cell r="J14">
            <v>18211.91</v>
          </cell>
        </row>
        <row r="15">
          <cell r="A15">
            <v>26</v>
          </cell>
          <cell r="B15" t="str">
            <v>מגנדף</v>
          </cell>
          <cell r="C15" t="str">
            <v>ולאא</v>
          </cell>
          <cell r="D15">
            <v>20418</v>
          </cell>
          <cell r="E15">
            <v>22473</v>
          </cell>
          <cell r="F15">
            <v>14291</v>
          </cell>
          <cell r="G15">
            <v>27860</v>
          </cell>
          <cell r="H15">
            <v>24239</v>
          </cell>
          <cell r="I15">
            <v>18057</v>
          </cell>
          <cell r="J15">
            <v>18688.939999999999</v>
          </cell>
        </row>
        <row r="16">
          <cell r="A16">
            <v>27</v>
          </cell>
          <cell r="B16" t="str">
            <v>קסנביץ</v>
          </cell>
          <cell r="C16" t="str">
            <v>כריסטינה</v>
          </cell>
          <cell r="D16">
            <v>8247</v>
          </cell>
          <cell r="E16">
            <v>6291</v>
          </cell>
          <cell r="F16">
            <v>6169</v>
          </cell>
          <cell r="G16">
            <v>10738</v>
          </cell>
          <cell r="H16">
            <v>6301</v>
          </cell>
          <cell r="I16">
            <v>9108</v>
          </cell>
          <cell r="J16">
            <v>8100.09</v>
          </cell>
        </row>
        <row r="17">
          <cell r="A17">
            <v>31</v>
          </cell>
          <cell r="B17" t="str">
            <v>ביטון</v>
          </cell>
          <cell r="C17" t="str">
            <v>רוחמה</v>
          </cell>
          <cell r="D17">
            <v>6520</v>
          </cell>
          <cell r="E17">
            <v>8442</v>
          </cell>
          <cell r="F17">
            <v>10852</v>
          </cell>
          <cell r="G17">
            <v>13030</v>
          </cell>
          <cell r="H17">
            <v>7619</v>
          </cell>
          <cell r="I17">
            <v>7387</v>
          </cell>
          <cell r="J17">
            <v>7920.73</v>
          </cell>
        </row>
        <row r="18">
          <cell r="A18">
            <v>32</v>
          </cell>
          <cell r="B18" t="str">
            <v>אברמוביץ'</v>
          </cell>
          <cell r="C18" t="str">
            <v>ודים</v>
          </cell>
          <cell r="D18">
            <v>34468</v>
          </cell>
          <cell r="E18">
            <v>34343</v>
          </cell>
          <cell r="F18">
            <v>29447</v>
          </cell>
          <cell r="G18">
            <v>39853</v>
          </cell>
          <cell r="H18">
            <v>32920</v>
          </cell>
          <cell r="I18">
            <v>31086</v>
          </cell>
          <cell r="J18">
            <v>31854.27</v>
          </cell>
        </row>
        <row r="19">
          <cell r="A19">
            <v>35</v>
          </cell>
          <cell r="B19" t="str">
            <v>יוסף</v>
          </cell>
          <cell r="C19" t="str">
            <v>סאנדי</v>
          </cell>
          <cell r="D19">
            <v>9957</v>
          </cell>
          <cell r="E19">
            <v>8481</v>
          </cell>
          <cell r="F19">
            <v>9623</v>
          </cell>
          <cell r="G19">
            <v>12222</v>
          </cell>
          <cell r="H19">
            <v>5784</v>
          </cell>
          <cell r="I19">
            <v>8745</v>
          </cell>
          <cell r="J19">
            <v>9720.0400000000009</v>
          </cell>
        </row>
        <row r="20">
          <cell r="A20">
            <v>36</v>
          </cell>
          <cell r="B20" t="str">
            <v>שומר</v>
          </cell>
          <cell r="C20" t="str">
            <v>מלכה אהבה</v>
          </cell>
          <cell r="D20">
            <v>10520</v>
          </cell>
          <cell r="E20">
            <v>6896</v>
          </cell>
          <cell r="F20">
            <v>6586</v>
          </cell>
          <cell r="G20">
            <v>10241</v>
          </cell>
          <cell r="H20">
            <v>6061</v>
          </cell>
          <cell r="I20">
            <v>6304</v>
          </cell>
          <cell r="J20">
            <v>6641.24</v>
          </cell>
        </row>
        <row r="21">
          <cell r="A21">
            <v>39</v>
          </cell>
          <cell r="B21" t="str">
            <v>אבו ריא</v>
          </cell>
          <cell r="C21" t="str">
            <v>נדין</v>
          </cell>
          <cell r="D21">
            <v>9398</v>
          </cell>
          <cell r="E21">
            <v>5815</v>
          </cell>
          <cell r="F21">
            <v>12261</v>
          </cell>
          <cell r="G21">
            <v>12921</v>
          </cell>
          <cell r="H21">
            <v>7715</v>
          </cell>
          <cell r="I21">
            <v>5940</v>
          </cell>
          <cell r="J21">
            <v>712.15</v>
          </cell>
        </row>
        <row r="22">
          <cell r="A22">
            <v>40</v>
          </cell>
          <cell r="B22" t="str">
            <v>ז'יטינסקי זאיצב</v>
          </cell>
          <cell r="C22" t="str">
            <v>ויקטוריה</v>
          </cell>
          <cell r="D22">
            <v>8495</v>
          </cell>
          <cell r="E22">
            <v>8206</v>
          </cell>
          <cell r="F22">
            <v>8630</v>
          </cell>
          <cell r="G22">
            <v>14391</v>
          </cell>
          <cell r="H22">
            <v>9709</v>
          </cell>
          <cell r="I22">
            <v>12255</v>
          </cell>
          <cell r="J22">
            <v>8200.7999999999993</v>
          </cell>
        </row>
        <row r="23">
          <cell r="A23">
            <v>41</v>
          </cell>
          <cell r="B23" t="str">
            <v>מוכעבל</v>
          </cell>
          <cell r="C23" t="str">
            <v>גוני</v>
          </cell>
          <cell r="D23">
            <v>18070</v>
          </cell>
          <cell r="E23">
            <v>19695</v>
          </cell>
          <cell r="F23">
            <v>20063</v>
          </cell>
          <cell r="G23">
            <v>25820</v>
          </cell>
          <cell r="H23">
            <v>17437</v>
          </cell>
          <cell r="I23">
            <v>20759</v>
          </cell>
          <cell r="J23">
            <v>19482.349999999999</v>
          </cell>
        </row>
        <row r="24">
          <cell r="A24">
            <v>42</v>
          </cell>
          <cell r="B24" t="str">
            <v>חבה</v>
          </cell>
          <cell r="C24" t="str">
            <v>ערן</v>
          </cell>
          <cell r="D24">
            <v>50889</v>
          </cell>
          <cell r="E24">
            <v>50891</v>
          </cell>
          <cell r="F24">
            <v>50889</v>
          </cell>
          <cell r="G24">
            <v>53138</v>
          </cell>
          <cell r="H24">
            <v>50889</v>
          </cell>
          <cell r="I24">
            <v>50890</v>
          </cell>
          <cell r="J24">
            <v>50773.29</v>
          </cell>
        </row>
        <row r="25">
          <cell r="A25">
            <v>44</v>
          </cell>
          <cell r="B25" t="str">
            <v>וקנין קערו</v>
          </cell>
          <cell r="C25" t="str">
            <v>אדוה</v>
          </cell>
          <cell r="D25">
            <v>10759</v>
          </cell>
          <cell r="E25">
            <v>11249</v>
          </cell>
          <cell r="F25">
            <v>9322</v>
          </cell>
          <cell r="G25">
            <v>12261</v>
          </cell>
          <cell r="H25">
            <v>10299</v>
          </cell>
          <cell r="I25">
            <v>11182</v>
          </cell>
          <cell r="J25">
            <v>9850.39</v>
          </cell>
        </row>
        <row r="26">
          <cell r="A26">
            <v>45</v>
          </cell>
          <cell r="B26" t="str">
            <v>קנייב</v>
          </cell>
          <cell r="C26" t="str">
            <v>נטליה</v>
          </cell>
          <cell r="D26">
            <v>7444</v>
          </cell>
          <cell r="E26">
            <v>8053</v>
          </cell>
          <cell r="F26">
            <v>7349</v>
          </cell>
          <cell r="G26">
            <v>9694</v>
          </cell>
          <cell r="H26">
            <v>4008</v>
          </cell>
          <cell r="I26"/>
          <cell r="J26"/>
        </row>
        <row r="27">
          <cell r="A27">
            <v>48</v>
          </cell>
          <cell r="B27" t="str">
            <v>קוגל</v>
          </cell>
          <cell r="C27" t="str">
            <v>דיאנה</v>
          </cell>
          <cell r="D27">
            <v>5903</v>
          </cell>
          <cell r="E27">
            <v>5246</v>
          </cell>
          <cell r="F27">
            <v>4119</v>
          </cell>
          <cell r="G27">
            <v>5855</v>
          </cell>
          <cell r="H27">
            <v>5099</v>
          </cell>
          <cell r="I27">
            <v>11152</v>
          </cell>
          <cell r="J27">
            <v>6451.44</v>
          </cell>
        </row>
        <row r="28">
          <cell r="A28">
            <v>50</v>
          </cell>
          <cell r="B28" t="str">
            <v>פודי</v>
          </cell>
          <cell r="C28" t="str">
            <v>רהף</v>
          </cell>
          <cell r="D28">
            <v>732</v>
          </cell>
          <cell r="E28"/>
          <cell r="F28"/>
          <cell r="G28"/>
          <cell r="H28">
            <v>0</v>
          </cell>
          <cell r="I28"/>
          <cell r="J28"/>
        </row>
        <row r="29">
          <cell r="A29">
            <v>51</v>
          </cell>
          <cell r="B29" t="str">
            <v>יונס</v>
          </cell>
          <cell r="C29" t="str">
            <v>מוחמד</v>
          </cell>
          <cell r="D29">
            <v>11174</v>
          </cell>
          <cell r="E29">
            <v>1214</v>
          </cell>
          <cell r="F29"/>
          <cell r="G29"/>
          <cell r="H29">
            <v>0</v>
          </cell>
          <cell r="I29"/>
          <cell r="J29"/>
        </row>
        <row r="30">
          <cell r="A30">
            <v>52</v>
          </cell>
          <cell r="B30" t="str">
            <v>זובידאת</v>
          </cell>
          <cell r="C30" t="str">
            <v>באסל</v>
          </cell>
          <cell r="D30">
            <v>10815</v>
          </cell>
          <cell r="E30">
            <v>9954</v>
          </cell>
          <cell r="F30">
            <v>11061</v>
          </cell>
          <cell r="G30">
            <v>9892</v>
          </cell>
          <cell r="H30">
            <v>8072</v>
          </cell>
          <cell r="I30">
            <v>9223</v>
          </cell>
          <cell r="J30">
            <v>13652.62</v>
          </cell>
        </row>
        <row r="31">
          <cell r="A31">
            <v>54</v>
          </cell>
          <cell r="B31" t="str">
            <v>קפלוניק</v>
          </cell>
          <cell r="C31" t="str">
            <v>שי</v>
          </cell>
          <cell r="D31">
            <v>1087</v>
          </cell>
          <cell r="E31"/>
          <cell r="F31"/>
          <cell r="G31"/>
          <cell r="H31">
            <v>0</v>
          </cell>
          <cell r="I31"/>
          <cell r="J31"/>
        </row>
        <row r="32">
          <cell r="A32">
            <v>55</v>
          </cell>
          <cell r="B32" t="str">
            <v>נסראוי</v>
          </cell>
          <cell r="C32" t="str">
            <v>הייא</v>
          </cell>
          <cell r="D32">
            <v>6720</v>
          </cell>
          <cell r="E32">
            <v>1096</v>
          </cell>
          <cell r="F32">
            <v>2444</v>
          </cell>
          <cell r="G32">
            <v>5136</v>
          </cell>
          <cell r="H32">
            <v>6107</v>
          </cell>
          <cell r="I32">
            <v>6822</v>
          </cell>
          <cell r="J32">
            <v>1458.55</v>
          </cell>
        </row>
        <row r="33">
          <cell r="A33">
            <v>56</v>
          </cell>
          <cell r="B33" t="str">
            <v>קאהאן</v>
          </cell>
          <cell r="C33" t="str">
            <v>אילת נגה</v>
          </cell>
          <cell r="D33">
            <v>9434</v>
          </cell>
          <cell r="E33">
            <v>10086</v>
          </cell>
          <cell r="F33">
            <v>8576</v>
          </cell>
          <cell r="G33">
            <v>9535</v>
          </cell>
          <cell r="H33">
            <v>7917</v>
          </cell>
          <cell r="I33">
            <v>6091</v>
          </cell>
          <cell r="J33">
            <v>5118.79</v>
          </cell>
        </row>
        <row r="34">
          <cell r="A34">
            <v>57</v>
          </cell>
          <cell r="B34" t="str">
            <v>אחרס</v>
          </cell>
          <cell r="C34" t="str">
            <v>סיואר</v>
          </cell>
          <cell r="D34">
            <v>3739</v>
          </cell>
          <cell r="E34">
            <v>1464</v>
          </cell>
          <cell r="F34">
            <v>5638</v>
          </cell>
          <cell r="G34">
            <v>5153</v>
          </cell>
          <cell r="H34">
            <v>7917</v>
          </cell>
          <cell r="I34">
            <v>6438</v>
          </cell>
          <cell r="J34">
            <v>8416.75</v>
          </cell>
        </row>
        <row r="35">
          <cell r="A35">
            <v>58</v>
          </cell>
          <cell r="B35" t="str">
            <v>שאהין</v>
          </cell>
          <cell r="C35" t="str">
            <v>נור</v>
          </cell>
          <cell r="D35"/>
          <cell r="E35">
            <v>10722</v>
          </cell>
          <cell r="F35">
            <v>5836</v>
          </cell>
          <cell r="G35">
            <v>4647</v>
          </cell>
          <cell r="H35">
            <v>6609</v>
          </cell>
          <cell r="I35">
            <v>5753</v>
          </cell>
          <cell r="J35">
            <v>9808.4500000000007</v>
          </cell>
        </row>
        <row r="36">
          <cell r="A36">
            <v>59</v>
          </cell>
          <cell r="B36" t="str">
            <v>אביטל ליבנה</v>
          </cell>
          <cell r="C36" t="str">
            <v>יוחאי</v>
          </cell>
          <cell r="D36"/>
          <cell r="E36">
            <v>21652</v>
          </cell>
          <cell r="F36">
            <v>26171</v>
          </cell>
          <cell r="G36">
            <v>20980</v>
          </cell>
          <cell r="H36">
            <v>25644</v>
          </cell>
          <cell r="I36">
            <v>9049</v>
          </cell>
          <cell r="J36">
            <v>21988.33</v>
          </cell>
        </row>
        <row r="37">
          <cell r="A37">
            <v>60</v>
          </cell>
          <cell r="B37" t="str">
            <v>וינשטין</v>
          </cell>
          <cell r="C37" t="str">
            <v>אדוה</v>
          </cell>
          <cell r="D37"/>
          <cell r="E37"/>
          <cell r="F37">
            <v>7080</v>
          </cell>
          <cell r="G37">
            <v>3098</v>
          </cell>
          <cell r="H37">
            <v>5839</v>
          </cell>
          <cell r="I37">
            <v>7343</v>
          </cell>
          <cell r="J37"/>
        </row>
        <row r="38">
          <cell r="A38">
            <v>61</v>
          </cell>
          <cell r="B38" t="str">
            <v>סקומורובסקי</v>
          </cell>
          <cell r="C38" t="str">
            <v>קיריל</v>
          </cell>
          <cell r="D38"/>
          <cell r="E38"/>
          <cell r="F38">
            <v>14875</v>
          </cell>
          <cell r="G38">
            <v>20897</v>
          </cell>
          <cell r="H38">
            <v>21262</v>
          </cell>
          <cell r="I38">
            <v>31637</v>
          </cell>
          <cell r="J38">
            <v>20970.5</v>
          </cell>
        </row>
        <row r="39">
          <cell r="A39">
            <v>62</v>
          </cell>
          <cell r="B39" t="str">
            <v>טאראסולה</v>
          </cell>
          <cell r="C39" t="str">
            <v>נועה</v>
          </cell>
          <cell r="G39">
            <v>1838</v>
          </cell>
          <cell r="H39">
            <v>4857</v>
          </cell>
          <cell r="I39">
            <v>6271</v>
          </cell>
          <cell r="J39">
            <v>5158.84</v>
          </cell>
        </row>
        <row r="40">
          <cell r="A40">
            <v>63</v>
          </cell>
          <cell r="B40" t="str">
            <v>קטלר</v>
          </cell>
          <cell r="C40" t="str">
            <v>ניקולאס</v>
          </cell>
          <cell r="G40">
            <v>3926</v>
          </cell>
          <cell r="H40">
            <v>3036</v>
          </cell>
          <cell r="I40">
            <v>5088</v>
          </cell>
          <cell r="J40">
            <v>3818.41</v>
          </cell>
        </row>
        <row r="41">
          <cell r="A41">
            <v>64</v>
          </cell>
          <cell r="B41" t="str">
            <v>יפתח</v>
          </cell>
          <cell r="C41" t="str">
            <v>מירל מירלה</v>
          </cell>
          <cell r="G41"/>
          <cell r="H41">
            <v>2699</v>
          </cell>
          <cell r="I41"/>
          <cell r="J41"/>
        </row>
        <row r="42">
          <cell r="A42">
            <v>65</v>
          </cell>
          <cell r="B42" t="str">
            <v>רסקנסקי</v>
          </cell>
          <cell r="C42" t="str">
            <v>הילה הילי</v>
          </cell>
          <cell r="G42"/>
          <cell r="H42">
            <v>39290</v>
          </cell>
          <cell r="I42">
            <v>47103</v>
          </cell>
          <cell r="J42">
            <v>39283.279999999999</v>
          </cell>
        </row>
        <row r="43">
          <cell r="A43">
            <v>66</v>
          </cell>
          <cell r="B43" t="str">
            <v>מולצנוב</v>
          </cell>
          <cell r="C43" t="str">
            <v>אנסטסיה</v>
          </cell>
          <cell r="I43">
            <v>1645</v>
          </cell>
          <cell r="J43">
            <v>6520.95</v>
          </cell>
        </row>
        <row r="44">
          <cell r="A44"/>
          <cell r="B44" t="str">
            <v>טל</v>
          </cell>
          <cell r="C44" t="str">
            <v>סיון</v>
          </cell>
          <cell r="I44"/>
          <cell r="J44">
            <v>21941.38</v>
          </cell>
        </row>
        <row r="45">
          <cell r="A45"/>
          <cell r="B45" t="str">
            <v>מח'ימר</v>
          </cell>
          <cell r="C45" t="str">
            <v>מונא</v>
          </cell>
          <cell r="I45"/>
          <cell r="J45">
            <v>2926.55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מי ווט"/>
    </sheetNames>
    <sheetDataSet>
      <sheetData sheetId="0">
        <row r="2">
          <cell r="A2">
            <v>3</v>
          </cell>
          <cell r="B2" t="str">
            <v>וקנין</v>
          </cell>
          <cell r="C2" t="str">
            <v>הלל</v>
          </cell>
          <cell r="D2">
            <v>3976</v>
          </cell>
          <cell r="E2">
            <v>2610</v>
          </cell>
          <cell r="F2">
            <v>0</v>
          </cell>
        </row>
        <row r="3">
          <cell r="A3">
            <v>4</v>
          </cell>
          <cell r="B3" t="str">
            <v>פינקמן</v>
          </cell>
          <cell r="C3" t="str">
            <v>הדר</v>
          </cell>
          <cell r="D3">
            <v>2329</v>
          </cell>
          <cell r="E3">
            <v>1369</v>
          </cell>
          <cell r="F3">
            <v>1146</v>
          </cell>
        </row>
        <row r="4">
          <cell r="A4">
            <v>6</v>
          </cell>
          <cell r="B4" t="str">
            <v>באבי</v>
          </cell>
          <cell r="C4" t="str">
            <v>מאיה</v>
          </cell>
          <cell r="D4">
            <v>5774</v>
          </cell>
          <cell r="E4">
            <v>10937</v>
          </cell>
          <cell r="F4">
            <v>5397</v>
          </cell>
        </row>
        <row r="5">
          <cell r="A5">
            <v>9</v>
          </cell>
          <cell r="B5" t="str">
            <v>גור שחר</v>
          </cell>
          <cell r="C5" t="str">
            <v>נועה</v>
          </cell>
          <cell r="D5">
            <v>9597</v>
          </cell>
          <cell r="E5">
            <v>10862</v>
          </cell>
          <cell r="F5">
            <v>4873</v>
          </cell>
        </row>
        <row r="6">
          <cell r="A6">
            <v>10</v>
          </cell>
          <cell r="B6" t="str">
            <v>מאיר</v>
          </cell>
          <cell r="C6" t="str">
            <v>שנית</v>
          </cell>
          <cell r="D6">
            <v>13099</v>
          </cell>
          <cell r="E6">
            <v>16517</v>
          </cell>
          <cell r="F6">
            <v>13100</v>
          </cell>
        </row>
        <row r="7">
          <cell r="A7">
            <v>11</v>
          </cell>
          <cell r="B7" t="str">
            <v>אלון</v>
          </cell>
          <cell r="C7" t="str">
            <v>ליז</v>
          </cell>
          <cell r="D7">
            <v>13953</v>
          </cell>
          <cell r="E7">
            <v>17551</v>
          </cell>
          <cell r="F7">
            <v>13953</v>
          </cell>
        </row>
        <row r="8">
          <cell r="A8">
            <v>13</v>
          </cell>
          <cell r="B8" t="str">
            <v>בדולח</v>
          </cell>
          <cell r="C8" t="str">
            <v>נעה</v>
          </cell>
          <cell r="D8">
            <v>22203</v>
          </cell>
          <cell r="E8">
            <v>25351</v>
          </cell>
          <cell r="F8">
            <v>22203</v>
          </cell>
        </row>
        <row r="9">
          <cell r="A9">
            <v>16</v>
          </cell>
          <cell r="B9" t="str">
            <v>באסל</v>
          </cell>
          <cell r="C9" t="str">
            <v>חגאזי</v>
          </cell>
          <cell r="D9">
            <v>30645</v>
          </cell>
          <cell r="E9">
            <v>31945</v>
          </cell>
          <cell r="F9">
            <v>29892</v>
          </cell>
        </row>
        <row r="10">
          <cell r="A10">
            <v>21</v>
          </cell>
          <cell r="B10" t="str">
            <v>סימון</v>
          </cell>
          <cell r="C10" t="str">
            <v>אביגיל סלה</v>
          </cell>
          <cell r="D10">
            <v>14400</v>
          </cell>
          <cell r="E10">
            <v>17289</v>
          </cell>
          <cell r="F10">
            <v>14084</v>
          </cell>
        </row>
        <row r="11">
          <cell r="A11">
            <v>22</v>
          </cell>
          <cell r="B11" t="str">
            <v>מיכסיונוק</v>
          </cell>
          <cell r="C11" t="str">
            <v>ארינה</v>
          </cell>
          <cell r="D11">
            <v>9836</v>
          </cell>
          <cell r="E11">
            <v>13312</v>
          </cell>
          <cell r="F11">
            <v>9614</v>
          </cell>
        </row>
        <row r="12">
          <cell r="A12">
            <v>23</v>
          </cell>
          <cell r="B12" t="str">
            <v>חיים</v>
          </cell>
          <cell r="C12" t="str">
            <v>נתנאל</v>
          </cell>
          <cell r="D12">
            <v>28129</v>
          </cell>
          <cell r="E12">
            <v>37001</v>
          </cell>
          <cell r="F12">
            <v>34631</v>
          </cell>
        </row>
        <row r="13">
          <cell r="A13">
            <v>24</v>
          </cell>
          <cell r="B13" t="str">
            <v>שרבן</v>
          </cell>
          <cell r="C13" t="str">
            <v>אנקה</v>
          </cell>
          <cell r="D13">
            <v>20161</v>
          </cell>
          <cell r="E13">
            <v>22860</v>
          </cell>
          <cell r="F13">
            <v>20161</v>
          </cell>
        </row>
        <row r="14">
          <cell r="A14">
            <v>25</v>
          </cell>
          <cell r="B14" t="str">
            <v>עבד אלהאדי</v>
          </cell>
          <cell r="C14" t="str">
            <v>גיהאד</v>
          </cell>
          <cell r="D14">
            <v>19969</v>
          </cell>
          <cell r="E14">
            <v>25727</v>
          </cell>
          <cell r="F14">
            <v>17667</v>
          </cell>
        </row>
        <row r="15">
          <cell r="A15">
            <v>26</v>
          </cell>
          <cell r="B15" t="str">
            <v>מגנדף</v>
          </cell>
          <cell r="C15" t="str">
            <v>ולאא</v>
          </cell>
          <cell r="D15">
            <v>14291</v>
          </cell>
          <cell r="E15">
            <v>27860</v>
          </cell>
          <cell r="F15">
            <v>24239</v>
          </cell>
        </row>
        <row r="16">
          <cell r="A16">
            <v>27</v>
          </cell>
          <cell r="B16" t="str">
            <v>קסנביץ</v>
          </cell>
          <cell r="C16" t="str">
            <v>כריסטינה</v>
          </cell>
          <cell r="D16">
            <v>6169</v>
          </cell>
          <cell r="E16">
            <v>10738</v>
          </cell>
          <cell r="F16">
            <v>6301</v>
          </cell>
        </row>
        <row r="17">
          <cell r="A17">
            <v>31</v>
          </cell>
          <cell r="B17" t="str">
            <v>ביטון</v>
          </cell>
          <cell r="C17" t="str">
            <v>רוחמה</v>
          </cell>
          <cell r="D17">
            <v>10852</v>
          </cell>
          <cell r="E17">
            <v>13030</v>
          </cell>
          <cell r="F17">
            <v>7619</v>
          </cell>
        </row>
        <row r="18">
          <cell r="A18">
            <v>32</v>
          </cell>
          <cell r="B18" t="str">
            <v>אברמוביץ'</v>
          </cell>
          <cell r="C18" t="str">
            <v>ודים</v>
          </cell>
          <cell r="D18">
            <v>29447</v>
          </cell>
          <cell r="E18">
            <v>39853</v>
          </cell>
          <cell r="F18">
            <v>32920</v>
          </cell>
        </row>
        <row r="19">
          <cell r="A19">
            <v>35</v>
          </cell>
          <cell r="B19" t="str">
            <v>יוסף</v>
          </cell>
          <cell r="C19" t="str">
            <v>סאנדי</v>
          </cell>
          <cell r="D19">
            <v>9623</v>
          </cell>
          <cell r="E19">
            <v>12222</v>
          </cell>
          <cell r="F19">
            <v>5784</v>
          </cell>
        </row>
        <row r="20">
          <cell r="A20">
            <v>36</v>
          </cell>
          <cell r="B20" t="str">
            <v>שומר</v>
          </cell>
          <cell r="C20" t="str">
            <v>מלכה אהבה</v>
          </cell>
          <cell r="D20">
            <v>6586</v>
          </cell>
          <cell r="E20">
            <v>10241</v>
          </cell>
          <cell r="F20">
            <v>6061</v>
          </cell>
        </row>
        <row r="21">
          <cell r="A21">
            <v>39</v>
          </cell>
          <cell r="B21" t="str">
            <v>אבו ריא</v>
          </cell>
          <cell r="C21" t="str">
            <v>נדין</v>
          </cell>
          <cell r="D21">
            <v>12261</v>
          </cell>
          <cell r="E21">
            <v>12921</v>
          </cell>
          <cell r="F21">
            <v>7715</v>
          </cell>
        </row>
        <row r="22">
          <cell r="A22">
            <v>40</v>
          </cell>
          <cell r="B22" t="str">
            <v>ז'יטינסקי זאיצב</v>
          </cell>
          <cell r="C22" t="str">
            <v>ויקטוריה</v>
          </cell>
          <cell r="D22">
            <v>8630</v>
          </cell>
          <cell r="E22">
            <v>14391</v>
          </cell>
          <cell r="F22">
            <v>9709</v>
          </cell>
        </row>
        <row r="23">
          <cell r="A23">
            <v>41</v>
          </cell>
          <cell r="B23" t="str">
            <v>מוכעבל</v>
          </cell>
          <cell r="C23" t="str">
            <v>גוני</v>
          </cell>
          <cell r="D23">
            <v>20063</v>
          </cell>
          <cell r="E23">
            <v>25820</v>
          </cell>
          <cell r="F23">
            <v>17437</v>
          </cell>
        </row>
        <row r="24">
          <cell r="A24">
            <v>42</v>
          </cell>
          <cell r="B24" t="str">
            <v>חבה</v>
          </cell>
          <cell r="C24" t="str">
            <v>ערן</v>
          </cell>
          <cell r="D24">
            <v>50889</v>
          </cell>
          <cell r="E24">
            <v>53138</v>
          </cell>
          <cell r="F24">
            <v>50889</v>
          </cell>
        </row>
        <row r="25">
          <cell r="A25">
            <v>44</v>
          </cell>
          <cell r="B25" t="str">
            <v>וקנין קערו</v>
          </cell>
          <cell r="C25" t="str">
            <v>אדוה</v>
          </cell>
          <cell r="D25">
            <v>9322</v>
          </cell>
          <cell r="E25">
            <v>12261</v>
          </cell>
          <cell r="F25">
            <v>10299</v>
          </cell>
        </row>
        <row r="26">
          <cell r="A26">
            <v>45</v>
          </cell>
          <cell r="B26" t="str">
            <v>קנייב</v>
          </cell>
          <cell r="C26" t="str">
            <v>נטליה</v>
          </cell>
          <cell r="D26">
            <v>7349</v>
          </cell>
          <cell r="E26">
            <v>9694</v>
          </cell>
          <cell r="F26">
            <v>4008</v>
          </cell>
        </row>
        <row r="27">
          <cell r="A27">
            <v>48</v>
          </cell>
          <cell r="B27" t="str">
            <v>קוגל</v>
          </cell>
          <cell r="C27" t="str">
            <v>דיאנה</v>
          </cell>
          <cell r="D27">
            <v>4119</v>
          </cell>
          <cell r="E27">
            <v>5855</v>
          </cell>
          <cell r="F27">
            <v>5099</v>
          </cell>
        </row>
        <row r="28">
          <cell r="A28">
            <v>50</v>
          </cell>
          <cell r="B28" t="str">
            <v>פודי</v>
          </cell>
          <cell r="C28" t="str">
            <v>רהף</v>
          </cell>
          <cell r="D28"/>
          <cell r="E28"/>
          <cell r="F28">
            <v>0</v>
          </cell>
        </row>
        <row r="29">
          <cell r="A29">
            <v>51</v>
          </cell>
          <cell r="B29" t="str">
            <v>יונס</v>
          </cell>
          <cell r="C29" t="str">
            <v>מוחמד</v>
          </cell>
          <cell r="D29"/>
          <cell r="E29"/>
          <cell r="F29">
            <v>0</v>
          </cell>
        </row>
        <row r="30">
          <cell r="A30">
            <v>52</v>
          </cell>
          <cell r="B30" t="str">
            <v>זובידאת</v>
          </cell>
          <cell r="C30" t="str">
            <v>באסל</v>
          </cell>
          <cell r="D30">
            <v>11061</v>
          </cell>
          <cell r="E30">
            <v>9892</v>
          </cell>
          <cell r="F30">
            <v>8072</v>
          </cell>
        </row>
        <row r="31">
          <cell r="A31">
            <v>54</v>
          </cell>
          <cell r="B31" t="str">
            <v>קפלוניק</v>
          </cell>
          <cell r="C31" t="str">
            <v>שי</v>
          </cell>
          <cell r="D31"/>
          <cell r="E31"/>
          <cell r="F31">
            <v>0</v>
          </cell>
        </row>
        <row r="32">
          <cell r="A32">
            <v>55</v>
          </cell>
          <cell r="B32" t="str">
            <v>נסראוי</v>
          </cell>
          <cell r="C32" t="str">
            <v>הייא</v>
          </cell>
          <cell r="D32">
            <v>2444</v>
          </cell>
          <cell r="E32">
            <v>5136</v>
          </cell>
          <cell r="F32">
            <v>6107</v>
          </cell>
        </row>
        <row r="33">
          <cell r="A33">
            <v>56</v>
          </cell>
          <cell r="B33" t="str">
            <v>קאהאן</v>
          </cell>
          <cell r="C33" t="str">
            <v>אילת נגה</v>
          </cell>
          <cell r="D33">
            <v>8576</v>
          </cell>
          <cell r="E33">
            <v>9535</v>
          </cell>
          <cell r="F33">
            <v>7917</v>
          </cell>
        </row>
        <row r="34">
          <cell r="A34">
            <v>57</v>
          </cell>
          <cell r="B34" t="str">
            <v>אחרס</v>
          </cell>
          <cell r="C34" t="str">
            <v>סיואר</v>
          </cell>
          <cell r="D34">
            <v>5638</v>
          </cell>
          <cell r="E34">
            <v>5153</v>
          </cell>
          <cell r="F34">
            <v>7917</v>
          </cell>
        </row>
        <row r="35">
          <cell r="A35">
            <v>58</v>
          </cell>
          <cell r="B35" t="str">
            <v>שאהין</v>
          </cell>
          <cell r="C35" t="str">
            <v>נור</v>
          </cell>
          <cell r="D35">
            <v>5836</v>
          </cell>
          <cell r="E35">
            <v>4647</v>
          </cell>
          <cell r="F35">
            <v>6609</v>
          </cell>
        </row>
        <row r="36">
          <cell r="A36">
            <v>59</v>
          </cell>
          <cell r="B36" t="str">
            <v>אביטל ליבנה</v>
          </cell>
          <cell r="C36" t="str">
            <v>יוחאי</v>
          </cell>
          <cell r="D36">
            <v>26171</v>
          </cell>
          <cell r="E36">
            <v>20980</v>
          </cell>
          <cell r="F36">
            <v>25644</v>
          </cell>
        </row>
        <row r="37">
          <cell r="A37">
            <v>60</v>
          </cell>
          <cell r="B37" t="str">
            <v>וינשטין</v>
          </cell>
          <cell r="C37" t="str">
            <v>אדוה</v>
          </cell>
          <cell r="D37">
            <v>7080</v>
          </cell>
          <cell r="E37">
            <v>3098</v>
          </cell>
          <cell r="F37">
            <v>5839</v>
          </cell>
        </row>
        <row r="38">
          <cell r="A38">
            <v>61</v>
          </cell>
          <cell r="B38" t="str">
            <v>סקומורובסקי</v>
          </cell>
          <cell r="C38" t="str">
            <v>קיריל</v>
          </cell>
          <cell r="D38">
            <v>14875</v>
          </cell>
          <cell r="E38">
            <v>20897</v>
          </cell>
          <cell r="F38">
            <v>21262</v>
          </cell>
        </row>
        <row r="39">
          <cell r="A39">
            <v>62</v>
          </cell>
          <cell r="B39" t="str">
            <v>טאראסולה</v>
          </cell>
          <cell r="C39" t="str">
            <v>נועה</v>
          </cell>
          <cell r="E39">
            <v>1838</v>
          </cell>
          <cell r="F39">
            <v>4857</v>
          </cell>
        </row>
        <row r="40">
          <cell r="A40">
            <v>63</v>
          </cell>
          <cell r="B40" t="str">
            <v>קטלר</v>
          </cell>
          <cell r="C40" t="str">
            <v>ניקולאס</v>
          </cell>
          <cell r="E40">
            <v>3926</v>
          </cell>
          <cell r="F40">
            <v>3036</v>
          </cell>
        </row>
        <row r="41">
          <cell r="A41">
            <v>64</v>
          </cell>
          <cell r="B41" t="str">
            <v>יפתח</v>
          </cell>
          <cell r="C41" t="str">
            <v>מירל מירלה</v>
          </cell>
          <cell r="E41"/>
          <cell r="F41">
            <v>2699</v>
          </cell>
        </row>
        <row r="42">
          <cell r="A42">
            <v>65</v>
          </cell>
          <cell r="B42" t="str">
            <v>רסקנסקי</v>
          </cell>
          <cell r="C42" t="str">
            <v>הילה הילי</v>
          </cell>
          <cell r="E42"/>
          <cell r="F42">
            <v>39290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שכר - השוואה"/>
      <sheetName val="הערות נוספות"/>
      <sheetName val="חילן 1.26"/>
      <sheetName val="עדכונים 1.26"/>
      <sheetName val="2.26"/>
      <sheetName val="02.26 מעודכן"/>
      <sheetName val="עדכונים כפר סבא פברואר 2026"/>
      <sheetName val="שכר 12.25 - השוואה"/>
      <sheetName val="עובדים רכיבי קבועים"/>
      <sheetName val="תמחיר 12.25"/>
      <sheetName val="השוואתי 12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976</v>
          </cell>
          <cell r="C2" t="str">
            <v>איזנר</v>
          </cell>
          <cell r="D2" t="str">
            <v>יובל</v>
          </cell>
          <cell r="E2">
            <v>3303.3</v>
          </cell>
          <cell r="F2">
            <v>149.33000000000001</v>
          </cell>
          <cell r="G2">
            <v>195.21</v>
          </cell>
          <cell r="I2">
            <v>250.18</v>
          </cell>
          <cell r="N2">
            <v>3898.02</v>
          </cell>
        </row>
        <row r="3">
          <cell r="E3" t="str">
            <v>3,303.30</v>
          </cell>
          <cell r="F3">
            <v>149.33000000000001</v>
          </cell>
          <cell r="G3">
            <v>195.21</v>
          </cell>
          <cell r="H3">
            <v>0</v>
          </cell>
          <cell r="I3">
            <v>250.18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 t="str">
            <v>3,898.02</v>
          </cell>
        </row>
        <row r="4">
          <cell r="B4">
            <v>257</v>
          </cell>
          <cell r="C4" t="str">
            <v>זפרני</v>
          </cell>
          <cell r="D4" t="str">
            <v>אשר</v>
          </cell>
          <cell r="E4">
            <v>37756.949999999997</v>
          </cell>
          <cell r="F4">
            <v>2729.7</v>
          </cell>
          <cell r="G4">
            <v>2145</v>
          </cell>
          <cell r="H4">
            <v>318</v>
          </cell>
          <cell r="I4">
            <v>2748.9</v>
          </cell>
          <cell r="J4">
            <v>2475</v>
          </cell>
          <cell r="N4">
            <v>48173.55</v>
          </cell>
        </row>
        <row r="5">
          <cell r="B5">
            <v>265</v>
          </cell>
          <cell r="C5" t="str">
            <v>פלדמן</v>
          </cell>
          <cell r="D5" t="str">
            <v>חן</v>
          </cell>
          <cell r="E5">
            <v>8015.32</v>
          </cell>
          <cell r="F5">
            <v>371.11</v>
          </cell>
          <cell r="G5">
            <v>469.65</v>
          </cell>
          <cell r="I5">
            <v>601.87</v>
          </cell>
          <cell r="J5">
            <v>541.9</v>
          </cell>
          <cell r="N5">
            <v>9999.85</v>
          </cell>
        </row>
        <row r="6">
          <cell r="B6">
            <v>273</v>
          </cell>
          <cell r="C6" t="str">
            <v>רז שלמה</v>
          </cell>
          <cell r="D6" t="str">
            <v>שני</v>
          </cell>
          <cell r="E6">
            <v>9988.83</v>
          </cell>
          <cell r="F6">
            <v>521.25</v>
          </cell>
          <cell r="G6">
            <v>582.97</v>
          </cell>
          <cell r="I6">
            <v>747.1</v>
          </cell>
          <cell r="N6">
            <v>11840.15</v>
          </cell>
        </row>
        <row r="7">
          <cell r="B7">
            <v>299</v>
          </cell>
          <cell r="C7" t="str">
            <v>פרלמן אברהמי</v>
          </cell>
          <cell r="D7" t="str">
            <v>ענת</v>
          </cell>
          <cell r="E7">
            <v>15917.8</v>
          </cell>
          <cell r="F7">
            <v>971.88</v>
          </cell>
          <cell r="G7">
            <v>750.09</v>
          </cell>
          <cell r="I7">
            <v>961.27</v>
          </cell>
          <cell r="J7">
            <v>865.49</v>
          </cell>
          <cell r="N7">
            <v>19466.53</v>
          </cell>
        </row>
        <row r="8">
          <cell r="B8">
            <v>406</v>
          </cell>
          <cell r="C8" t="str">
            <v>דרור</v>
          </cell>
          <cell r="D8" t="str">
            <v>ארז</v>
          </cell>
          <cell r="E8">
            <v>14209.15</v>
          </cell>
          <cell r="F8">
            <v>841.41</v>
          </cell>
          <cell r="G8">
            <v>551.46</v>
          </cell>
          <cell r="H8">
            <v>275.73</v>
          </cell>
          <cell r="I8">
            <v>918.73</v>
          </cell>
          <cell r="J8">
            <v>827.19</v>
          </cell>
          <cell r="N8">
            <v>17623.669999999998</v>
          </cell>
        </row>
        <row r="9">
          <cell r="B9">
            <v>422</v>
          </cell>
          <cell r="C9" t="str">
            <v>זילברשץ</v>
          </cell>
          <cell r="D9" t="str">
            <v>שי</v>
          </cell>
          <cell r="E9">
            <v>2701.13</v>
          </cell>
          <cell r="F9">
            <v>121.91</v>
          </cell>
          <cell r="G9">
            <v>128.77000000000001</v>
          </cell>
          <cell r="I9">
            <v>165.03</v>
          </cell>
          <cell r="N9">
            <v>3116.84</v>
          </cell>
        </row>
        <row r="10">
          <cell r="B10">
            <v>554</v>
          </cell>
          <cell r="C10" t="str">
            <v>קורנפלד</v>
          </cell>
          <cell r="D10" t="str">
            <v>שנון</v>
          </cell>
          <cell r="E10">
            <v>6920.69</v>
          </cell>
          <cell r="F10">
            <v>312.10000000000002</v>
          </cell>
          <cell r="G10">
            <v>384.84</v>
          </cell>
          <cell r="I10">
            <v>493.19</v>
          </cell>
          <cell r="N10">
            <v>8110.82</v>
          </cell>
        </row>
        <row r="11">
          <cell r="B11">
            <v>844</v>
          </cell>
          <cell r="C11" t="str">
            <v>פלודה סער</v>
          </cell>
          <cell r="D11" t="str">
            <v>רתם</v>
          </cell>
          <cell r="E11">
            <v>11379.2</v>
          </cell>
          <cell r="F11">
            <v>627.25</v>
          </cell>
          <cell r="G11">
            <v>716.25</v>
          </cell>
          <cell r="I11">
            <v>917.9</v>
          </cell>
          <cell r="J11">
            <v>826.44</v>
          </cell>
          <cell r="N11">
            <v>14467.04</v>
          </cell>
        </row>
        <row r="12">
          <cell r="B12">
            <v>950</v>
          </cell>
          <cell r="C12" t="str">
            <v>רחמים</v>
          </cell>
          <cell r="D12" t="str">
            <v>טליה</v>
          </cell>
          <cell r="E12">
            <v>8262.44</v>
          </cell>
          <cell r="F12">
            <v>390.19</v>
          </cell>
          <cell r="G12">
            <v>507.81</v>
          </cell>
          <cell r="I12">
            <v>650.78</v>
          </cell>
          <cell r="J12">
            <v>585.92999999999995</v>
          </cell>
          <cell r="N12">
            <v>10397.15</v>
          </cell>
        </row>
        <row r="13">
          <cell r="B13">
            <v>1149</v>
          </cell>
          <cell r="C13" t="str">
            <v>סגל</v>
          </cell>
          <cell r="D13" t="str">
            <v>ליאת</v>
          </cell>
          <cell r="E13">
            <v>13194</v>
          </cell>
          <cell r="F13">
            <v>765.2</v>
          </cell>
          <cell r="G13">
            <v>795.86</v>
          </cell>
          <cell r="I13">
            <v>1019.93</v>
          </cell>
          <cell r="J13">
            <v>918.3</v>
          </cell>
          <cell r="N13">
            <v>16693.29</v>
          </cell>
        </row>
        <row r="14">
          <cell r="B14">
            <v>1172</v>
          </cell>
          <cell r="C14" t="str">
            <v>הברמן</v>
          </cell>
          <cell r="D14" t="str">
            <v>דפנה</v>
          </cell>
          <cell r="E14">
            <v>7474.63</v>
          </cell>
          <cell r="F14">
            <v>336.85</v>
          </cell>
          <cell r="G14">
            <v>439.05</v>
          </cell>
          <cell r="I14">
            <v>562.66</v>
          </cell>
          <cell r="N14">
            <v>8813.19</v>
          </cell>
        </row>
        <row r="15">
          <cell r="B15">
            <v>1875</v>
          </cell>
          <cell r="C15" t="str">
            <v>גליקשטרן</v>
          </cell>
          <cell r="D15" t="str">
            <v>מיכל</v>
          </cell>
          <cell r="E15">
            <v>4971.2</v>
          </cell>
          <cell r="F15">
            <v>223.9</v>
          </cell>
          <cell r="G15">
            <v>293.88</v>
          </cell>
          <cell r="I15">
            <v>376.62</v>
          </cell>
          <cell r="N15">
            <v>5865.6</v>
          </cell>
        </row>
        <row r="16">
          <cell r="B16">
            <v>1891</v>
          </cell>
          <cell r="C16" t="str">
            <v>זרטל</v>
          </cell>
          <cell r="D16" t="str">
            <v>הגר</v>
          </cell>
          <cell r="E16">
            <v>5803.95</v>
          </cell>
          <cell r="F16">
            <v>262.12</v>
          </cell>
          <cell r="N16">
            <v>6066.07</v>
          </cell>
        </row>
        <row r="17">
          <cell r="B17">
            <v>2097</v>
          </cell>
          <cell r="C17" t="str">
            <v>שמלה</v>
          </cell>
          <cell r="D17" t="str">
            <v>איזבל</v>
          </cell>
          <cell r="E17">
            <v>5133.41</v>
          </cell>
          <cell r="F17">
            <v>239.15</v>
          </cell>
          <cell r="G17">
            <v>939.61</v>
          </cell>
          <cell r="I17">
            <v>1204.1500000000001</v>
          </cell>
          <cell r="N17">
            <v>7516.32</v>
          </cell>
        </row>
        <row r="18">
          <cell r="E18" t="str">
            <v>151,728.70</v>
          </cell>
          <cell r="F18" t="str">
            <v>8,714.02</v>
          </cell>
          <cell r="G18" t="str">
            <v>8,705.24</v>
          </cell>
          <cell r="H18">
            <v>593.73</v>
          </cell>
          <cell r="I18" t="str">
            <v>11,368.13</v>
          </cell>
          <cell r="J18" t="str">
            <v>7,040.25</v>
          </cell>
          <cell r="K18">
            <v>0</v>
          </cell>
          <cell r="L18">
            <v>0</v>
          </cell>
          <cell r="M18">
            <v>0</v>
          </cell>
          <cell r="N18" t="str">
            <v>188,150.07</v>
          </cell>
        </row>
        <row r="19">
          <cell r="B19">
            <v>653</v>
          </cell>
          <cell r="C19" t="str">
            <v>פמיני</v>
          </cell>
          <cell r="D19" t="str">
            <v>שירי</v>
          </cell>
          <cell r="E19">
            <v>11513.44</v>
          </cell>
          <cell r="F19">
            <v>636.84</v>
          </cell>
          <cell r="G19">
            <v>704.17</v>
          </cell>
          <cell r="I19">
            <v>902.43</v>
          </cell>
          <cell r="N19">
            <v>13756.88</v>
          </cell>
        </row>
        <row r="20">
          <cell r="B20">
            <v>968</v>
          </cell>
          <cell r="C20" t="str">
            <v>בנאי</v>
          </cell>
          <cell r="D20" t="str">
            <v>חמדת</v>
          </cell>
          <cell r="E20">
            <v>13095.55</v>
          </cell>
          <cell r="F20">
            <v>752.4</v>
          </cell>
          <cell r="G20">
            <v>773.21</v>
          </cell>
          <cell r="I20">
            <v>990.9</v>
          </cell>
          <cell r="J20">
            <v>892.17</v>
          </cell>
          <cell r="N20">
            <v>16504.23</v>
          </cell>
        </row>
        <row r="21">
          <cell r="B21">
            <v>1511</v>
          </cell>
          <cell r="C21" t="str">
            <v>צוק</v>
          </cell>
          <cell r="D21" t="str">
            <v>נטלי</v>
          </cell>
          <cell r="E21">
            <v>21600</v>
          </cell>
          <cell r="F21">
            <v>1403.48</v>
          </cell>
          <cell r="G21">
            <v>1404</v>
          </cell>
          <cell r="I21">
            <v>1799.28</v>
          </cell>
          <cell r="N21">
            <v>26206.76</v>
          </cell>
        </row>
        <row r="22">
          <cell r="B22">
            <v>1834</v>
          </cell>
          <cell r="C22" t="str">
            <v>עאסי</v>
          </cell>
          <cell r="D22" t="str">
            <v>דיאנה</v>
          </cell>
          <cell r="E22">
            <v>4407</v>
          </cell>
          <cell r="F22">
            <v>198.59</v>
          </cell>
          <cell r="G22">
            <v>259.16000000000003</v>
          </cell>
          <cell r="I22">
            <v>332.12</v>
          </cell>
          <cell r="N22">
            <v>5196.87</v>
          </cell>
        </row>
        <row r="23">
          <cell r="E23" t="str">
            <v>50,615.99</v>
          </cell>
          <cell r="F23" t="str">
            <v>2,991.31</v>
          </cell>
          <cell r="G23" t="str">
            <v>3,140.54</v>
          </cell>
          <cell r="H23">
            <v>0</v>
          </cell>
          <cell r="I23" t="str">
            <v>4,024.73</v>
          </cell>
          <cell r="J23">
            <v>892.17</v>
          </cell>
          <cell r="K23">
            <v>0</v>
          </cell>
          <cell r="L23">
            <v>0</v>
          </cell>
          <cell r="M23">
            <v>0</v>
          </cell>
          <cell r="N23" t="str">
            <v>61,664.74</v>
          </cell>
        </row>
        <row r="24">
          <cell r="B24">
            <v>26</v>
          </cell>
          <cell r="C24" t="str">
            <v>פיליפס</v>
          </cell>
          <cell r="D24" t="str">
            <v>ארית</v>
          </cell>
          <cell r="E24">
            <v>29106.93</v>
          </cell>
          <cell r="F24">
            <v>1974.49</v>
          </cell>
          <cell r="G24">
            <v>1781.23</v>
          </cell>
          <cell r="I24">
            <v>2282.71</v>
          </cell>
          <cell r="J24">
            <v>1178.4000000000001</v>
          </cell>
          <cell r="N24">
            <v>36323.760000000002</v>
          </cell>
        </row>
        <row r="25">
          <cell r="B25">
            <v>34</v>
          </cell>
          <cell r="C25" t="str">
            <v>נפתלי</v>
          </cell>
          <cell r="D25" t="str">
            <v>לישר חוה</v>
          </cell>
          <cell r="E25">
            <v>28330.29</v>
          </cell>
          <cell r="F25">
            <v>1976.57</v>
          </cell>
          <cell r="G25">
            <v>1724.47</v>
          </cell>
          <cell r="I25">
            <v>2209.9699999999998</v>
          </cell>
          <cell r="J25">
            <v>1989.77</v>
          </cell>
          <cell r="N25">
            <v>36231.07</v>
          </cell>
        </row>
        <row r="26">
          <cell r="B26">
            <v>75</v>
          </cell>
          <cell r="C26" t="str">
            <v>בנקירר רגב</v>
          </cell>
          <cell r="D26" t="str">
            <v>טל</v>
          </cell>
          <cell r="E26">
            <v>17829.439999999999</v>
          </cell>
          <cell r="F26">
            <v>1116.97</v>
          </cell>
          <cell r="G26">
            <v>1158.9100000000001</v>
          </cell>
          <cell r="I26">
            <v>1485.19</v>
          </cell>
          <cell r="J26">
            <v>1178.4000000000001</v>
          </cell>
          <cell r="N26">
            <v>22768.91</v>
          </cell>
        </row>
        <row r="27">
          <cell r="B27">
            <v>125</v>
          </cell>
          <cell r="C27" t="str">
            <v>שגב</v>
          </cell>
          <cell r="D27" t="str">
            <v>יסמין</v>
          </cell>
          <cell r="E27">
            <v>11660.18</v>
          </cell>
          <cell r="F27">
            <v>648.26</v>
          </cell>
          <cell r="G27">
            <v>715.66</v>
          </cell>
          <cell r="I27">
            <v>917.15</v>
          </cell>
          <cell r="N27">
            <v>13941.25</v>
          </cell>
        </row>
        <row r="28">
          <cell r="B28">
            <v>166</v>
          </cell>
          <cell r="C28" t="str">
            <v>גורביץ</v>
          </cell>
          <cell r="D28" t="str">
            <v>בלה</v>
          </cell>
          <cell r="E28">
            <v>16096.75</v>
          </cell>
          <cell r="F28">
            <v>985</v>
          </cell>
          <cell r="G28">
            <v>1024.8399999999999</v>
          </cell>
          <cell r="I28">
            <v>1313.37</v>
          </cell>
          <cell r="J28">
            <v>1178.4000000000001</v>
          </cell>
          <cell r="N28">
            <v>20598.36</v>
          </cell>
        </row>
        <row r="29">
          <cell r="B29">
            <v>208</v>
          </cell>
          <cell r="C29" t="str">
            <v>עובד סלע</v>
          </cell>
          <cell r="D29" t="str">
            <v>שרי</v>
          </cell>
        </row>
        <row r="30">
          <cell r="B30">
            <v>232</v>
          </cell>
          <cell r="C30" t="str">
            <v>סירוטה</v>
          </cell>
          <cell r="D30" t="str">
            <v>גאולה</v>
          </cell>
          <cell r="E30">
            <v>17994.91</v>
          </cell>
          <cell r="F30">
            <v>1129.1300000000001</v>
          </cell>
          <cell r="G30">
            <v>1039.02</v>
          </cell>
          <cell r="I30">
            <v>1331.54</v>
          </cell>
          <cell r="J30">
            <v>1178.4000000000001</v>
          </cell>
          <cell r="N30">
            <v>22673</v>
          </cell>
        </row>
        <row r="31">
          <cell r="B31">
            <v>281</v>
          </cell>
          <cell r="C31" t="str">
            <v>ביטון</v>
          </cell>
          <cell r="D31" t="str">
            <v>אבי</v>
          </cell>
          <cell r="E31">
            <v>13399.2</v>
          </cell>
          <cell r="F31">
            <v>780.17</v>
          </cell>
          <cell r="G31">
            <v>1031.71</v>
          </cell>
          <cell r="I31">
            <v>1322.24</v>
          </cell>
          <cell r="J31">
            <v>1029.0999999999999</v>
          </cell>
          <cell r="N31">
            <v>17562.419999999998</v>
          </cell>
        </row>
        <row r="32">
          <cell r="B32">
            <v>307</v>
          </cell>
          <cell r="C32" t="str">
            <v>כץ סמיט</v>
          </cell>
          <cell r="D32" t="str">
            <v>נעמה</v>
          </cell>
          <cell r="E32">
            <v>13215</v>
          </cell>
          <cell r="F32">
            <v>766.27</v>
          </cell>
          <cell r="G32">
            <v>833.63</v>
          </cell>
          <cell r="I32">
            <v>1068.32</v>
          </cell>
          <cell r="J32">
            <v>961.88</v>
          </cell>
          <cell r="N32">
            <v>16845.099999999999</v>
          </cell>
        </row>
        <row r="33">
          <cell r="B33">
            <v>331</v>
          </cell>
          <cell r="C33" t="str">
            <v>צסקי</v>
          </cell>
          <cell r="D33" t="str">
            <v>בת אל</v>
          </cell>
          <cell r="E33">
            <v>2930.25</v>
          </cell>
          <cell r="F33">
            <v>132.62</v>
          </cell>
          <cell r="G33">
            <v>186.57</v>
          </cell>
          <cell r="I33">
            <v>239.09</v>
          </cell>
          <cell r="J33">
            <v>215.27</v>
          </cell>
          <cell r="N33">
            <v>3703.8</v>
          </cell>
        </row>
        <row r="34">
          <cell r="B34">
            <v>364</v>
          </cell>
          <cell r="C34" t="str">
            <v>רז שלמה</v>
          </cell>
          <cell r="D34" t="str">
            <v>הדר</v>
          </cell>
          <cell r="E34">
            <v>6137.63</v>
          </cell>
          <cell r="F34">
            <v>276.64</v>
          </cell>
          <cell r="G34">
            <v>367.75</v>
          </cell>
          <cell r="I34">
            <v>471.28</v>
          </cell>
          <cell r="J34">
            <v>424.32</v>
          </cell>
          <cell r="N34">
            <v>7677.62</v>
          </cell>
        </row>
        <row r="35">
          <cell r="B35">
            <v>398</v>
          </cell>
          <cell r="C35" t="str">
            <v>שרון</v>
          </cell>
          <cell r="D35" t="str">
            <v>מיה</v>
          </cell>
          <cell r="E35">
            <v>14578.44</v>
          </cell>
          <cell r="F35">
            <v>870.33</v>
          </cell>
          <cell r="G35">
            <v>879.02</v>
          </cell>
          <cell r="I35">
            <v>1126.5</v>
          </cell>
          <cell r="J35">
            <v>1014.26</v>
          </cell>
          <cell r="N35">
            <v>18468.55</v>
          </cell>
        </row>
        <row r="36">
          <cell r="B36">
            <v>430</v>
          </cell>
          <cell r="C36" t="str">
            <v>נחמיאס</v>
          </cell>
          <cell r="D36" t="str">
            <v>אלונה</v>
          </cell>
          <cell r="E36">
            <v>1688.35</v>
          </cell>
          <cell r="F36">
            <v>75.7</v>
          </cell>
          <cell r="G36">
            <v>99.02</v>
          </cell>
          <cell r="I36">
            <v>126.9</v>
          </cell>
          <cell r="J36">
            <v>114.25</v>
          </cell>
          <cell r="N36">
            <v>2104.2199999999998</v>
          </cell>
        </row>
        <row r="37">
          <cell r="B37">
            <v>489</v>
          </cell>
          <cell r="C37" t="str">
            <v>חאסקיה</v>
          </cell>
          <cell r="D37" t="str">
            <v>מרח</v>
          </cell>
          <cell r="E37">
            <v>7662.63</v>
          </cell>
          <cell r="F37">
            <v>345.27</v>
          </cell>
          <cell r="G37">
            <v>470.77</v>
          </cell>
          <cell r="I37">
            <v>603.30999999999995</v>
          </cell>
          <cell r="N37">
            <v>9081.98</v>
          </cell>
        </row>
        <row r="38">
          <cell r="B38">
            <v>497</v>
          </cell>
          <cell r="C38" t="str">
            <v>פוזנר</v>
          </cell>
          <cell r="D38" t="str">
            <v>דניאל</v>
          </cell>
          <cell r="E38">
            <v>18958.849999999999</v>
          </cell>
          <cell r="F38">
            <v>1202.8699999999999</v>
          </cell>
          <cell r="G38">
            <v>1208.93</v>
          </cell>
          <cell r="I38">
            <v>1549.28</v>
          </cell>
          <cell r="N38">
            <v>22919.93</v>
          </cell>
        </row>
        <row r="39">
          <cell r="B39">
            <v>521</v>
          </cell>
          <cell r="C39" t="str">
            <v>רסקין רמניוק</v>
          </cell>
          <cell r="D39" t="str">
            <v>אודט</v>
          </cell>
          <cell r="E39">
            <v>12854.25</v>
          </cell>
          <cell r="F39">
            <v>750.5</v>
          </cell>
          <cell r="G39">
            <v>812.13</v>
          </cell>
          <cell r="I39">
            <v>1040.77</v>
          </cell>
          <cell r="N39">
            <v>15457.65</v>
          </cell>
        </row>
        <row r="40">
          <cell r="B40">
            <v>596</v>
          </cell>
          <cell r="C40" t="str">
            <v>דונאיביץ</v>
          </cell>
          <cell r="D40" t="str">
            <v>אסיה</v>
          </cell>
          <cell r="E40">
            <v>33665.33</v>
          </cell>
          <cell r="F40">
            <v>2331.91</v>
          </cell>
          <cell r="G40">
            <v>1940.59</v>
          </cell>
          <cell r="I40">
            <v>2486.94</v>
          </cell>
          <cell r="N40">
            <v>40424.769999999997</v>
          </cell>
        </row>
        <row r="41">
          <cell r="B41">
            <v>604</v>
          </cell>
          <cell r="C41" t="str">
            <v>אחינעם</v>
          </cell>
          <cell r="D41" t="str">
            <v>גל</v>
          </cell>
          <cell r="E41">
            <v>9527.16</v>
          </cell>
          <cell r="F41">
            <v>389.69</v>
          </cell>
          <cell r="G41">
            <v>584.16999999999996</v>
          </cell>
          <cell r="I41">
            <v>748.63</v>
          </cell>
          <cell r="N41">
            <v>11249.65</v>
          </cell>
        </row>
        <row r="42">
          <cell r="B42">
            <v>638</v>
          </cell>
          <cell r="C42" t="str">
            <v>בבא</v>
          </cell>
          <cell r="D42" t="str">
            <v>גל</v>
          </cell>
          <cell r="E42">
            <v>13106.8</v>
          </cell>
          <cell r="F42">
            <v>758.47</v>
          </cell>
          <cell r="G42">
            <v>796.69</v>
          </cell>
          <cell r="I42">
            <v>1020.99</v>
          </cell>
          <cell r="J42">
            <v>1766.55</v>
          </cell>
          <cell r="N42">
            <v>17449.5</v>
          </cell>
        </row>
        <row r="43">
          <cell r="B43">
            <v>687</v>
          </cell>
          <cell r="C43" t="str">
            <v>שבו</v>
          </cell>
          <cell r="D43" t="str">
            <v>משה</v>
          </cell>
          <cell r="E43">
            <v>14198.24</v>
          </cell>
          <cell r="F43">
            <v>840.82</v>
          </cell>
          <cell r="G43">
            <v>796.79</v>
          </cell>
          <cell r="I43">
            <v>1021.11</v>
          </cell>
          <cell r="J43">
            <v>1909.82</v>
          </cell>
          <cell r="N43">
            <v>18766.78</v>
          </cell>
        </row>
        <row r="44">
          <cell r="B44">
            <v>729</v>
          </cell>
          <cell r="C44" t="str">
            <v>שטיין</v>
          </cell>
          <cell r="D44" t="str">
            <v>שיר</v>
          </cell>
          <cell r="E44">
            <v>8370.81</v>
          </cell>
          <cell r="F44">
            <v>409.92</v>
          </cell>
          <cell r="G44">
            <v>509</v>
          </cell>
          <cell r="I44">
            <v>652.30999999999995</v>
          </cell>
          <cell r="N44">
            <v>9942.0400000000009</v>
          </cell>
        </row>
        <row r="45">
          <cell r="B45">
            <v>760</v>
          </cell>
          <cell r="C45" t="str">
            <v>לוי מנג'ם</v>
          </cell>
          <cell r="D45" t="str">
            <v>הדס</v>
          </cell>
          <cell r="E45">
            <v>4838.16</v>
          </cell>
          <cell r="F45">
            <v>218.52</v>
          </cell>
          <cell r="G45">
            <v>293.02999999999997</v>
          </cell>
          <cell r="I45">
            <v>375.53</v>
          </cell>
          <cell r="N45">
            <v>5725.24</v>
          </cell>
        </row>
        <row r="46">
          <cell r="B46">
            <v>778</v>
          </cell>
          <cell r="C46" t="str">
            <v>קרסנר</v>
          </cell>
          <cell r="D46" t="str">
            <v>ניר</v>
          </cell>
          <cell r="E46">
            <v>17821.310000000001</v>
          </cell>
          <cell r="F46">
            <v>1116.79</v>
          </cell>
          <cell r="G46">
            <v>1038.1400000000001</v>
          </cell>
          <cell r="I46">
            <v>1330.41</v>
          </cell>
          <cell r="N46">
            <v>21306.65</v>
          </cell>
        </row>
        <row r="47">
          <cell r="B47">
            <v>786</v>
          </cell>
          <cell r="C47" t="str">
            <v>שמעוני</v>
          </cell>
          <cell r="D47" t="str">
            <v>מאי</v>
          </cell>
          <cell r="E47">
            <v>15936.75</v>
          </cell>
          <cell r="F47">
            <v>984.54</v>
          </cell>
          <cell r="G47">
            <v>981.29</v>
          </cell>
          <cell r="I47">
            <v>1257.56</v>
          </cell>
          <cell r="J47">
            <v>1132.26</v>
          </cell>
          <cell r="N47">
            <v>20292.400000000001</v>
          </cell>
        </row>
        <row r="48">
          <cell r="B48">
            <v>794</v>
          </cell>
          <cell r="C48" t="str">
            <v>רוזנבליט</v>
          </cell>
          <cell r="D48" t="str">
            <v>הדר</v>
          </cell>
          <cell r="E48">
            <v>7663.8</v>
          </cell>
          <cell r="F48">
            <v>355.7</v>
          </cell>
          <cell r="G48">
            <v>468.9</v>
          </cell>
          <cell r="I48">
            <v>600.91</v>
          </cell>
          <cell r="N48">
            <v>9089.31</v>
          </cell>
        </row>
        <row r="49">
          <cell r="B49">
            <v>802</v>
          </cell>
          <cell r="C49" t="str">
            <v>בן שושן</v>
          </cell>
          <cell r="D49" t="str">
            <v>שירה</v>
          </cell>
        </row>
        <row r="50">
          <cell r="B50">
            <v>810</v>
          </cell>
          <cell r="C50" t="str">
            <v>גליק</v>
          </cell>
          <cell r="D50" t="str">
            <v>שיר</v>
          </cell>
          <cell r="E50">
            <v>4544.3999999999996</v>
          </cell>
          <cell r="F50">
            <v>205.06</v>
          </cell>
          <cell r="G50">
            <v>277.19</v>
          </cell>
          <cell r="I50">
            <v>355.23</v>
          </cell>
          <cell r="J50">
            <v>319.83</v>
          </cell>
          <cell r="N50">
            <v>5701.71</v>
          </cell>
        </row>
        <row r="51">
          <cell r="B51">
            <v>836</v>
          </cell>
          <cell r="C51" t="str">
            <v>אריאלי</v>
          </cell>
          <cell r="D51" t="str">
            <v>נועם</v>
          </cell>
          <cell r="E51">
            <v>14018.63</v>
          </cell>
          <cell r="F51">
            <v>827.6</v>
          </cell>
          <cell r="G51">
            <v>887.81</v>
          </cell>
          <cell r="I51">
            <v>1137.76</v>
          </cell>
          <cell r="N51">
            <v>16871.8</v>
          </cell>
        </row>
        <row r="52">
          <cell r="B52">
            <v>901</v>
          </cell>
          <cell r="C52" t="str">
            <v>דוידוביץ</v>
          </cell>
          <cell r="D52" t="str">
            <v>לירון</v>
          </cell>
          <cell r="E52">
            <v>20896.84</v>
          </cell>
          <cell r="F52">
            <v>1349.82</v>
          </cell>
          <cell r="G52">
            <v>1323.19</v>
          </cell>
          <cell r="I52">
            <v>1695.73</v>
          </cell>
          <cell r="N52">
            <v>25265.58</v>
          </cell>
        </row>
        <row r="53">
          <cell r="B53">
            <v>919</v>
          </cell>
          <cell r="C53" t="str">
            <v>ביטון</v>
          </cell>
          <cell r="D53" t="str">
            <v>גיא</v>
          </cell>
          <cell r="E53">
            <v>12337.16</v>
          </cell>
          <cell r="F53">
            <v>699.1</v>
          </cell>
          <cell r="G53">
            <v>753.82</v>
          </cell>
          <cell r="I53">
            <v>966.04</v>
          </cell>
          <cell r="N53">
            <v>14756.12</v>
          </cell>
        </row>
        <row r="54">
          <cell r="B54">
            <v>927</v>
          </cell>
          <cell r="C54" t="str">
            <v>מייבסקי</v>
          </cell>
          <cell r="D54" t="str">
            <v>ניקול</v>
          </cell>
          <cell r="E54">
            <v>454.8</v>
          </cell>
          <cell r="F54">
            <v>20.239999999999998</v>
          </cell>
          <cell r="G54">
            <v>27.61</v>
          </cell>
          <cell r="I54">
            <v>35.39</v>
          </cell>
          <cell r="N54">
            <v>538.04</v>
          </cell>
        </row>
        <row r="55">
          <cell r="B55">
            <v>935</v>
          </cell>
          <cell r="C55" t="str">
            <v>וירטהיים</v>
          </cell>
          <cell r="D55" t="str">
            <v>דניאל</v>
          </cell>
          <cell r="E55">
            <v>8710.44</v>
          </cell>
          <cell r="F55">
            <v>423.6</v>
          </cell>
          <cell r="G55">
            <v>531.08000000000004</v>
          </cell>
          <cell r="I55">
            <v>680.6</v>
          </cell>
          <cell r="N55">
            <v>10345.719999999999</v>
          </cell>
        </row>
        <row r="56">
          <cell r="B56">
            <v>943</v>
          </cell>
          <cell r="C56" t="str">
            <v>שבו</v>
          </cell>
          <cell r="D56" t="str">
            <v>אלירן</v>
          </cell>
          <cell r="E56">
            <v>5363.76</v>
          </cell>
          <cell r="F56">
            <v>241.69</v>
          </cell>
          <cell r="G56">
            <v>333.04</v>
          </cell>
          <cell r="I56">
            <v>426.81</v>
          </cell>
          <cell r="N56">
            <v>6365.3</v>
          </cell>
        </row>
        <row r="57">
          <cell r="B57">
            <v>1008</v>
          </cell>
          <cell r="C57" t="str">
            <v>כהן</v>
          </cell>
          <cell r="D57" t="str">
            <v>נוי</v>
          </cell>
          <cell r="E57">
            <v>1299.94</v>
          </cell>
          <cell r="F57">
            <v>58.15</v>
          </cell>
          <cell r="G57">
            <v>78.650000000000006</v>
          </cell>
          <cell r="I57">
            <v>100.79</v>
          </cell>
          <cell r="N57">
            <v>1537.53</v>
          </cell>
        </row>
        <row r="58">
          <cell r="B58">
            <v>1057</v>
          </cell>
          <cell r="C58" t="str">
            <v>זלביץ</v>
          </cell>
          <cell r="D58" t="str">
            <v>עמית</v>
          </cell>
          <cell r="E58">
            <v>1546.88</v>
          </cell>
          <cell r="F58">
            <v>69.849999999999994</v>
          </cell>
          <cell r="G58">
            <v>94.7</v>
          </cell>
          <cell r="I58">
            <v>121.36</v>
          </cell>
          <cell r="N58">
            <v>1832.79</v>
          </cell>
        </row>
        <row r="59">
          <cell r="B59">
            <v>1214</v>
          </cell>
          <cell r="C59" t="str">
            <v>הלון</v>
          </cell>
          <cell r="D59" t="str">
            <v>רימא</v>
          </cell>
          <cell r="E59">
            <v>1965.87</v>
          </cell>
          <cell r="F59">
            <v>89.11</v>
          </cell>
          <cell r="G59">
            <v>119.98</v>
          </cell>
          <cell r="I59">
            <v>153.76</v>
          </cell>
          <cell r="N59">
            <v>2328.7199999999998</v>
          </cell>
        </row>
        <row r="60">
          <cell r="B60">
            <v>1271</v>
          </cell>
          <cell r="C60" t="str">
            <v>ינאי</v>
          </cell>
          <cell r="D60" t="str">
            <v>מיכל</v>
          </cell>
          <cell r="E60">
            <v>30600</v>
          </cell>
          <cell r="F60">
            <v>2168.9299999999998</v>
          </cell>
          <cell r="G60">
            <v>1950</v>
          </cell>
          <cell r="I60">
            <v>2499</v>
          </cell>
          <cell r="J60">
            <v>2250</v>
          </cell>
          <cell r="N60">
            <v>39467.93</v>
          </cell>
        </row>
        <row r="61">
          <cell r="B61">
            <v>1305</v>
          </cell>
          <cell r="C61" t="str">
            <v>כהן</v>
          </cell>
          <cell r="D61" t="str">
            <v>קרן בת ציון</v>
          </cell>
          <cell r="E61">
            <v>19124.82</v>
          </cell>
          <cell r="F61">
            <v>1215.0999999999999</v>
          </cell>
          <cell r="G61">
            <v>1213.8599999999999</v>
          </cell>
          <cell r="I61">
            <v>1555.61</v>
          </cell>
          <cell r="N61">
            <v>23109.39</v>
          </cell>
        </row>
        <row r="62">
          <cell r="B62">
            <v>1388</v>
          </cell>
          <cell r="C62" t="str">
            <v>שפירא</v>
          </cell>
          <cell r="D62" t="str">
            <v>נדב</v>
          </cell>
          <cell r="E62">
            <v>13965.76</v>
          </cell>
          <cell r="F62">
            <v>822.88</v>
          </cell>
          <cell r="G62">
            <v>789.47</v>
          </cell>
          <cell r="I62">
            <v>1011.74</v>
          </cell>
          <cell r="N62">
            <v>16589.849999999999</v>
          </cell>
        </row>
        <row r="63">
          <cell r="B63">
            <v>1438</v>
          </cell>
          <cell r="C63" t="str">
            <v>שרון בר נתן</v>
          </cell>
          <cell r="D63" t="str">
            <v>מלי</v>
          </cell>
          <cell r="E63">
            <v>7213.2</v>
          </cell>
          <cell r="F63">
            <v>325.33999999999997</v>
          </cell>
          <cell r="G63">
            <v>468.86</v>
          </cell>
          <cell r="I63">
            <v>600.86</v>
          </cell>
          <cell r="N63">
            <v>8608.26</v>
          </cell>
        </row>
        <row r="64">
          <cell r="B64">
            <v>1453</v>
          </cell>
          <cell r="C64" t="str">
            <v>גרוס וולק</v>
          </cell>
          <cell r="D64" t="str">
            <v>מאיה</v>
          </cell>
          <cell r="E64">
            <v>9673.33</v>
          </cell>
          <cell r="F64">
            <v>497.18</v>
          </cell>
          <cell r="G64">
            <v>613.16999999999996</v>
          </cell>
          <cell r="I64">
            <v>785.8</v>
          </cell>
          <cell r="N64">
            <v>11569.48</v>
          </cell>
        </row>
        <row r="65">
          <cell r="B65">
            <v>1479</v>
          </cell>
          <cell r="C65" t="str">
            <v>בן אליהו</v>
          </cell>
          <cell r="D65" t="str">
            <v>רויטל</v>
          </cell>
          <cell r="E65">
            <v>9548.64</v>
          </cell>
          <cell r="F65">
            <v>487.98</v>
          </cell>
          <cell r="G65">
            <v>579.71</v>
          </cell>
          <cell r="I65">
            <v>742.92</v>
          </cell>
          <cell r="N65">
            <v>11359.25</v>
          </cell>
        </row>
        <row r="66">
          <cell r="B66">
            <v>1545</v>
          </cell>
          <cell r="C66" t="str">
            <v>גולדמינץ</v>
          </cell>
          <cell r="D66" t="str">
            <v>שלי</v>
          </cell>
          <cell r="E66">
            <v>1965.23</v>
          </cell>
          <cell r="F66">
            <v>89.07</v>
          </cell>
          <cell r="G66">
            <v>119.94</v>
          </cell>
          <cell r="I66">
            <v>153.71</v>
          </cell>
          <cell r="N66">
            <v>2327.9499999999998</v>
          </cell>
        </row>
        <row r="67">
          <cell r="B67">
            <v>1552</v>
          </cell>
          <cell r="C67" t="str">
            <v>בר</v>
          </cell>
          <cell r="D67" t="str">
            <v>נועה</v>
          </cell>
          <cell r="E67">
            <v>3714.79</v>
          </cell>
          <cell r="F67">
            <v>167.17</v>
          </cell>
          <cell r="G67">
            <v>225.86</v>
          </cell>
          <cell r="I67">
            <v>289.45</v>
          </cell>
          <cell r="N67">
            <v>4397.2700000000004</v>
          </cell>
        </row>
        <row r="68">
          <cell r="B68">
            <v>1669</v>
          </cell>
          <cell r="C68" t="str">
            <v>שטיינר</v>
          </cell>
          <cell r="D68" t="str">
            <v>דולי קלריס</v>
          </cell>
          <cell r="E68">
            <v>10677</v>
          </cell>
          <cell r="F68">
            <v>573.72</v>
          </cell>
          <cell r="G68">
            <v>656.96</v>
          </cell>
          <cell r="I68">
            <v>841.91</v>
          </cell>
          <cell r="N68">
            <v>12749.59</v>
          </cell>
        </row>
        <row r="69">
          <cell r="B69">
            <v>1701</v>
          </cell>
          <cell r="C69" t="str">
            <v>אוריאל</v>
          </cell>
          <cell r="D69" t="str">
            <v>לי</v>
          </cell>
          <cell r="E69">
            <v>10570</v>
          </cell>
          <cell r="F69">
            <v>565.1</v>
          </cell>
          <cell r="G69">
            <v>650</v>
          </cell>
          <cell r="I69">
            <v>833</v>
          </cell>
          <cell r="N69">
            <v>12618.1</v>
          </cell>
        </row>
        <row r="70">
          <cell r="B70">
            <v>1727</v>
          </cell>
          <cell r="C70" t="str">
            <v>אוריאל</v>
          </cell>
          <cell r="D70" t="str">
            <v>עמרי רון</v>
          </cell>
          <cell r="E70">
            <v>10570</v>
          </cell>
          <cell r="F70">
            <v>565.1</v>
          </cell>
          <cell r="G70">
            <v>650</v>
          </cell>
          <cell r="I70">
            <v>833</v>
          </cell>
          <cell r="N70">
            <v>12618.1</v>
          </cell>
        </row>
        <row r="71">
          <cell r="B71">
            <v>1735</v>
          </cell>
          <cell r="C71" t="str">
            <v>אפרים</v>
          </cell>
          <cell r="D71" t="str">
            <v>ליהי</v>
          </cell>
          <cell r="E71">
            <v>10570</v>
          </cell>
          <cell r="F71">
            <v>565.1</v>
          </cell>
          <cell r="G71">
            <v>650</v>
          </cell>
          <cell r="I71">
            <v>833</v>
          </cell>
          <cell r="N71">
            <v>12618.1</v>
          </cell>
        </row>
        <row r="72">
          <cell r="B72">
            <v>1743</v>
          </cell>
          <cell r="C72" t="str">
            <v>מלכיאלי גדסי</v>
          </cell>
          <cell r="D72" t="str">
            <v>יובל</v>
          </cell>
          <cell r="E72">
            <v>10600</v>
          </cell>
          <cell r="F72">
            <v>567.48</v>
          </cell>
          <cell r="G72">
            <v>650</v>
          </cell>
          <cell r="I72">
            <v>833</v>
          </cell>
          <cell r="N72">
            <v>12650.48</v>
          </cell>
        </row>
        <row r="73">
          <cell r="B73">
            <v>1750</v>
          </cell>
          <cell r="C73" t="str">
            <v>חן</v>
          </cell>
          <cell r="D73" t="str">
            <v>מאי</v>
          </cell>
          <cell r="E73">
            <v>10450</v>
          </cell>
          <cell r="F73">
            <v>556.58000000000004</v>
          </cell>
          <cell r="G73">
            <v>650</v>
          </cell>
          <cell r="I73">
            <v>833</v>
          </cell>
          <cell r="N73">
            <v>12489.58</v>
          </cell>
        </row>
        <row r="74">
          <cell r="B74">
            <v>1776</v>
          </cell>
          <cell r="C74" t="str">
            <v>ספא</v>
          </cell>
          <cell r="D74" t="str">
            <v>וולאא</v>
          </cell>
          <cell r="E74">
            <v>7492.8</v>
          </cell>
          <cell r="F74">
            <v>337.86</v>
          </cell>
          <cell r="G74">
            <v>459.73</v>
          </cell>
          <cell r="I74">
            <v>589.16</v>
          </cell>
          <cell r="N74">
            <v>8879.5499999999993</v>
          </cell>
        </row>
        <row r="75">
          <cell r="B75">
            <v>1818</v>
          </cell>
          <cell r="C75" t="str">
            <v>אברהם</v>
          </cell>
          <cell r="D75" t="str">
            <v>עידן</v>
          </cell>
          <cell r="E75">
            <v>10270</v>
          </cell>
          <cell r="F75">
            <v>542.29999999999995</v>
          </cell>
          <cell r="G75">
            <v>650</v>
          </cell>
          <cell r="I75">
            <v>833</v>
          </cell>
          <cell r="N75">
            <v>12295.3</v>
          </cell>
        </row>
        <row r="76">
          <cell r="B76">
            <v>1842</v>
          </cell>
          <cell r="C76" t="str">
            <v>נאטור</v>
          </cell>
          <cell r="D76" t="str">
            <v>נדין</v>
          </cell>
        </row>
        <row r="77">
          <cell r="B77">
            <v>1859</v>
          </cell>
          <cell r="C77" t="str">
            <v>שיבולי</v>
          </cell>
          <cell r="D77" t="str">
            <v>נרי</v>
          </cell>
          <cell r="E77">
            <v>1877.7</v>
          </cell>
          <cell r="F77">
            <v>84.21</v>
          </cell>
          <cell r="G77">
            <v>114.25</v>
          </cell>
          <cell r="I77">
            <v>146.41999999999999</v>
          </cell>
          <cell r="N77">
            <v>2222.58</v>
          </cell>
        </row>
        <row r="78">
          <cell r="B78">
            <v>1909</v>
          </cell>
          <cell r="C78" t="str">
            <v>לוי</v>
          </cell>
          <cell r="D78" t="str">
            <v>נעה</v>
          </cell>
          <cell r="E78">
            <v>8948.48</v>
          </cell>
          <cell r="F78">
            <v>623.44000000000005</v>
          </cell>
          <cell r="G78">
            <v>3847.03</v>
          </cell>
          <cell r="I78">
            <v>4929.95</v>
          </cell>
          <cell r="N78">
            <v>18348.900000000001</v>
          </cell>
        </row>
        <row r="79">
          <cell r="B79">
            <v>1925</v>
          </cell>
          <cell r="C79" t="str">
            <v>קפלן</v>
          </cell>
          <cell r="D79" t="str">
            <v>ליאור</v>
          </cell>
          <cell r="E79">
            <v>7987.19</v>
          </cell>
          <cell r="F79">
            <v>369</v>
          </cell>
          <cell r="N79">
            <v>8356.19</v>
          </cell>
        </row>
        <row r="80">
          <cell r="B80">
            <v>1958</v>
          </cell>
          <cell r="C80" t="str">
            <v>שוגר</v>
          </cell>
          <cell r="D80" t="str">
            <v>נועם</v>
          </cell>
          <cell r="E80">
            <v>28396.13</v>
          </cell>
          <cell r="F80">
            <v>1919.71</v>
          </cell>
          <cell r="G80">
            <v>1814.55</v>
          </cell>
          <cell r="I80">
            <v>2325.41</v>
          </cell>
          <cell r="N80">
            <v>34455.800000000003</v>
          </cell>
        </row>
        <row r="81">
          <cell r="B81">
            <v>1974</v>
          </cell>
          <cell r="C81" t="str">
            <v>ידיד אל</v>
          </cell>
          <cell r="D81" t="str">
            <v>שלמה</v>
          </cell>
        </row>
        <row r="82">
          <cell r="B82">
            <v>1990</v>
          </cell>
          <cell r="C82" t="str">
            <v>בקשי</v>
          </cell>
          <cell r="D82" t="str">
            <v>דולב</v>
          </cell>
        </row>
        <row r="83">
          <cell r="B83">
            <v>2006</v>
          </cell>
          <cell r="C83" t="str">
            <v>שהלה</v>
          </cell>
          <cell r="D83" t="str">
            <v>הילה</v>
          </cell>
          <cell r="E83">
            <v>8742.26</v>
          </cell>
          <cell r="F83">
            <v>426.25</v>
          </cell>
          <cell r="N83">
            <v>9168.51</v>
          </cell>
        </row>
        <row r="84">
          <cell r="B84">
            <v>2030</v>
          </cell>
          <cell r="C84" t="str">
            <v>קוקלנסקי</v>
          </cell>
          <cell r="D84" t="str">
            <v>הראל</v>
          </cell>
          <cell r="E84">
            <v>4713.6000000000004</v>
          </cell>
          <cell r="F84">
            <v>207.88</v>
          </cell>
          <cell r="G84">
            <v>281.02999999999997</v>
          </cell>
          <cell r="I84">
            <v>360.16</v>
          </cell>
          <cell r="N84">
            <v>5562.67</v>
          </cell>
        </row>
        <row r="85">
          <cell r="B85">
            <v>2071</v>
          </cell>
          <cell r="C85" t="str">
            <v>חמרה</v>
          </cell>
          <cell r="D85" t="str">
            <v>נוי</v>
          </cell>
          <cell r="E85">
            <v>3531.2</v>
          </cell>
          <cell r="F85">
            <v>158.97999999999999</v>
          </cell>
          <cell r="G85">
            <v>509.88</v>
          </cell>
          <cell r="I85">
            <v>653.41999999999996</v>
          </cell>
          <cell r="N85">
            <v>4853.4799999999996</v>
          </cell>
        </row>
        <row r="86">
          <cell r="B86">
            <v>2089</v>
          </cell>
          <cell r="C86" t="str">
            <v>ברק מורן</v>
          </cell>
          <cell r="D86" t="str">
            <v>ליאור</v>
          </cell>
          <cell r="E86">
            <v>4037.2</v>
          </cell>
          <cell r="F86">
            <v>182.07</v>
          </cell>
          <cell r="N86">
            <v>4219.2700000000004</v>
          </cell>
        </row>
        <row r="87">
          <cell r="B87">
            <v>2121</v>
          </cell>
          <cell r="C87" t="str">
            <v>מנור</v>
          </cell>
          <cell r="D87" t="str">
            <v>אלי</v>
          </cell>
          <cell r="E87">
            <v>5442.4</v>
          </cell>
          <cell r="F87">
            <v>245.05</v>
          </cell>
          <cell r="N87">
            <v>5687.45</v>
          </cell>
        </row>
        <row r="88">
          <cell r="B88">
            <v>2139</v>
          </cell>
          <cell r="C88" t="str">
            <v>לוטנברג</v>
          </cell>
          <cell r="D88" t="str">
            <v>עדן</v>
          </cell>
          <cell r="E88">
            <v>1078</v>
          </cell>
          <cell r="F88">
            <v>48.83</v>
          </cell>
          <cell r="N88">
            <v>1126.83</v>
          </cell>
        </row>
        <row r="89">
          <cell r="B89">
            <v>2154</v>
          </cell>
          <cell r="C89" t="str">
            <v>טוביאנה בנד</v>
          </cell>
          <cell r="D89" t="str">
            <v>סיון</v>
          </cell>
          <cell r="E89">
            <v>3907.5</v>
          </cell>
          <cell r="F89">
            <v>175.87</v>
          </cell>
          <cell r="G89">
            <v>243.75</v>
          </cell>
          <cell r="I89">
            <v>312.38</v>
          </cell>
          <cell r="N89">
            <v>4639.5</v>
          </cell>
        </row>
        <row r="90">
          <cell r="E90" t="str">
            <v>664,377.41</v>
          </cell>
          <cell r="F90" t="str">
            <v>38,909.55</v>
          </cell>
          <cell r="G90" t="str">
            <v>42,957.38</v>
          </cell>
          <cell r="H90">
            <v>0</v>
          </cell>
          <cell r="I90" t="str">
            <v>55,051.38</v>
          </cell>
          <cell r="J90" t="str">
            <v>17,840.91</v>
          </cell>
          <cell r="K90">
            <v>0</v>
          </cell>
          <cell r="L90">
            <v>0</v>
          </cell>
          <cell r="M90">
            <v>0</v>
          </cell>
          <cell r="N90" t="str">
            <v>819,136.63</v>
          </cell>
        </row>
        <row r="91">
          <cell r="B91">
            <v>42</v>
          </cell>
          <cell r="C91" t="str">
            <v>שני</v>
          </cell>
          <cell r="D91" t="str">
            <v>יונתן</v>
          </cell>
          <cell r="E91">
            <v>28357.35</v>
          </cell>
          <cell r="F91">
            <v>1917.06</v>
          </cell>
          <cell r="G91">
            <v>1583.23</v>
          </cell>
          <cell r="I91">
            <v>2028.97</v>
          </cell>
          <cell r="J91">
            <v>1178.4000000000001</v>
          </cell>
          <cell r="N91">
            <v>35065.01</v>
          </cell>
        </row>
        <row r="92">
          <cell r="B92">
            <v>59</v>
          </cell>
          <cell r="C92" t="str">
            <v>סגל</v>
          </cell>
          <cell r="D92" t="str">
            <v>אורי</v>
          </cell>
          <cell r="E92">
            <v>36399.599999999999</v>
          </cell>
          <cell r="F92">
            <v>2528.2199999999998</v>
          </cell>
          <cell r="G92">
            <v>2056.77</v>
          </cell>
          <cell r="I92">
            <v>2635.83</v>
          </cell>
          <cell r="J92">
            <v>1178.4000000000001</v>
          </cell>
          <cell r="N92">
            <v>44798.82</v>
          </cell>
        </row>
        <row r="93">
          <cell r="B93">
            <v>67</v>
          </cell>
          <cell r="C93" t="str">
            <v>נחמה</v>
          </cell>
          <cell r="D93" t="str">
            <v>גוני</v>
          </cell>
          <cell r="G93">
            <v>45.27</v>
          </cell>
          <cell r="I93">
            <v>58.01</v>
          </cell>
          <cell r="J93">
            <v>52.23</v>
          </cell>
          <cell r="N93">
            <v>155.51</v>
          </cell>
        </row>
        <row r="94">
          <cell r="B94">
            <v>174</v>
          </cell>
          <cell r="C94" t="str">
            <v>חרפק</v>
          </cell>
          <cell r="D94" t="str">
            <v>שחר</v>
          </cell>
          <cell r="E94">
            <v>17937.02</v>
          </cell>
          <cell r="F94">
            <v>1125.68</v>
          </cell>
          <cell r="G94">
            <v>1071.6600000000001</v>
          </cell>
          <cell r="I94">
            <v>1373.37</v>
          </cell>
          <cell r="J94">
            <v>1178.4000000000001</v>
          </cell>
          <cell r="N94">
            <v>22686.13</v>
          </cell>
        </row>
        <row r="95">
          <cell r="B95">
            <v>323</v>
          </cell>
          <cell r="C95" t="str">
            <v>זלוטניק</v>
          </cell>
          <cell r="D95" t="str">
            <v>ליאור</v>
          </cell>
          <cell r="E95">
            <v>7636.33</v>
          </cell>
          <cell r="F95">
            <v>344.82</v>
          </cell>
          <cell r="G95">
            <v>465.16</v>
          </cell>
          <cell r="I95">
            <v>596.12</v>
          </cell>
          <cell r="J95">
            <v>536.72</v>
          </cell>
          <cell r="N95">
            <v>9579.15</v>
          </cell>
        </row>
        <row r="96">
          <cell r="B96">
            <v>372</v>
          </cell>
          <cell r="C96" t="str">
            <v>אברהמי</v>
          </cell>
          <cell r="D96" t="str">
            <v>דנה</v>
          </cell>
          <cell r="E96">
            <v>1002.76</v>
          </cell>
          <cell r="F96">
            <v>45.65</v>
          </cell>
          <cell r="G96">
            <v>54.78</v>
          </cell>
          <cell r="I96">
            <v>70.2</v>
          </cell>
          <cell r="N96">
            <v>1173.3900000000001</v>
          </cell>
        </row>
        <row r="97">
          <cell r="B97">
            <v>539</v>
          </cell>
          <cell r="C97" t="str">
            <v>נובק</v>
          </cell>
          <cell r="D97" t="str">
            <v>אנסטסיה</v>
          </cell>
        </row>
        <row r="98">
          <cell r="B98">
            <v>547</v>
          </cell>
          <cell r="C98" t="str">
            <v>עתאמנה מראענה</v>
          </cell>
          <cell r="D98" t="str">
            <v>ראיה</v>
          </cell>
          <cell r="E98">
            <v>6371.2</v>
          </cell>
          <cell r="F98">
            <v>287.60000000000002</v>
          </cell>
          <cell r="G98">
            <v>227.58</v>
          </cell>
          <cell r="I98">
            <v>291.64999999999998</v>
          </cell>
          <cell r="J98">
            <v>262.58999999999997</v>
          </cell>
          <cell r="N98">
            <v>7440.62</v>
          </cell>
        </row>
        <row r="99">
          <cell r="B99">
            <v>570</v>
          </cell>
          <cell r="C99" t="str">
            <v>אברהמי פורן</v>
          </cell>
          <cell r="D99" t="str">
            <v>תום סימה</v>
          </cell>
          <cell r="E99">
            <v>2795.2</v>
          </cell>
          <cell r="F99">
            <v>126.13</v>
          </cell>
          <cell r="G99">
            <v>159.59</v>
          </cell>
          <cell r="I99">
            <v>204.52</v>
          </cell>
          <cell r="J99">
            <v>184.14</v>
          </cell>
          <cell r="N99">
            <v>3469.58</v>
          </cell>
        </row>
        <row r="100">
          <cell r="B100">
            <v>612</v>
          </cell>
          <cell r="C100" t="str">
            <v>ברגר</v>
          </cell>
          <cell r="D100" t="str">
            <v>חן</v>
          </cell>
          <cell r="E100">
            <v>7812.8</v>
          </cell>
          <cell r="F100">
            <v>442.97</v>
          </cell>
          <cell r="G100">
            <v>335.58</v>
          </cell>
          <cell r="I100">
            <v>430.06</v>
          </cell>
          <cell r="J100">
            <v>387.21</v>
          </cell>
          <cell r="N100">
            <v>9408.6200000000008</v>
          </cell>
        </row>
        <row r="101">
          <cell r="B101">
            <v>1099</v>
          </cell>
          <cell r="C101" t="str">
            <v>אמיר</v>
          </cell>
          <cell r="D101" t="str">
            <v>מיכל</v>
          </cell>
          <cell r="E101">
            <v>1374.25</v>
          </cell>
          <cell r="F101">
            <v>62.27</v>
          </cell>
          <cell r="G101">
            <v>75.03</v>
          </cell>
          <cell r="I101">
            <v>96.15</v>
          </cell>
          <cell r="N101">
            <v>1607.7</v>
          </cell>
        </row>
        <row r="102">
          <cell r="B102">
            <v>1198</v>
          </cell>
          <cell r="C102" t="str">
            <v>גלרון</v>
          </cell>
          <cell r="D102" t="str">
            <v>נועה</v>
          </cell>
          <cell r="E102">
            <v>10229.879999999999</v>
          </cell>
          <cell r="F102">
            <v>539.44000000000005</v>
          </cell>
          <cell r="G102">
            <v>613.27</v>
          </cell>
          <cell r="I102">
            <v>785.93</v>
          </cell>
          <cell r="N102">
            <v>12168.52</v>
          </cell>
        </row>
        <row r="103">
          <cell r="B103">
            <v>1206</v>
          </cell>
          <cell r="C103" t="str">
            <v>עווידה</v>
          </cell>
          <cell r="D103" t="str">
            <v>אלאא</v>
          </cell>
          <cell r="E103">
            <v>719.1</v>
          </cell>
          <cell r="F103">
            <v>32.770000000000003</v>
          </cell>
          <cell r="G103">
            <v>40.89</v>
          </cell>
          <cell r="I103">
            <v>52.4</v>
          </cell>
          <cell r="N103">
            <v>845.16</v>
          </cell>
        </row>
        <row r="104">
          <cell r="B104">
            <v>1230</v>
          </cell>
          <cell r="C104" t="str">
            <v>ברדה</v>
          </cell>
          <cell r="D104" t="str">
            <v>מישל</v>
          </cell>
          <cell r="E104">
            <v>10785.18</v>
          </cell>
          <cell r="F104">
            <v>581.51</v>
          </cell>
          <cell r="G104">
            <v>597.04</v>
          </cell>
          <cell r="I104">
            <v>765.13</v>
          </cell>
          <cell r="N104">
            <v>12728.86</v>
          </cell>
        </row>
        <row r="105">
          <cell r="B105">
            <v>1628</v>
          </cell>
          <cell r="C105" t="str">
            <v>לחאם</v>
          </cell>
          <cell r="D105" t="str">
            <v>גואד</v>
          </cell>
          <cell r="E105">
            <v>7953.92</v>
          </cell>
          <cell r="F105">
            <v>366.16</v>
          </cell>
          <cell r="G105">
            <v>367.5</v>
          </cell>
          <cell r="I105">
            <v>470.97</v>
          </cell>
          <cell r="N105">
            <v>9158.5499999999993</v>
          </cell>
        </row>
        <row r="106">
          <cell r="B106">
            <v>1636</v>
          </cell>
          <cell r="C106" t="str">
            <v>קריספין</v>
          </cell>
          <cell r="D106" t="str">
            <v>רועי</v>
          </cell>
        </row>
        <row r="107">
          <cell r="B107">
            <v>1784</v>
          </cell>
          <cell r="C107" t="str">
            <v>לרון</v>
          </cell>
          <cell r="D107" t="str">
            <v>יעל</v>
          </cell>
          <cell r="E107">
            <v>7131.08</v>
          </cell>
          <cell r="F107">
            <v>321.77</v>
          </cell>
          <cell r="G107">
            <v>432.32</v>
          </cell>
          <cell r="I107">
            <v>554.04</v>
          </cell>
          <cell r="N107">
            <v>8439.2099999999991</v>
          </cell>
        </row>
        <row r="108">
          <cell r="B108">
            <v>1883</v>
          </cell>
          <cell r="C108" t="str">
            <v>אופנהיים</v>
          </cell>
          <cell r="D108" t="str">
            <v>שי</v>
          </cell>
          <cell r="E108">
            <v>2615.9499999999998</v>
          </cell>
          <cell r="F108">
            <v>118.19</v>
          </cell>
          <cell r="G108">
            <v>158.34</v>
          </cell>
          <cell r="I108">
            <v>202.92</v>
          </cell>
          <cell r="N108">
            <v>3095.4</v>
          </cell>
        </row>
        <row r="109">
          <cell r="B109">
            <v>2063</v>
          </cell>
          <cell r="C109" t="str">
            <v>שמעונוביץ</v>
          </cell>
          <cell r="D109" t="str">
            <v>קרן</v>
          </cell>
          <cell r="E109">
            <v>5336.28</v>
          </cell>
          <cell r="F109">
            <v>240.25</v>
          </cell>
          <cell r="G109">
            <v>926.63</v>
          </cell>
          <cell r="I109">
            <v>1187.51</v>
          </cell>
          <cell r="N109">
            <v>7690.67</v>
          </cell>
        </row>
        <row r="110">
          <cell r="E110" t="str">
            <v>154,457.90</v>
          </cell>
          <cell r="F110" t="str">
            <v>9,080.49</v>
          </cell>
          <cell r="G110" t="str">
            <v>9,210.64</v>
          </cell>
          <cell r="H110">
            <v>0</v>
          </cell>
          <cell r="I110" t="str">
            <v>11,803.78</v>
          </cell>
          <cell r="J110" t="str">
            <v>4,958.09</v>
          </cell>
          <cell r="K110">
            <v>0</v>
          </cell>
          <cell r="L110">
            <v>0</v>
          </cell>
          <cell r="M110">
            <v>0</v>
          </cell>
          <cell r="N110" t="str">
            <v>189,510.90</v>
          </cell>
        </row>
        <row r="111">
          <cell r="B111">
            <v>18</v>
          </cell>
          <cell r="C111" t="str">
            <v>גאנז</v>
          </cell>
          <cell r="D111" t="str">
            <v>זאב</v>
          </cell>
          <cell r="E111">
            <v>32000</v>
          </cell>
          <cell r="F111">
            <v>2193.88</v>
          </cell>
          <cell r="G111">
            <v>1820</v>
          </cell>
          <cell r="I111">
            <v>2332.4</v>
          </cell>
          <cell r="J111">
            <v>1178.4000000000001</v>
          </cell>
          <cell r="N111">
            <v>39524.68</v>
          </cell>
        </row>
        <row r="112">
          <cell r="B112">
            <v>1982</v>
          </cell>
          <cell r="C112" t="str">
            <v>שילד</v>
          </cell>
          <cell r="D112" t="str">
            <v>דנה</v>
          </cell>
          <cell r="E112">
            <v>30315</v>
          </cell>
          <cell r="F112">
            <v>2065.87</v>
          </cell>
          <cell r="G112">
            <v>1950</v>
          </cell>
          <cell r="I112">
            <v>2499</v>
          </cell>
          <cell r="J112">
            <v>1178.4000000000001</v>
          </cell>
          <cell r="N112">
            <v>38008.269999999997</v>
          </cell>
        </row>
        <row r="113">
          <cell r="B113">
            <v>2105</v>
          </cell>
          <cell r="C113" t="str">
            <v>יוסילוביץ</v>
          </cell>
          <cell r="D113" t="str">
            <v>עירית</v>
          </cell>
          <cell r="E113">
            <v>20315</v>
          </cell>
          <cell r="F113">
            <v>1305.8699999999999</v>
          </cell>
          <cell r="G113">
            <v>1300</v>
          </cell>
          <cell r="I113">
            <v>1666</v>
          </cell>
          <cell r="J113">
            <v>1178.4000000000001</v>
          </cell>
          <cell r="N113">
            <v>25765.27</v>
          </cell>
        </row>
        <row r="114">
          <cell r="B114">
            <v>2113</v>
          </cell>
          <cell r="C114" t="str">
            <v>לוי</v>
          </cell>
          <cell r="D114" t="str">
            <v>דיקלה</v>
          </cell>
          <cell r="E114">
            <v>23315</v>
          </cell>
          <cell r="F114">
            <v>1550.63</v>
          </cell>
          <cell r="G114">
            <v>3248.64</v>
          </cell>
          <cell r="I114">
            <v>4163.25</v>
          </cell>
          <cell r="J114">
            <v>2574.3200000000002</v>
          </cell>
          <cell r="N114">
            <v>34851.839999999997</v>
          </cell>
        </row>
        <row r="115">
          <cell r="B115">
            <v>2147</v>
          </cell>
          <cell r="C115" t="str">
            <v>נמני</v>
          </cell>
          <cell r="D115" t="str">
            <v>דנה</v>
          </cell>
          <cell r="E115">
            <v>39200</v>
          </cell>
          <cell r="F115">
            <v>2741.08</v>
          </cell>
          <cell r="G115">
            <v>2340</v>
          </cell>
          <cell r="I115">
            <v>2998.8</v>
          </cell>
          <cell r="J115">
            <v>1178.4000000000001</v>
          </cell>
          <cell r="N115">
            <v>48458.28</v>
          </cell>
        </row>
        <row r="116">
          <cell r="E116" t="str">
            <v>145,145.00</v>
          </cell>
          <cell r="F116" t="str">
            <v>9,857.33</v>
          </cell>
          <cell r="G116" t="str">
            <v>10,658.64</v>
          </cell>
          <cell r="H116">
            <v>0</v>
          </cell>
          <cell r="I116" t="str">
            <v>13,659.45</v>
          </cell>
          <cell r="J116" t="str">
            <v>7,287.92</v>
          </cell>
          <cell r="K116">
            <v>0</v>
          </cell>
          <cell r="L116">
            <v>0</v>
          </cell>
          <cell r="M116">
            <v>0</v>
          </cell>
          <cell r="N116" t="str">
            <v>186,608.34</v>
          </cell>
        </row>
        <row r="117">
          <cell r="B117">
            <v>216</v>
          </cell>
          <cell r="C117" t="str">
            <v>גולדרינג</v>
          </cell>
          <cell r="D117" t="str">
            <v>אורלי</v>
          </cell>
          <cell r="E117">
            <v>11350.87</v>
          </cell>
          <cell r="F117">
            <v>625.1</v>
          </cell>
          <cell r="G117">
            <v>694.91</v>
          </cell>
          <cell r="I117">
            <v>890.55</v>
          </cell>
          <cell r="J117">
            <v>801.82</v>
          </cell>
          <cell r="N117">
            <v>14363.25</v>
          </cell>
        </row>
        <row r="118">
          <cell r="B118">
            <v>224</v>
          </cell>
          <cell r="C118" t="str">
            <v>מנדל</v>
          </cell>
          <cell r="D118" t="str">
            <v>סיגל</v>
          </cell>
          <cell r="E118">
            <v>12798.92</v>
          </cell>
          <cell r="F118">
            <v>734.53</v>
          </cell>
          <cell r="G118">
            <v>606.95000000000005</v>
          </cell>
          <cell r="H118">
            <v>303.47000000000003</v>
          </cell>
          <cell r="I118">
            <v>1011.17</v>
          </cell>
          <cell r="J118">
            <v>910.42</v>
          </cell>
          <cell r="N118">
            <v>16365.46</v>
          </cell>
        </row>
        <row r="119">
          <cell r="B119">
            <v>414</v>
          </cell>
          <cell r="C119" t="str">
            <v>פיליפס</v>
          </cell>
          <cell r="D119" t="str">
            <v>יפית</v>
          </cell>
          <cell r="E119">
            <v>22863.72</v>
          </cell>
          <cell r="F119">
            <v>1499.98</v>
          </cell>
          <cell r="G119">
            <v>1449.09</v>
          </cell>
          <cell r="I119">
            <v>1857.07</v>
          </cell>
          <cell r="J119">
            <v>1178.4000000000001</v>
          </cell>
          <cell r="N119">
            <v>28848.26</v>
          </cell>
        </row>
        <row r="120">
          <cell r="B120">
            <v>695</v>
          </cell>
          <cell r="C120" t="str">
            <v>וינרופ בר</v>
          </cell>
          <cell r="D120" t="str">
            <v>נועה</v>
          </cell>
          <cell r="E120">
            <v>6212.75</v>
          </cell>
          <cell r="F120">
            <v>279.81</v>
          </cell>
          <cell r="G120">
            <v>372.63</v>
          </cell>
          <cell r="I120">
            <v>477.54</v>
          </cell>
          <cell r="N120">
            <v>7342.73</v>
          </cell>
        </row>
        <row r="121">
          <cell r="B121">
            <v>851</v>
          </cell>
          <cell r="C121" t="str">
            <v>טפיארו</v>
          </cell>
          <cell r="D121" t="str">
            <v>רותם</v>
          </cell>
          <cell r="E121">
            <v>8667.8799999999992</v>
          </cell>
          <cell r="F121">
            <v>420.39</v>
          </cell>
          <cell r="G121">
            <v>520.51</v>
          </cell>
          <cell r="I121">
            <v>667.06</v>
          </cell>
          <cell r="N121">
            <v>10275.84</v>
          </cell>
        </row>
        <row r="122">
          <cell r="B122">
            <v>877</v>
          </cell>
          <cell r="C122" t="str">
            <v>סלע</v>
          </cell>
          <cell r="D122" t="str">
            <v>שי</v>
          </cell>
          <cell r="E122">
            <v>7466.25</v>
          </cell>
          <cell r="F122">
            <v>336.38</v>
          </cell>
          <cell r="G122">
            <v>448.26</v>
          </cell>
          <cell r="I122">
            <v>574.46</v>
          </cell>
          <cell r="N122">
            <v>8825.35</v>
          </cell>
        </row>
        <row r="123">
          <cell r="B123">
            <v>885</v>
          </cell>
          <cell r="C123" t="str">
            <v>אשכנזי</v>
          </cell>
          <cell r="D123" t="str">
            <v>אוריאן</v>
          </cell>
          <cell r="E123">
            <v>3507.13</v>
          </cell>
          <cell r="F123">
            <v>158.63999999999999</v>
          </cell>
          <cell r="G123">
            <v>208.46</v>
          </cell>
          <cell r="I123">
            <v>267.14999999999998</v>
          </cell>
          <cell r="N123">
            <v>4141.38</v>
          </cell>
        </row>
        <row r="124">
          <cell r="B124">
            <v>1180</v>
          </cell>
          <cell r="C124" t="str">
            <v>מימון</v>
          </cell>
          <cell r="D124" t="str">
            <v>איילת שרון</v>
          </cell>
          <cell r="E124">
            <v>7283.25</v>
          </cell>
          <cell r="F124">
            <v>328.22</v>
          </cell>
          <cell r="G124">
            <v>444.16</v>
          </cell>
          <cell r="I124">
            <v>569.21</v>
          </cell>
          <cell r="N124">
            <v>8624.84</v>
          </cell>
        </row>
        <row r="125">
          <cell r="B125">
            <v>1321</v>
          </cell>
          <cell r="C125" t="str">
            <v>מזרחי</v>
          </cell>
          <cell r="D125" t="str">
            <v>שקד</v>
          </cell>
          <cell r="E125">
            <v>5807.94</v>
          </cell>
          <cell r="F125">
            <v>262.33999999999997</v>
          </cell>
          <cell r="G125">
            <v>346.32</v>
          </cell>
          <cell r="I125">
            <v>443.82</v>
          </cell>
          <cell r="N125">
            <v>6860.42</v>
          </cell>
        </row>
        <row r="126">
          <cell r="B126">
            <v>1917</v>
          </cell>
          <cell r="C126" t="str">
            <v>דוברובסקי</v>
          </cell>
          <cell r="D126" t="str">
            <v>מליה</v>
          </cell>
          <cell r="E126">
            <v>7566.64</v>
          </cell>
          <cell r="F126">
            <v>340.95</v>
          </cell>
          <cell r="G126">
            <v>450.88</v>
          </cell>
          <cell r="I126">
            <v>577.82000000000005</v>
          </cell>
          <cell r="N126">
            <v>8936.2900000000009</v>
          </cell>
        </row>
        <row r="127">
          <cell r="E127" t="str">
            <v>93,525.35</v>
          </cell>
          <cell r="F127" t="str">
            <v>4,986.34</v>
          </cell>
          <cell r="G127" t="str">
            <v>5,542.17</v>
          </cell>
          <cell r="H127">
            <v>303.47000000000003</v>
          </cell>
          <cell r="I127" t="str">
            <v>7,335.85</v>
          </cell>
          <cell r="J127" t="str">
            <v>2,890.64</v>
          </cell>
          <cell r="K127">
            <v>0</v>
          </cell>
          <cell r="L127">
            <v>0</v>
          </cell>
          <cell r="M127">
            <v>0</v>
          </cell>
          <cell r="N127" t="str">
            <v>114,583.82</v>
          </cell>
        </row>
        <row r="128">
          <cell r="B128">
            <v>83</v>
          </cell>
          <cell r="C128" t="str">
            <v>סרוגו</v>
          </cell>
          <cell r="D128" t="str">
            <v>איתי</v>
          </cell>
          <cell r="E128">
            <v>5571</v>
          </cell>
          <cell r="F128">
            <v>251.22</v>
          </cell>
          <cell r="G128">
            <v>362.12</v>
          </cell>
          <cell r="I128">
            <v>464.06</v>
          </cell>
          <cell r="N128">
            <v>6648.4</v>
          </cell>
        </row>
        <row r="129">
          <cell r="B129">
            <v>91</v>
          </cell>
          <cell r="C129" t="str">
            <v>ברנון</v>
          </cell>
          <cell r="D129" t="str">
            <v>איתי</v>
          </cell>
          <cell r="E129">
            <v>32000</v>
          </cell>
          <cell r="F129">
            <v>2193.88</v>
          </cell>
          <cell r="G129">
            <v>1400</v>
          </cell>
          <cell r="H129">
            <v>700</v>
          </cell>
          <cell r="I129">
            <v>2332.4</v>
          </cell>
          <cell r="N129">
            <v>38626.28</v>
          </cell>
        </row>
        <row r="130">
          <cell r="B130">
            <v>109</v>
          </cell>
          <cell r="C130" t="str">
            <v>בכור</v>
          </cell>
          <cell r="D130" t="str">
            <v>טל</v>
          </cell>
          <cell r="E130">
            <v>17430</v>
          </cell>
          <cell r="F130">
            <v>1086.6600000000001</v>
          </cell>
          <cell r="G130">
            <v>1087.45</v>
          </cell>
          <cell r="I130">
            <v>1393.61</v>
          </cell>
          <cell r="N130">
            <v>20997.72</v>
          </cell>
        </row>
        <row r="131">
          <cell r="B131">
            <v>117</v>
          </cell>
          <cell r="C131" t="str">
            <v>שקד</v>
          </cell>
          <cell r="D131" t="str">
            <v>צילה</v>
          </cell>
          <cell r="E131">
            <v>18520</v>
          </cell>
          <cell r="F131">
            <v>1176.3499999999999</v>
          </cell>
          <cell r="G131">
            <v>1106.95</v>
          </cell>
          <cell r="I131">
            <v>1418.6</v>
          </cell>
          <cell r="N131">
            <v>22221.9</v>
          </cell>
        </row>
        <row r="132">
          <cell r="B132">
            <v>158</v>
          </cell>
          <cell r="C132" t="str">
            <v>קטלן</v>
          </cell>
          <cell r="D132" t="str">
            <v>מורן</v>
          </cell>
          <cell r="E132">
            <v>12959.34</v>
          </cell>
          <cell r="F132">
            <v>746.95</v>
          </cell>
          <cell r="G132">
            <v>576.91999999999996</v>
          </cell>
          <cell r="H132">
            <v>288.45999999999998</v>
          </cell>
          <cell r="I132">
            <v>961.14</v>
          </cell>
          <cell r="N132">
            <v>15532.81</v>
          </cell>
        </row>
        <row r="133">
          <cell r="B133">
            <v>356</v>
          </cell>
          <cell r="C133" t="str">
            <v>לאמי קסוי</v>
          </cell>
          <cell r="D133" t="str">
            <v>ירדן</v>
          </cell>
          <cell r="E133">
            <v>15000</v>
          </cell>
          <cell r="F133">
            <v>1196.3599999999999</v>
          </cell>
          <cell r="G133">
            <v>975</v>
          </cell>
          <cell r="I133">
            <v>1249.5</v>
          </cell>
          <cell r="J133">
            <v>471.36</v>
          </cell>
          <cell r="N133">
            <v>18892.22</v>
          </cell>
        </row>
        <row r="134">
          <cell r="B134">
            <v>455</v>
          </cell>
          <cell r="C134" t="str">
            <v>עבד אל קאדר</v>
          </cell>
          <cell r="D134" t="str">
            <v>נדים</v>
          </cell>
          <cell r="E134">
            <v>10600</v>
          </cell>
          <cell r="F134">
            <v>567.48</v>
          </cell>
          <cell r="G134">
            <v>650</v>
          </cell>
          <cell r="I134">
            <v>833</v>
          </cell>
          <cell r="N134">
            <v>12650.48</v>
          </cell>
        </row>
        <row r="135">
          <cell r="B135">
            <v>513</v>
          </cell>
          <cell r="C135" t="str">
            <v>הזנפרץ</v>
          </cell>
          <cell r="D135" t="str">
            <v>מיכל</v>
          </cell>
          <cell r="E135">
            <v>14625</v>
          </cell>
          <cell r="F135">
            <v>3370.51</v>
          </cell>
          <cell r="G135">
            <v>5298.85</v>
          </cell>
          <cell r="I135">
            <v>6790.67</v>
          </cell>
          <cell r="J135">
            <v>5139.4399999999996</v>
          </cell>
          <cell r="N135">
            <v>35224.47</v>
          </cell>
        </row>
        <row r="136">
          <cell r="B136">
            <v>1255</v>
          </cell>
          <cell r="C136" t="str">
            <v>בן חיים</v>
          </cell>
          <cell r="D136" t="str">
            <v>ניר</v>
          </cell>
          <cell r="E136">
            <v>16950</v>
          </cell>
          <cell r="F136">
            <v>1050.58</v>
          </cell>
          <cell r="G136">
            <v>1007.5</v>
          </cell>
          <cell r="I136">
            <v>1291.1500000000001</v>
          </cell>
          <cell r="N136">
            <v>20299.23</v>
          </cell>
        </row>
        <row r="137">
          <cell r="B137">
            <v>1404</v>
          </cell>
          <cell r="C137" t="str">
            <v>אנגל</v>
          </cell>
          <cell r="D137" t="str">
            <v>מעיין</v>
          </cell>
          <cell r="E137">
            <v>8587.57</v>
          </cell>
          <cell r="F137">
            <v>65.739999999999995</v>
          </cell>
          <cell r="G137">
            <v>481.36</v>
          </cell>
          <cell r="I137">
            <v>616.88</v>
          </cell>
          <cell r="N137">
            <v>9751.5499999999993</v>
          </cell>
        </row>
        <row r="138">
          <cell r="B138">
            <v>1495</v>
          </cell>
          <cell r="C138" t="str">
            <v>אשרוב</v>
          </cell>
          <cell r="D138" t="str">
            <v>שחף</v>
          </cell>
          <cell r="E138">
            <v>10006.75</v>
          </cell>
          <cell r="F138">
            <v>522.86</v>
          </cell>
          <cell r="G138">
            <v>511.14</v>
          </cell>
          <cell r="I138">
            <v>655.04999999999995</v>
          </cell>
          <cell r="N138">
            <v>11695.8</v>
          </cell>
        </row>
        <row r="139">
          <cell r="B139">
            <v>2022</v>
          </cell>
          <cell r="C139" t="str">
            <v>פודלאס</v>
          </cell>
          <cell r="D139" t="str">
            <v>ליבי</v>
          </cell>
          <cell r="E139">
            <v>3517.76</v>
          </cell>
          <cell r="F139">
            <v>179.68</v>
          </cell>
          <cell r="G139">
            <v>1122.78</v>
          </cell>
          <cell r="I139">
            <v>1438.88</v>
          </cell>
          <cell r="N139">
            <v>6259.1</v>
          </cell>
        </row>
        <row r="140">
          <cell r="B140">
            <v>2048</v>
          </cell>
          <cell r="C140" t="str">
            <v>פאליק</v>
          </cell>
          <cell r="D140" t="str">
            <v>ליהי</v>
          </cell>
          <cell r="E140">
            <v>9546.31</v>
          </cell>
          <cell r="F140">
            <v>487.64</v>
          </cell>
          <cell r="N140">
            <v>10033.950000000001</v>
          </cell>
        </row>
        <row r="141">
          <cell r="B141">
            <v>2055</v>
          </cell>
          <cell r="C141" t="str">
            <v>לואזו קמצ'ו</v>
          </cell>
          <cell r="D141" t="str">
            <v>טיפני</v>
          </cell>
          <cell r="E141">
            <v>3126.81</v>
          </cell>
          <cell r="F141">
            <v>140.54</v>
          </cell>
          <cell r="N141">
            <v>3267.35</v>
          </cell>
        </row>
        <row r="142">
          <cell r="E142" t="str">
            <v>178,440.54</v>
          </cell>
          <cell r="F142" t="str">
            <v>13,036.45</v>
          </cell>
          <cell r="G142" t="str">
            <v>14,580.07</v>
          </cell>
          <cell r="H142">
            <v>988.46</v>
          </cell>
          <cell r="I142" t="str">
            <v>19,444.94</v>
          </cell>
          <cell r="J142" t="str">
            <v>5,610.80</v>
          </cell>
          <cell r="K142">
            <v>0</v>
          </cell>
          <cell r="L142">
            <v>0</v>
          </cell>
          <cell r="M142">
            <v>0</v>
          </cell>
          <cell r="N142" t="str">
            <v>232,101.26</v>
          </cell>
        </row>
        <row r="143">
          <cell r="B143">
            <v>1412</v>
          </cell>
          <cell r="C143" t="str">
            <v>עופר</v>
          </cell>
          <cell r="D143" t="str">
            <v>עינבר</v>
          </cell>
          <cell r="E143">
            <v>4889.8500000000004</v>
          </cell>
          <cell r="F143">
            <v>220.38</v>
          </cell>
          <cell r="G143">
            <v>290.54000000000002</v>
          </cell>
          <cell r="I143">
            <v>372.34</v>
          </cell>
          <cell r="N143">
            <v>5773.11</v>
          </cell>
        </row>
        <row r="144">
          <cell r="B144">
            <v>1610</v>
          </cell>
          <cell r="C144" t="str">
            <v>אהד</v>
          </cell>
          <cell r="D144" t="str">
            <v>דן גיל</v>
          </cell>
          <cell r="E144">
            <v>25000</v>
          </cell>
          <cell r="F144">
            <v>1661.88</v>
          </cell>
          <cell r="G144">
            <v>1625</v>
          </cell>
          <cell r="I144">
            <v>2082.5</v>
          </cell>
          <cell r="J144">
            <v>1178.4000000000001</v>
          </cell>
          <cell r="N144">
            <v>31547.78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דנה נמני" refreshedDate="46068.809796759262" createdVersion="8" refreshedVersion="8" minRefreshableVersion="3" recordCount="177" xr:uid="{6C9BC1A7-8D62-42E7-A255-ACE86FC1E947}">
  <cacheSource type="worksheet">
    <worksheetSource ref="L2:V191" sheet="סה&quot;כ כ&quot;ס"/>
  </cacheSource>
  <cacheFields count="11">
    <cacheField name="שם משפחה" numFmtId="0">
      <sharedItems containsBlank="1"/>
    </cacheField>
    <cacheField name="שם פרטי" numFmtId="0">
      <sharedItems containsBlank="1"/>
    </cacheField>
    <cacheField name="מחלקה" numFmtId="0">
      <sharedItems containsBlank="1" count="11">
        <s v="זברה ש.חירום וטרינריים"/>
        <e v="#N/A"/>
        <s v="א.י כירורגיה ואורטופדיה"/>
        <s v="וטנוירו"/>
        <s v="פט.די.איי הדמיה"/>
        <s v="מנהלה"/>
        <s v="הרדמה"/>
        <s v="קרדיולוגיה"/>
        <s v="אופטלמולוגיה"/>
        <s v="מטה"/>
        <m/>
      </sharedItems>
    </cacheField>
    <cacheField name="8.25" numFmtId="0">
      <sharedItems containsString="0" containsBlank="1" containsNumber="1" containsInteger="1" minValue="0" maxValue="1753664"/>
    </cacheField>
    <cacheField name="9.25" numFmtId="164">
      <sharedItems containsString="0" containsBlank="1" containsNumber="1" containsInteger="1" minValue="0" maxValue="1735393"/>
    </cacheField>
    <cacheField name="10.25" numFmtId="164">
      <sharedItems containsString="0" containsBlank="1" containsNumber="1" containsInteger="1" minValue="0" maxValue="1857418"/>
    </cacheField>
    <cacheField name="11.25" numFmtId="0">
      <sharedItems containsString="0" containsBlank="1" containsNumber="1" containsInteger="1" minValue="0" maxValue="1743236"/>
    </cacheField>
    <cacheField name="12.25" numFmtId="0">
      <sharedItems containsString="0" containsBlank="1" containsNumber="1" containsInteger="1" minValue="0" maxValue="1948746"/>
    </cacheField>
    <cacheField name="השפעת עלות תיקון 12.25" numFmtId="0">
      <sharedItems containsString="0" containsBlank="1" containsNumber="1" minValue="328.84761000000003" maxValue="67329.415540000002"/>
    </cacheField>
    <cacheField name="עלות בניכוי השפעת תיקון" numFmtId="0">
      <sharedItems containsString="0" containsBlank="1" containsNumber="1" minValue="0" maxValue="1881416.5844599996"/>
    </cacheField>
    <cacheField name="1.26" numFmtId="0">
      <sharedItems containsString="0" containsBlank="1" containsNumber="1" minValue="155.51" maxValue="1805643.16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פיליפס"/>
    <s v="ארית"/>
    <x v="0"/>
    <n v="35587"/>
    <n v="41302"/>
    <n v="32868"/>
    <n v="34297"/>
    <n v="43474"/>
    <n v="6704.5159999999996"/>
    <n v="36769.483999999997"/>
    <n v="34927.07"/>
  </r>
  <r>
    <s v="נפתלי"/>
    <s v="לישר חוה"/>
    <x v="0"/>
    <n v="39476"/>
    <n v="44610"/>
    <n v="25054"/>
    <n v="39501"/>
    <n v="51419"/>
    <n v="11657.826000000001"/>
    <n v="39761.173999999999"/>
    <n v="38372.660000000003"/>
  </r>
  <r>
    <s v="בנקירר רגב"/>
    <s v="טל"/>
    <x v="0"/>
    <n v="24411"/>
    <n v="32909"/>
    <n v="28178"/>
    <n v="31033"/>
    <n v="33023"/>
    <n v="9759.5210000000006"/>
    <n v="23263.478999999999"/>
    <n v="25936.48"/>
  </r>
  <r>
    <s v="גורביץ"/>
    <s v="בלה"/>
    <x v="0"/>
    <n v="4718"/>
    <n v="7413"/>
    <n v="15306"/>
    <n v="22267"/>
    <n v="24584"/>
    <n v="3073.0207999999998"/>
    <n v="21510.979200000002"/>
    <n v="21804.38"/>
  </r>
  <r>
    <s v="עובד סלע"/>
    <s v="שרי"/>
    <x v="0"/>
    <n v="20634"/>
    <n v="29273"/>
    <n v="22138"/>
    <n v="22621"/>
    <n v="67080"/>
    <n v="6835.9363800000001"/>
    <n v="60244.063620000001"/>
    <m/>
  </r>
  <r>
    <s v="כץ סמיט"/>
    <s v="נעמה"/>
    <x v="0"/>
    <n v="13752"/>
    <n v="22913"/>
    <n v="18151"/>
    <n v="19367"/>
    <n v="18443"/>
    <m/>
    <n v="18443"/>
    <n v="19358.63"/>
  </r>
  <r>
    <s v="פוזנר"/>
    <s v="דניאל"/>
    <x v="0"/>
    <n v="18492"/>
    <n v="21003"/>
    <n v="19763"/>
    <n v="20380"/>
    <n v="20427"/>
    <n v="328.84761000000003"/>
    <n v="20098.152389999999"/>
    <n v="21599.98"/>
  </r>
  <r>
    <s v="רסקין רמניוק"/>
    <s v="אודט"/>
    <x v="0"/>
    <n v="17258"/>
    <n v="22501"/>
    <n v="18269"/>
    <n v="15819"/>
    <n v="13952"/>
    <m/>
    <n v="13952"/>
    <n v="19211.59"/>
  </r>
  <r>
    <s v="אשר"/>
    <s v="עומרי"/>
    <x v="1"/>
    <n v="0"/>
    <n v="0"/>
    <n v="0"/>
    <n v="0"/>
    <n v="0"/>
    <m/>
    <n v="0"/>
    <m/>
  </r>
  <r>
    <s v="ניימן"/>
    <s v="אביטל תמר"/>
    <x v="1"/>
    <n v="0"/>
    <n v="0"/>
    <n v="0"/>
    <n v="0"/>
    <n v="0"/>
    <m/>
    <n v="0"/>
    <m/>
  </r>
  <r>
    <s v="דונאיביץ"/>
    <s v="אסיה"/>
    <x v="0"/>
    <n v="31041"/>
    <n v="28201"/>
    <n v="42183"/>
    <n v="25192"/>
    <n v="59187"/>
    <m/>
    <n v="59187"/>
    <n v="35820.81"/>
  </r>
  <r>
    <s v="שמעוני"/>
    <s v="מאי"/>
    <x v="0"/>
    <n v="15792"/>
    <n v="21992"/>
    <n v="25606"/>
    <n v="16185"/>
    <n v="18964"/>
    <m/>
    <n v="18964"/>
    <n v="23025.25"/>
  </r>
  <r>
    <s v="גליק"/>
    <s v="שיר"/>
    <x v="0"/>
    <n v="0"/>
    <n v="0"/>
    <n v="0"/>
    <n v="8416"/>
    <n v="10041"/>
    <m/>
    <n v="10041"/>
    <n v="10994.6"/>
  </r>
  <r>
    <s v="זינדני"/>
    <s v="שני"/>
    <x v="1"/>
    <n v="0"/>
    <n v="0"/>
    <n v="15161"/>
    <n v="0"/>
    <n v="0"/>
    <m/>
    <n v="0"/>
    <m/>
  </r>
  <r>
    <s v="אריאלי"/>
    <s v="נועם"/>
    <x v="0"/>
    <n v="19870"/>
    <n v="19616"/>
    <n v="16646"/>
    <n v="19081"/>
    <n v="19232"/>
    <m/>
    <n v="19232"/>
    <n v="18349.759999999998"/>
  </r>
  <r>
    <s v="דוידוביץ"/>
    <s v="לירון"/>
    <x v="0"/>
    <n v="25367"/>
    <n v="22276"/>
    <n v="20286"/>
    <n v="21494"/>
    <n v="24749"/>
    <m/>
    <n v="24749"/>
    <n v="25485.72"/>
  </r>
  <r>
    <s v="הלון"/>
    <s v="רימא"/>
    <x v="0"/>
    <n v="12656"/>
    <n v="12687"/>
    <n v="17506"/>
    <n v="12366"/>
    <n v="12624"/>
    <m/>
    <n v="12624"/>
    <n v="12650.48"/>
  </r>
  <r>
    <s v="מונדרוס"/>
    <s v="אלה"/>
    <x v="1"/>
    <n v="0"/>
    <n v="0"/>
    <n v="0"/>
    <n v="0"/>
    <n v="0"/>
    <m/>
    <n v="0"/>
    <m/>
  </r>
  <r>
    <s v="דוד"/>
    <s v="מיכל"/>
    <x v="1"/>
    <n v="0"/>
    <n v="0"/>
    <n v="0"/>
    <n v="0"/>
    <n v="0"/>
    <m/>
    <n v="0"/>
    <m/>
  </r>
  <r>
    <s v="ינאי"/>
    <s v="מיכל"/>
    <x v="0"/>
    <n v="10660"/>
    <n v="14532"/>
    <n v="4290"/>
    <n v="20026"/>
    <n v="38724"/>
    <m/>
    <n v="38724"/>
    <n v="39209.89"/>
  </r>
  <r>
    <s v="כהן"/>
    <s v="קרן בת ציון"/>
    <x v="0"/>
    <n v="27834"/>
    <n v="27577"/>
    <n v="23663"/>
    <n v="24930"/>
    <n v="26342"/>
    <m/>
    <n v="26342"/>
    <n v="22745.51"/>
  </r>
  <r>
    <s v="אנגלר"/>
    <s v="לימור"/>
    <x v="1"/>
    <n v="0"/>
    <n v="0"/>
    <n v="0"/>
    <n v="0"/>
    <n v="0"/>
    <m/>
    <n v="0"/>
    <m/>
  </r>
  <r>
    <s v="שפירא"/>
    <s v="נדב"/>
    <x v="0"/>
    <n v="22019"/>
    <n v="20529"/>
    <n v="19136"/>
    <n v="21858"/>
    <n v="22624"/>
    <m/>
    <n v="22624"/>
    <n v="27638.77"/>
  </r>
  <r>
    <s v="בן נתן"/>
    <s v="מלי"/>
    <x v="0"/>
    <n v="24081"/>
    <n v="15612"/>
    <n v="17437"/>
    <n v="9406"/>
    <n v="10364"/>
    <n v="889.98"/>
    <n v="9474.02"/>
    <n v="9686.09"/>
  </r>
  <r>
    <s v="גרוס וולק"/>
    <s v="מאיה"/>
    <x v="0"/>
    <n v="11294"/>
    <n v="13208"/>
    <n v="9422"/>
    <n v="14229"/>
    <n v="9477"/>
    <m/>
    <n v="9477"/>
    <n v="15173.43"/>
  </r>
  <r>
    <s v="אוריאל"/>
    <s v="לי"/>
    <x v="0"/>
    <n v="12688"/>
    <n v="12557"/>
    <n v="13603"/>
    <n v="12495"/>
    <n v="12785"/>
    <m/>
    <n v="12785"/>
    <n v="12650.48"/>
  </r>
  <r>
    <s v="רוהטן"/>
    <s v="נופר"/>
    <x v="0"/>
    <n v="12753"/>
    <n v="12461"/>
    <n v="15577"/>
    <n v="0"/>
    <n v="0"/>
    <m/>
    <n v="0"/>
    <m/>
  </r>
  <r>
    <s v="אוריאל"/>
    <s v="עמרי רון"/>
    <x v="0"/>
    <n v="12656"/>
    <n v="12654"/>
    <n v="13635"/>
    <n v="12656"/>
    <n v="12592"/>
    <m/>
    <n v="12592"/>
    <n v="12715.24"/>
  </r>
  <r>
    <s v="אפרים"/>
    <s v="ליהי"/>
    <x v="0"/>
    <n v="12462"/>
    <n v="12719"/>
    <n v="13764"/>
    <n v="12559"/>
    <n v="12656"/>
    <m/>
    <n v="12656"/>
    <n v="12553.34"/>
  </r>
  <r>
    <s v="מלכיאלי"/>
    <s v="יובל"/>
    <x v="0"/>
    <n v="12559"/>
    <n v="12557"/>
    <n v="12721"/>
    <n v="12688"/>
    <n v="12559"/>
    <m/>
    <n v="12559"/>
    <n v="12715.24"/>
  </r>
  <r>
    <s v="חן"/>
    <s v="מאי"/>
    <x v="0"/>
    <n v="12753"/>
    <n v="12687"/>
    <n v="12527"/>
    <n v="12688"/>
    <n v="12688"/>
    <m/>
    <n v="12688"/>
    <n v="12650.48"/>
  </r>
  <r>
    <s v="גל"/>
    <s v="דורן"/>
    <x v="0"/>
    <n v="16917"/>
    <n v="12495"/>
    <n v="8746"/>
    <n v="0"/>
    <n v="0"/>
    <m/>
    <n v="0"/>
    <m/>
  </r>
  <r>
    <s v="קרני"/>
    <s v="אפרת"/>
    <x v="0"/>
    <n v="11821"/>
    <n v="0"/>
    <n v="0"/>
    <n v="0"/>
    <n v="0"/>
    <m/>
    <n v="0"/>
    <m/>
  </r>
  <r>
    <s v="סירוטה"/>
    <s v="גאולה"/>
    <x v="0"/>
    <n v="21276"/>
    <n v="20013"/>
    <n v="26440"/>
    <n v="20211"/>
    <n v="28145"/>
    <n v="6956.059510000001"/>
    <n v="21188.940490000001"/>
    <n v="24697.69"/>
  </r>
  <r>
    <s v="ביטון"/>
    <s v="אבי"/>
    <x v="0"/>
    <n v="24100"/>
    <n v="20046"/>
    <n v="24007"/>
    <n v="19481"/>
    <n v="19998"/>
    <m/>
    <n v="19998"/>
    <n v="23092.95"/>
  </r>
  <r>
    <s v="צסקי"/>
    <s v="בת אל"/>
    <x v="0"/>
    <n v="8627"/>
    <n v="7715"/>
    <n v="10245"/>
    <n v="6520"/>
    <n v="7289"/>
    <n v="1738.1773900000003"/>
    <n v="5550.8226099999993"/>
    <n v="3174.21"/>
  </r>
  <r>
    <s v="יובל"/>
    <s v="מיתר"/>
    <x v="1"/>
    <n v="0"/>
    <n v="0"/>
    <n v="0"/>
    <n v="0"/>
    <n v="0"/>
    <m/>
    <n v="0"/>
    <m/>
  </r>
  <r>
    <s v="רז שלמה"/>
    <s v="הדר"/>
    <x v="0"/>
    <n v="6863"/>
    <n v="7930"/>
    <n v="10964"/>
    <n v="7887"/>
    <n v="8395"/>
    <n v="909.26289999999995"/>
    <n v="7485.7371000000003"/>
    <n v="7925.51"/>
  </r>
  <r>
    <s v="שרון"/>
    <s v="מיה"/>
    <x v="0"/>
    <n v="8218"/>
    <n v="9975"/>
    <n v="21394"/>
    <n v="10385"/>
    <n v="22118"/>
    <n v="3630.6758099999997"/>
    <n v="18487.324189999999"/>
    <n v="18895.13"/>
  </r>
  <r>
    <s v="נחמיאס"/>
    <s v="אלונה"/>
    <x v="0"/>
    <n v="8031"/>
    <n v="14254"/>
    <n v="28453"/>
    <n v="9840"/>
    <n v="4439"/>
    <n v="334.995"/>
    <n v="4104.0050000000001"/>
    <n v="3133.99"/>
  </r>
  <r>
    <s v="חאסקיה"/>
    <s v="מרח"/>
    <x v="0"/>
    <n v="11284"/>
    <n v="12843"/>
    <n v="16153"/>
    <n v="12562"/>
    <n v="12645"/>
    <n v="747.58320000000003"/>
    <n v="11897.416799999999"/>
    <n v="9762.99"/>
  </r>
  <r>
    <s v="אחינעם"/>
    <s v="גל"/>
    <x v="0"/>
    <n v="15415"/>
    <n v="13709"/>
    <n v="19728"/>
    <n v="9129"/>
    <n v="14524"/>
    <m/>
    <n v="14524"/>
    <n v="10906.64"/>
  </r>
  <r>
    <s v="בבא"/>
    <s v="גל"/>
    <x v="0"/>
    <n v="18401"/>
    <n v="17836"/>
    <n v="18953"/>
    <n v="18144"/>
    <n v="19006"/>
    <n v="2009.97"/>
    <n v="16996.03"/>
    <n v="14388.98"/>
  </r>
  <r>
    <s v="שבו"/>
    <s v="משה"/>
    <x v="0"/>
    <n v="14955"/>
    <n v="13289"/>
    <n v="18496"/>
    <n v="14909"/>
    <n v="16779"/>
    <m/>
    <n v="16779"/>
    <n v="17953.349999999999"/>
  </r>
  <r>
    <s v="שטיין"/>
    <s v="שיר"/>
    <x v="0"/>
    <n v="6448"/>
    <n v="11778"/>
    <n v="11938"/>
    <n v="3138"/>
    <n v="6531"/>
    <m/>
    <n v="6531"/>
    <n v="12144.91"/>
  </r>
  <r>
    <s v="חרס"/>
    <s v="ליאור"/>
    <x v="0"/>
    <n v="7443"/>
    <n v="6676"/>
    <n v="8150"/>
    <n v="0"/>
    <n v="0"/>
    <m/>
    <n v="0"/>
    <m/>
  </r>
  <r>
    <s v="לוי מנג'ם"/>
    <s v="הדס"/>
    <x v="0"/>
    <n v="8006"/>
    <n v="5467"/>
    <n v="10829"/>
    <n v="5656"/>
    <n v="6000"/>
    <m/>
    <n v="6000"/>
    <n v="7857.42"/>
  </r>
  <r>
    <s v="קרסנר"/>
    <s v="ניר"/>
    <x v="0"/>
    <n v="23440"/>
    <n v="20821"/>
    <n v="23926"/>
    <n v="22486"/>
    <n v="26625"/>
    <n v="3559.92"/>
    <n v="23065.08"/>
    <n v="17857.36"/>
  </r>
  <r>
    <s v="רוזנבליט"/>
    <s v="הדר"/>
    <x v="0"/>
    <n v="11840"/>
    <n v="12530"/>
    <n v="15043"/>
    <n v="11732"/>
    <n v="11049"/>
    <m/>
    <n v="11049"/>
    <n v="11145.18"/>
  </r>
  <r>
    <s v="בן שושן"/>
    <s v="שירה"/>
    <x v="0"/>
    <n v="2929"/>
    <n v="2322"/>
    <n v="5240"/>
    <n v="1939"/>
    <n v="0"/>
    <m/>
    <n v="0"/>
    <m/>
  </r>
  <r>
    <s v="אלפנדרי"/>
    <s v="עדי"/>
    <x v="1"/>
    <n v="0"/>
    <n v="0"/>
    <n v="0"/>
    <n v="0"/>
    <n v="0"/>
    <m/>
    <n v="0"/>
    <m/>
  </r>
  <r>
    <s v="ביטון"/>
    <s v="גיא"/>
    <x v="0"/>
    <n v="14633"/>
    <n v="12671"/>
    <n v="20778"/>
    <n v="14978"/>
    <n v="16750"/>
    <m/>
    <n v="16750"/>
    <n v="15007.18"/>
  </r>
  <r>
    <s v="מייבסקי"/>
    <s v="ניקול"/>
    <x v="0"/>
    <n v="4453"/>
    <n v="8643"/>
    <n v="8623"/>
    <n v="7158"/>
    <n v="5878"/>
    <m/>
    <n v="5878"/>
    <n v="2625.75"/>
  </r>
  <r>
    <s v="וירטהיים"/>
    <s v="דניאל"/>
    <x v="0"/>
    <n v="11696"/>
    <n v="12920"/>
    <n v="13754"/>
    <n v="10831"/>
    <n v="10169"/>
    <m/>
    <n v="10169"/>
    <n v="10026.950000000001"/>
  </r>
  <r>
    <s v="שבו"/>
    <s v="אלירן"/>
    <x v="0"/>
    <n v="5068"/>
    <n v="5506"/>
    <n v="9963"/>
    <n v="6621"/>
    <n v="6714"/>
    <m/>
    <n v="6714"/>
    <n v="8399.84"/>
  </r>
  <r>
    <s v="כהן"/>
    <s v="נוי"/>
    <x v="0"/>
    <n v="4579"/>
    <n v="570"/>
    <n v="4935"/>
    <n v="2635"/>
    <n v="3285"/>
    <m/>
    <n v="3285"/>
    <n v="2110.63"/>
  </r>
  <r>
    <s v="לוטן"/>
    <s v="סתיו"/>
    <x v="0"/>
    <n v="4699"/>
    <n v="8432"/>
    <n v="0"/>
    <n v="0"/>
    <n v="0"/>
    <m/>
    <n v="0"/>
    <m/>
  </r>
  <r>
    <s v="זלביץ"/>
    <s v="עמית"/>
    <x v="0"/>
    <n v="206"/>
    <n v="2834"/>
    <n v="6175"/>
    <n v="3005"/>
    <n v="2555"/>
    <m/>
    <n v="2555"/>
    <n v="1535.49"/>
  </r>
  <r>
    <s v="לוי"/>
    <s v="ניב"/>
    <x v="0"/>
    <n v="5677"/>
    <n v="0"/>
    <n v="0"/>
    <n v="0"/>
    <n v="0"/>
    <m/>
    <n v="0"/>
    <m/>
  </r>
  <r>
    <s v="בן אליהו"/>
    <s v="רויטל"/>
    <x v="0"/>
    <n v="10104"/>
    <n v="12509"/>
    <n v="16112"/>
    <n v="13147"/>
    <n v="14210"/>
    <m/>
    <n v="14210"/>
    <n v="11685.35"/>
  </r>
  <r>
    <s v="מילר"/>
    <s v="יותם"/>
    <x v="1"/>
    <n v="0"/>
    <n v="0"/>
    <n v="0"/>
    <n v="0"/>
    <n v="0"/>
    <m/>
    <n v="0"/>
    <m/>
  </r>
  <r>
    <s v="גולדמינץ"/>
    <s v="שלי"/>
    <x v="0"/>
    <n v="7563"/>
    <n v="7917"/>
    <n v="8895"/>
    <n v="1519"/>
    <n v="3540"/>
    <m/>
    <n v="3540"/>
    <n v="2664.87"/>
  </r>
  <r>
    <s v="בר"/>
    <s v="נועה"/>
    <x v="0"/>
    <n v="3370"/>
    <n v="3251"/>
    <n v="10748"/>
    <n v="8666"/>
    <n v="7304"/>
    <m/>
    <n v="7304"/>
    <n v="8936.4699999999993"/>
  </r>
  <r>
    <s v="אדרי"/>
    <s v="לורי"/>
    <x v="1"/>
    <n v="0"/>
    <n v="0"/>
    <n v="0"/>
    <n v="0"/>
    <n v="0"/>
    <m/>
    <n v="0"/>
    <m/>
  </r>
  <r>
    <s v="מנסור"/>
    <s v="חלאווה"/>
    <x v="0"/>
    <n v="3413"/>
    <n v="0"/>
    <n v="0"/>
    <n v="0"/>
    <n v="0"/>
    <m/>
    <n v="0"/>
    <m/>
  </r>
  <r>
    <s v="רוזנברג"/>
    <s v="עפרי"/>
    <x v="1"/>
    <n v="0"/>
    <n v="0"/>
    <n v="0"/>
    <n v="0"/>
    <n v="0"/>
    <m/>
    <n v="0"/>
    <m/>
  </r>
  <r>
    <s v="יורקביץ"/>
    <s v="רחל אמנו צפורה"/>
    <x v="1"/>
    <n v="0"/>
    <n v="0"/>
    <n v="0"/>
    <n v="0"/>
    <n v="0"/>
    <m/>
    <n v="0"/>
    <m/>
  </r>
  <r>
    <s v="שטיינר"/>
    <s v="דולי קלריס"/>
    <x v="0"/>
    <n v="12245"/>
    <n v="10315"/>
    <n v="13580"/>
    <n v="13532"/>
    <n v="9122"/>
    <m/>
    <n v="9122"/>
    <n v="15267.7"/>
  </r>
  <r>
    <s v="עראידה"/>
    <s v="קרן"/>
    <x v="1"/>
    <n v="0"/>
    <n v="0"/>
    <n v="0"/>
    <n v="0"/>
    <n v="0"/>
    <m/>
    <n v="0"/>
    <m/>
  </r>
  <r>
    <s v="לבקוביץ"/>
    <s v="מיה"/>
    <x v="0"/>
    <n v="2636"/>
    <n v="3936"/>
    <n v="0"/>
    <n v="0"/>
    <n v="0"/>
    <m/>
    <n v="0"/>
    <m/>
  </r>
  <r>
    <s v="ספא"/>
    <s v="וולאא"/>
    <x v="0"/>
    <n v="11370"/>
    <n v="11705"/>
    <n v="11089"/>
    <n v="8307"/>
    <n v="16166"/>
    <m/>
    <n v="16166"/>
    <n v="10470.709999999999"/>
  </r>
  <r>
    <s v="אברהם"/>
    <s v="עידן"/>
    <x v="0"/>
    <n v="12753"/>
    <n v="12751"/>
    <n v="12656"/>
    <n v="12592"/>
    <n v="12559"/>
    <m/>
    <n v="12559"/>
    <n v="12618.1"/>
  </r>
  <r>
    <s v="נאטור"/>
    <s v="נדין"/>
    <x v="0"/>
    <n v="6682"/>
    <n v="6276"/>
    <n v="6905"/>
    <n v="6880"/>
    <n v="0"/>
    <m/>
    <n v="0"/>
    <m/>
  </r>
  <r>
    <s v="שיבולי"/>
    <s v="נרי"/>
    <x v="0"/>
    <n v="5638"/>
    <n v="5515"/>
    <n v="5402"/>
    <n v="4422"/>
    <n v="5851"/>
    <m/>
    <n v="5851"/>
    <n v="4994.78"/>
  </r>
  <r>
    <s v="זמיר"/>
    <s v="שירה"/>
    <x v="0"/>
    <n v="848"/>
    <n v="0"/>
    <n v="0"/>
    <n v="0"/>
    <n v="0"/>
    <m/>
    <n v="0"/>
    <m/>
  </r>
  <r>
    <s v="לוי"/>
    <s v="נעה"/>
    <x v="0"/>
    <n v="6342"/>
    <n v="7231"/>
    <n v="7868"/>
    <n v="8832"/>
    <n v="11817"/>
    <m/>
    <n v="11817"/>
    <n v="10728.95"/>
  </r>
  <r>
    <s v="קפלן"/>
    <s v="ליאור"/>
    <x v="0"/>
    <n v="3999"/>
    <n v="6668"/>
    <n v="4543"/>
    <n v="7420"/>
    <n v="9065"/>
    <m/>
    <n v="9065"/>
    <n v="7600.94"/>
  </r>
  <r>
    <s v="פחימה"/>
    <s v="עמית דניאל"/>
    <x v="0"/>
    <n v="1747"/>
    <n v="393"/>
    <n v="0"/>
    <n v="0"/>
    <n v="0"/>
    <m/>
    <n v="0"/>
    <m/>
  </r>
  <r>
    <s v="שוגר"/>
    <s v="נועם"/>
    <x v="0"/>
    <n v="0"/>
    <n v="8036"/>
    <n v="32589"/>
    <n v="31825"/>
    <n v="50353"/>
    <m/>
    <n v="50353"/>
    <n v="36904.230000000003"/>
  </r>
  <r>
    <s v="היימן קמחי"/>
    <s v="יובל"/>
    <x v="1"/>
    <n v="0"/>
    <n v="4261"/>
    <n v="4689"/>
    <n v="0"/>
    <n v="0"/>
    <m/>
    <n v="0"/>
    <m/>
  </r>
  <r>
    <s v="ידיד אל"/>
    <s v="שלמה"/>
    <x v="0"/>
    <n v="0"/>
    <n v="647"/>
    <n v="5533"/>
    <n v="2614"/>
    <n v="0"/>
    <m/>
    <n v="0"/>
    <m/>
  </r>
  <r>
    <s v="בקשי"/>
    <s v="דולב"/>
    <x v="0"/>
    <m/>
    <m/>
    <n v="2434"/>
    <n v="4997"/>
    <n v="0"/>
    <m/>
    <n v="0"/>
    <m/>
  </r>
  <r>
    <s v="שהלה"/>
    <s v="הילה"/>
    <x v="0"/>
    <m/>
    <m/>
    <n v="3095"/>
    <n v="5959"/>
    <n v="6717"/>
    <m/>
    <n v="6717"/>
    <n v="7677.18"/>
  </r>
  <r>
    <s v="אלוורץ אריאס"/>
    <s v="נטאלי"/>
    <x v="1"/>
    <m/>
    <m/>
    <n v="199"/>
    <n v="0"/>
    <n v="0"/>
    <m/>
    <n v="0"/>
    <m/>
  </r>
  <r>
    <s v="קוקלנסקי"/>
    <s v="הראל"/>
    <x v="0"/>
    <m/>
    <m/>
    <n v="0"/>
    <n v="2267"/>
    <n v="5922"/>
    <m/>
    <n v="5922"/>
    <n v="5325.58"/>
  </r>
  <r>
    <s v="חמרה"/>
    <s v="נוי"/>
    <x v="0"/>
    <m/>
    <m/>
    <m/>
    <n v="0"/>
    <n v="1665"/>
    <m/>
    <n v="1665"/>
    <n v="3658.25"/>
  </r>
  <r>
    <s v="ברק מורן"/>
    <s v="ליאור"/>
    <x v="0"/>
    <m/>
    <m/>
    <m/>
    <n v="0"/>
    <n v="6419"/>
    <m/>
    <n v="6419"/>
    <n v="6657.54"/>
  </r>
  <r>
    <s v="מנור"/>
    <s v="אלי"/>
    <x v="0"/>
    <m/>
    <m/>
    <m/>
    <m/>
    <m/>
    <m/>
    <m/>
    <n v="5253.36"/>
  </r>
  <r>
    <s v="לוטנברג"/>
    <s v="עדן"/>
    <x v="0"/>
    <m/>
    <m/>
    <m/>
    <m/>
    <m/>
    <m/>
    <m/>
    <n v="593.53"/>
  </r>
  <r>
    <s v="שני"/>
    <s v="יונתן"/>
    <x v="2"/>
    <n v="35815"/>
    <n v="42225"/>
    <n v="34591"/>
    <n v="39008"/>
    <n v="38142"/>
    <m/>
    <n v="38142"/>
    <n v="39101.71"/>
  </r>
  <r>
    <s v="סגל"/>
    <s v="אורי"/>
    <x v="2"/>
    <n v="44129"/>
    <n v="36836"/>
    <n v="67424"/>
    <n v="40501"/>
    <n v="41484"/>
    <m/>
    <n v="41484"/>
    <n v="40762.11"/>
  </r>
  <r>
    <s v="עתאמנה"/>
    <s v="ראיה"/>
    <x v="2"/>
    <n v="14835"/>
    <n v="1941"/>
    <n v="157"/>
    <n v="4640"/>
    <n v="0"/>
    <m/>
    <n v="0"/>
    <m/>
  </r>
  <r>
    <s v="ברגר"/>
    <s v="חן"/>
    <x v="2"/>
    <n v="23847"/>
    <n v="0"/>
    <n v="510"/>
    <n v="0"/>
    <n v="0"/>
    <m/>
    <n v="0"/>
    <m/>
  </r>
  <r>
    <s v="קריספין"/>
    <s v="רועי"/>
    <x v="2"/>
    <n v="13440"/>
    <n v="13728"/>
    <n v="13537"/>
    <n v="13375"/>
    <n v="20834"/>
    <m/>
    <n v="20834"/>
    <m/>
  </r>
  <r>
    <s v="נחמה"/>
    <s v="גוני"/>
    <x v="2"/>
    <n v="579"/>
    <n v="0"/>
    <n v="1984"/>
    <n v="4795"/>
    <n v="328"/>
    <m/>
    <n v="328"/>
    <n v="155.51"/>
  </r>
  <r>
    <s v="חרפק"/>
    <s v="שחר"/>
    <x v="2"/>
    <n v="22779"/>
    <n v="22840"/>
    <n v="21869"/>
    <n v="24898"/>
    <n v="22348"/>
    <m/>
    <n v="22348"/>
    <n v="23532.66"/>
  </r>
  <r>
    <s v="זלוטניק"/>
    <s v="ליאור"/>
    <x v="2"/>
    <n v="10264"/>
    <n v="11952"/>
    <n v="11190"/>
    <n v="15083"/>
    <n v="14556"/>
    <m/>
    <n v="14556"/>
    <n v="12948.53"/>
  </r>
  <r>
    <s v="אברהמי"/>
    <s v="דנה"/>
    <x v="2"/>
    <n v="4619"/>
    <n v="0"/>
    <n v="325"/>
    <n v="6244"/>
    <n v="2917"/>
    <m/>
    <n v="2917"/>
    <n v="2102.06"/>
  </r>
  <r>
    <s v="דיאב"/>
    <s v="אימאן"/>
    <x v="2"/>
    <n v="10646"/>
    <n v="9335"/>
    <n v="22198"/>
    <n v="2657"/>
    <n v="0"/>
    <m/>
    <n v="0"/>
    <m/>
  </r>
  <r>
    <s v="נובק"/>
    <s v="אנסטסיה"/>
    <x v="2"/>
    <n v="10643"/>
    <n v="9271"/>
    <n v="11567"/>
    <n v="15311"/>
    <n v="13400"/>
    <m/>
    <n v="13400"/>
    <m/>
  </r>
  <r>
    <s v="אברהמי פורן"/>
    <s v="תום סימה"/>
    <x v="2"/>
    <n v="6026"/>
    <n v="14837"/>
    <n v="7753"/>
    <n v="8835"/>
    <n v="6936"/>
    <m/>
    <n v="6936"/>
    <n v="14625.16"/>
  </r>
  <r>
    <s v="אמיר"/>
    <s v="מיכל"/>
    <x v="2"/>
    <n v="8898"/>
    <n v="4781"/>
    <n v="586"/>
    <n v="6005"/>
    <n v="3348"/>
    <m/>
    <n v="3348"/>
    <n v="3239.2"/>
  </r>
  <r>
    <s v="גלרון"/>
    <s v="נועה"/>
    <x v="2"/>
    <n v="10652"/>
    <n v="10523"/>
    <n v="10527"/>
    <n v="17350"/>
    <n v="12548"/>
    <m/>
    <n v="12548"/>
    <n v="10879.44"/>
  </r>
  <r>
    <s v="עווידה"/>
    <s v="אלאא"/>
    <x v="2"/>
    <n v="955"/>
    <n v="2186"/>
    <n v="1203"/>
    <n v="4342"/>
    <n v="1926"/>
    <m/>
    <n v="1926"/>
    <n v="1234.96"/>
  </r>
  <r>
    <s v="ברדה"/>
    <s v="מישל"/>
    <x v="2"/>
    <n v="12382"/>
    <n v="11919"/>
    <n v="10956"/>
    <n v="15122"/>
    <n v="12070"/>
    <m/>
    <n v="12070"/>
    <n v="11308.6"/>
  </r>
  <r>
    <s v="קרסיק"/>
    <s v="שי שמחה"/>
    <x v="1"/>
    <n v="0"/>
    <n v="0"/>
    <n v="0"/>
    <n v="0"/>
    <n v="0"/>
    <m/>
    <n v="0"/>
    <m/>
  </r>
  <r>
    <s v="לחאם"/>
    <s v="גואד"/>
    <x v="2"/>
    <n v="6895"/>
    <n v="3732"/>
    <n v="5682"/>
    <n v="7795"/>
    <n v="12479"/>
    <m/>
    <n v="12479"/>
    <n v="10521.45"/>
  </r>
  <r>
    <s v="לרון"/>
    <s v="יעל"/>
    <x v="2"/>
    <n v="9324"/>
    <n v="8374"/>
    <n v="9241"/>
    <n v="10536"/>
    <n v="9755"/>
    <m/>
    <n v="9755"/>
    <n v="10206.959999999999"/>
  </r>
  <r>
    <s v="אופנהיים"/>
    <s v="שי"/>
    <x v="2"/>
    <n v="6351"/>
    <n v="4830"/>
    <n v="5683"/>
    <n v="3356"/>
    <n v="6259"/>
    <m/>
    <n v="6259"/>
    <n v="4410.3900000000003"/>
  </r>
  <r>
    <s v="שמעונוביץ"/>
    <s v="קרן"/>
    <x v="2"/>
    <m/>
    <m/>
    <m/>
    <n v="0"/>
    <n v="3138"/>
    <m/>
    <n v="3138"/>
    <n v="7311.96"/>
  </r>
  <r>
    <s v="בכור"/>
    <s v="טל"/>
    <x v="3"/>
    <n v="16047"/>
    <n v="16208"/>
    <n v="16607"/>
    <n v="19234"/>
    <n v="17555"/>
    <m/>
    <n v="17555"/>
    <n v="21170.080000000002"/>
  </r>
  <r>
    <s v="שקד"/>
    <s v="צילה"/>
    <x v="3"/>
    <n v="21662"/>
    <n v="21660"/>
    <n v="21630"/>
    <n v="24971"/>
    <n v="21759"/>
    <m/>
    <n v="21759"/>
    <n v="22221.9"/>
  </r>
  <r>
    <s v="שגב"/>
    <s v="יסמין"/>
    <x v="0"/>
    <n v="16297"/>
    <n v="15357"/>
    <n v="15423"/>
    <n v="18879"/>
    <n v="14087"/>
    <m/>
    <n v="14087"/>
    <n v="14381.12"/>
  </r>
  <r>
    <s v="קטלן"/>
    <s v="מורן"/>
    <x v="3"/>
    <n v="6105"/>
    <n v="13942"/>
    <n v="13587"/>
    <n v="17632"/>
    <n v="15170"/>
    <m/>
    <n v="15170"/>
    <n v="14595.74"/>
  </r>
  <r>
    <s v="אנגל"/>
    <s v="מעיין"/>
    <x v="3"/>
    <n v="7508"/>
    <n v="7447"/>
    <n v="16976"/>
    <n v="11906"/>
    <n v="11822"/>
    <m/>
    <n v="11822"/>
    <n v="11892.4"/>
  </r>
  <r>
    <s v="גולדין"/>
    <s v="אנדריי"/>
    <x v="1"/>
    <n v="0"/>
    <n v="0"/>
    <n v="0"/>
    <n v="0"/>
    <n v="0"/>
    <m/>
    <n v="0"/>
    <m/>
  </r>
  <r>
    <s v="סולימאן"/>
    <s v="יפא"/>
    <x v="1"/>
    <n v="0"/>
    <n v="0"/>
    <n v="0"/>
    <n v="0"/>
    <n v="0"/>
    <m/>
    <n v="0"/>
    <m/>
  </r>
  <r>
    <s v="אשרוב"/>
    <s v="שחף"/>
    <x v="3"/>
    <n v="16777"/>
    <n v="10345"/>
    <n v="11020"/>
    <n v="13326"/>
    <n v="13188"/>
    <m/>
    <n v="13188"/>
    <n v="12360.96"/>
  </r>
  <r>
    <s v="שניאור"/>
    <s v="אביגיל"/>
    <x v="1"/>
    <n v="0"/>
    <n v="0"/>
    <n v="0"/>
    <n v="0"/>
    <n v="0"/>
    <m/>
    <n v="0"/>
    <m/>
  </r>
  <r>
    <s v="כהן"/>
    <s v="ניר"/>
    <x v="0"/>
    <n v="1503"/>
    <n v="4194"/>
    <n v="0"/>
    <n v="0"/>
    <n v="0"/>
    <m/>
    <n v="0"/>
    <m/>
  </r>
  <r>
    <s v="פודלאס "/>
    <s v="ליבי "/>
    <x v="3"/>
    <m/>
    <m/>
    <n v="0"/>
    <n v="4506"/>
    <n v="6757"/>
    <m/>
    <n v="6757"/>
    <n v="5328.73"/>
  </r>
  <r>
    <s v="פאליק"/>
    <s v="ליהי"/>
    <x v="3"/>
    <m/>
    <m/>
    <m/>
    <n v="0"/>
    <n v="3363"/>
    <m/>
    <n v="3363"/>
    <n v="6802.38"/>
  </r>
  <r>
    <s v="לואזו קמצ'ו"/>
    <s v="טיפני"/>
    <x v="3"/>
    <m/>
    <m/>
    <m/>
    <n v="0"/>
    <n v="4347"/>
    <m/>
    <n v="4347"/>
    <n v="6178.51"/>
  </r>
  <r>
    <s v="סרוגו"/>
    <s v="איתי"/>
    <x v="3"/>
    <n v="6648"/>
    <n v="6648"/>
    <n v="6648"/>
    <n v="6648"/>
    <n v="6648"/>
    <m/>
    <n v="6648"/>
    <n v="6648.4"/>
  </r>
  <r>
    <s v="ברנון"/>
    <s v="איתי"/>
    <x v="3"/>
    <n v="38632"/>
    <n v="38632"/>
    <n v="38643"/>
    <n v="38632"/>
    <n v="38632"/>
    <m/>
    <n v="38632"/>
    <n v="38626.28"/>
  </r>
  <r>
    <s v="לאמי קסוי"/>
    <s v="ירדן"/>
    <x v="3"/>
    <n v="44937"/>
    <n v="44979"/>
    <n v="6976"/>
    <n v="14948"/>
    <n v="11818"/>
    <m/>
    <n v="11818"/>
    <n v="13049.36"/>
  </r>
  <r>
    <s v="עבד אל קאדר"/>
    <s v="נדים"/>
    <x v="3"/>
    <n v="12688"/>
    <n v="12913"/>
    <n v="12592"/>
    <n v="15811"/>
    <n v="12592"/>
    <m/>
    <n v="12592"/>
    <n v="12682.86"/>
  </r>
  <r>
    <s v="הזנפרץ"/>
    <s v="מיכל"/>
    <x v="3"/>
    <n v="0"/>
    <n v="0"/>
    <n v="0"/>
    <n v="0"/>
    <n v="0"/>
    <m/>
    <n v="0"/>
    <n v="14093.98"/>
  </r>
  <r>
    <s v="בן חיים"/>
    <s v="ניר"/>
    <x v="3"/>
    <n v="19393"/>
    <n v="18479"/>
    <n v="17373"/>
    <n v="18996"/>
    <n v="34928"/>
    <m/>
    <n v="34928"/>
    <n v="21987.38"/>
  </r>
  <r>
    <s v="נימקובסקי"/>
    <s v="לירון"/>
    <x v="1"/>
    <n v="0"/>
    <n v="0"/>
    <n v="0"/>
    <n v="0"/>
    <n v="0"/>
    <m/>
    <n v="0"/>
    <m/>
  </r>
  <r>
    <s v="סמרה רובינסון"/>
    <s v="יוליה"/>
    <x v="3"/>
    <n v="2387"/>
    <n v="2405"/>
    <n v="5661"/>
    <n v="0"/>
    <n v="0"/>
    <m/>
    <n v="0"/>
    <m/>
  </r>
  <r>
    <s v="זפרני"/>
    <s v="אשר"/>
    <x v="4"/>
    <n v="48758"/>
    <n v="48759"/>
    <n v="48758"/>
    <n v="48758"/>
    <n v="48759"/>
    <m/>
    <n v="48759"/>
    <n v="48287.55"/>
  </r>
  <r>
    <s v="פרלמן אברהמי"/>
    <s v="ענת"/>
    <x v="4"/>
    <n v="19107"/>
    <n v="18875"/>
    <n v="20804"/>
    <n v="18060"/>
    <n v="20769"/>
    <n v="1088.9570800000001"/>
    <n v="19680.04292"/>
    <n v="20589.48"/>
  </r>
  <r>
    <s v="דרור"/>
    <s v="ארז"/>
    <x v="4"/>
    <n v="20778"/>
    <n v="19733"/>
    <n v="22111"/>
    <n v="19188"/>
    <n v="18780"/>
    <m/>
    <n v="18780"/>
    <n v="21658.87"/>
  </r>
  <r>
    <s v="סגל"/>
    <s v="ליאת"/>
    <x v="4"/>
    <n v="19479"/>
    <n v="16769"/>
    <n v="19003"/>
    <n v="17923"/>
    <n v="19687"/>
    <m/>
    <n v="19687"/>
    <n v="17667.689999999999"/>
  </r>
  <r>
    <s v="פלדמן"/>
    <s v="חן"/>
    <x v="4"/>
    <n v="8974"/>
    <n v="7596"/>
    <n v="11796"/>
    <n v="8337"/>
    <n v="10883"/>
    <n v="1953.6908400000002"/>
    <n v="8929.3091600000007"/>
    <n v="9289.9"/>
  </r>
  <r>
    <s v="רז שלמה"/>
    <s v="שני"/>
    <x v="4"/>
    <n v="13331"/>
    <n v="13357"/>
    <n v="15454"/>
    <n v="13665"/>
    <n v="14285"/>
    <m/>
    <n v="14285"/>
    <n v="12583.92"/>
  </r>
  <r>
    <s v="זילברשץ"/>
    <s v="שי"/>
    <x v="4"/>
    <n v="11328"/>
    <n v="6610"/>
    <n v="2943"/>
    <n v="2702"/>
    <n v="2684"/>
    <m/>
    <n v="2684"/>
    <n v="2222.0300000000002"/>
  </r>
  <r>
    <s v="קורנפלד "/>
    <s v="שנון"/>
    <x v="4"/>
    <n v="0"/>
    <n v="0"/>
    <n v="1348"/>
    <n v="5248"/>
    <n v="8755"/>
    <m/>
    <n v="8755"/>
    <n v="10952.92"/>
  </r>
  <r>
    <s v="פלודה סער "/>
    <s v="רתם"/>
    <x v="4"/>
    <n v="16140"/>
    <n v="15443"/>
    <n v="17342"/>
    <n v="15354"/>
    <n v="19854"/>
    <n v="4208.8771800000004"/>
    <n v="15645.122820000001"/>
    <n v="15785.44"/>
  </r>
  <r>
    <s v="רחמים"/>
    <s v="טליה "/>
    <x v="4"/>
    <n v="8865"/>
    <n v="12068"/>
    <n v="11796"/>
    <n v="11195"/>
    <n v="13314"/>
    <n v="501.05874000000006"/>
    <n v="12812.94126"/>
    <n v="10442.94"/>
  </r>
  <r>
    <s v="שמש"/>
    <s v="זוהר"/>
    <x v="1"/>
    <n v="0"/>
    <n v="0"/>
    <n v="0"/>
    <n v="0"/>
    <n v="0"/>
    <m/>
    <n v="0"/>
    <m/>
  </r>
  <r>
    <s v="הברמן"/>
    <s v="דפנה"/>
    <x v="4"/>
    <n v="12366"/>
    <n v="13373"/>
    <n v="14904"/>
    <n v="12449"/>
    <n v="11151"/>
    <n v="440.54010000000005"/>
    <n v="10710.4599"/>
    <n v="9130.9500000000007"/>
  </r>
  <r>
    <s v="בחרליה"/>
    <s v="עדן"/>
    <x v="1"/>
    <n v="0"/>
    <n v="0"/>
    <n v="0"/>
    <n v="0"/>
    <n v="0"/>
    <m/>
    <n v="0"/>
    <m/>
  </r>
  <r>
    <s v="גליקשטרן"/>
    <s v="מיכל"/>
    <x v="4"/>
    <n v="6392"/>
    <n v="5432"/>
    <n v="5920"/>
    <n v="6080"/>
    <n v="6705"/>
    <m/>
    <n v="6705"/>
    <n v="2877.44"/>
  </r>
  <r>
    <s v="זרטל"/>
    <s v="הגר"/>
    <x v="4"/>
    <n v="5482"/>
    <n v="6488"/>
    <n v="5949"/>
    <n v="5876"/>
    <n v="6895"/>
    <m/>
    <n v="6895"/>
    <n v="4684.7700000000004"/>
  </r>
  <r>
    <s v="שמלה"/>
    <s v="איזבל"/>
    <x v="4"/>
    <m/>
    <m/>
    <m/>
    <n v="0"/>
    <n v="5811"/>
    <m/>
    <n v="5811"/>
    <n v="5405.18"/>
  </r>
  <r>
    <s v="גולדרינג"/>
    <s v="אורלי "/>
    <x v="5"/>
    <n v="15044"/>
    <n v="15428"/>
    <n v="13492"/>
    <n v="15760"/>
    <n v="14306"/>
    <m/>
    <n v="14306"/>
    <n v="15068.11"/>
  </r>
  <r>
    <s v="מנדל"/>
    <s v="סיגל"/>
    <x v="5"/>
    <n v="15636"/>
    <n v="15124"/>
    <n v="15852"/>
    <n v="15922"/>
    <n v="19233"/>
    <m/>
    <n v="19233"/>
    <n v="17091.72"/>
  </r>
  <r>
    <s v="צ'יסילביץ' פאר"/>
    <s v="קים"/>
    <x v="1"/>
    <n v="0"/>
    <n v="0"/>
    <n v="0"/>
    <n v="0"/>
    <n v="0"/>
    <m/>
    <n v="0"/>
    <m/>
  </r>
  <r>
    <s v="וינרופ בר"/>
    <s v="נועה"/>
    <x v="5"/>
    <n v="9270"/>
    <n v="8536"/>
    <n v="8778"/>
    <n v="3558"/>
    <n v="4997"/>
    <m/>
    <n v="4997"/>
    <n v="3270.49"/>
  </r>
  <r>
    <s v="טפיארו"/>
    <s v="רותם"/>
    <x v="5"/>
    <n v="11280"/>
    <n v="9915"/>
    <n v="10738"/>
    <n v="9461"/>
    <n v="11957"/>
    <m/>
    <n v="11957"/>
    <n v="10166.23"/>
  </r>
  <r>
    <s v="סלע"/>
    <s v="שי"/>
    <x v="5"/>
    <n v="9100"/>
    <n v="9229"/>
    <n v="9723"/>
    <n v="10367"/>
    <n v="10747"/>
    <m/>
    <n v="10747"/>
    <n v="10248.379999999999"/>
  </r>
  <r>
    <s v="צלויקו"/>
    <s v="אוריאן"/>
    <x v="5"/>
    <n v="4457"/>
    <n v="6091"/>
    <n v="7070"/>
    <n v="4872"/>
    <n v="5239"/>
    <m/>
    <n v="5239"/>
    <m/>
  </r>
  <r>
    <s v="מימון"/>
    <s v="איילת שרון"/>
    <x v="5"/>
    <n v="12382"/>
    <n v="12362"/>
    <n v="11448"/>
    <n v="10896"/>
    <n v="9916"/>
    <m/>
    <n v="9916"/>
    <n v="10370.66"/>
  </r>
  <r>
    <s v="מזרחי"/>
    <s v="שקד"/>
    <x v="5"/>
    <n v="7157"/>
    <n v="4359"/>
    <n v="7236"/>
    <n v="8005"/>
    <n v="7295"/>
    <m/>
    <n v="7295"/>
    <n v="7388.15"/>
  </r>
  <r>
    <s v="חגאג"/>
    <s v="לוטם"/>
    <x v="1"/>
    <n v="0"/>
    <n v="0"/>
    <n v="0"/>
    <n v="0"/>
    <n v="0"/>
    <m/>
    <n v="0"/>
    <m/>
  </r>
  <r>
    <s v="אשכנזי"/>
    <s v="ליאור"/>
    <x v="1"/>
    <n v="0"/>
    <n v="0"/>
    <n v="0"/>
    <n v="0"/>
    <n v="0"/>
    <m/>
    <n v="0"/>
    <m/>
  </r>
  <r>
    <s v="אשכנזי"/>
    <s v="אוריאן"/>
    <x v="5"/>
    <m/>
    <m/>
    <m/>
    <m/>
    <m/>
    <m/>
    <m/>
    <n v="5494.14"/>
  </r>
  <r>
    <s v="חננייב"/>
    <s v="ליזה"/>
    <x v="1"/>
    <n v="0"/>
    <n v="0"/>
    <n v="0"/>
    <n v="0"/>
    <n v="0"/>
    <m/>
    <n v="0"/>
    <m/>
  </r>
  <r>
    <s v="גיל עם"/>
    <s v="דפנה"/>
    <x v="1"/>
    <n v="0"/>
    <n v="0"/>
    <n v="0"/>
    <n v="0"/>
    <n v="0"/>
    <m/>
    <n v="0"/>
    <m/>
  </r>
  <r>
    <s v="דוברובסקי"/>
    <s v="מליה"/>
    <x v="5"/>
    <n v="8343"/>
    <n v="6494"/>
    <n v="9452"/>
    <n v="8007"/>
    <n v="8200"/>
    <m/>
    <n v="8200"/>
    <n v="6705.97"/>
  </r>
  <r>
    <s v="פיליפס"/>
    <s v="יפית"/>
    <x v="5"/>
    <n v="27882"/>
    <n v="27795"/>
    <n v="27656"/>
    <n v="27914"/>
    <n v="27882"/>
    <m/>
    <n v="27882"/>
    <n v="25932.33"/>
  </r>
  <r>
    <s v="פמיני"/>
    <s v="שירי"/>
    <x v="6"/>
    <m/>
    <m/>
    <n v="12890"/>
    <n v="13049"/>
    <n v="15878"/>
    <m/>
    <n v="15878"/>
    <n v="11877.46"/>
  </r>
  <r>
    <s v="בנאי"/>
    <s v="חמדת"/>
    <x v="6"/>
    <n v="23077"/>
    <n v="26446"/>
    <n v="27789"/>
    <n v="24361"/>
    <n v="25226"/>
    <m/>
    <n v="25226"/>
    <n v="22472.46"/>
  </r>
  <r>
    <s v="צוק"/>
    <s v="נטלי"/>
    <x v="6"/>
    <n v="19601"/>
    <n v="8602"/>
    <n v="10787"/>
    <n v="21805"/>
    <n v="12990"/>
    <m/>
    <n v="12990"/>
    <n v="17391.8"/>
  </r>
  <r>
    <s v="עאסי"/>
    <s v="דיאנה"/>
    <x v="6"/>
    <n v="3346"/>
    <n v="3454"/>
    <n v="2313"/>
    <n v="4807"/>
    <n v="3773"/>
    <m/>
    <n v="3773"/>
    <n v="5077.47"/>
  </r>
  <r>
    <s v="עופר"/>
    <s v="עינבר"/>
    <x v="7"/>
    <n v="9289"/>
    <n v="7949"/>
    <n v="7525"/>
    <n v="7927"/>
    <n v="8758"/>
    <m/>
    <n v="8758"/>
    <n v="6798.69"/>
  </r>
  <r>
    <s v="אהד"/>
    <s v="דן גיל"/>
    <x v="7"/>
    <n v="31553"/>
    <n v="31568"/>
    <n v="31553"/>
    <n v="31553"/>
    <n v="31553"/>
    <m/>
    <n v="31553"/>
    <n v="31919.22"/>
  </r>
  <r>
    <s v="איזנר"/>
    <s v="יובל"/>
    <x v="8"/>
    <n v="3017"/>
    <n v="2144"/>
    <n v="7056"/>
    <n v="3471"/>
    <n v="3625"/>
    <m/>
    <n v="3625"/>
    <n v="5327.37"/>
  </r>
  <r>
    <s v="גאנז"/>
    <s v="זאב"/>
    <x v="0"/>
    <n v="42645"/>
    <n v="43584"/>
    <n v="39530"/>
    <n v="39530"/>
    <n v="39530"/>
    <m/>
    <n v="39530"/>
    <n v="39524.68"/>
  </r>
  <r>
    <s v="רביבו"/>
    <s v="אסף"/>
    <x v="9"/>
    <n v="29374"/>
    <n v="32816"/>
    <n v="0"/>
    <n v="0"/>
    <n v="0"/>
    <m/>
    <n v="0"/>
    <m/>
  </r>
  <r>
    <s v="שילד"/>
    <s v="דנה"/>
    <x v="9"/>
    <m/>
    <m/>
    <n v="16123"/>
    <n v="38014"/>
    <n v="38014"/>
    <m/>
    <n v="38014"/>
    <n v="38008.269999999997"/>
  </r>
  <r>
    <s v="יוסילוביץ"/>
    <s v="עירית"/>
    <x v="9"/>
    <m/>
    <m/>
    <m/>
    <n v="0"/>
    <n v="4389"/>
    <m/>
    <n v="4389"/>
    <n v="25765.27"/>
  </r>
  <r>
    <s v="לוי"/>
    <s v="דיקלה"/>
    <x v="9"/>
    <m/>
    <m/>
    <m/>
    <n v="0"/>
    <n v="4158"/>
    <m/>
    <n v="4158"/>
    <n v="24848.87"/>
  </r>
  <r>
    <m/>
    <m/>
    <x v="10"/>
    <m/>
    <m/>
    <m/>
    <m/>
    <m/>
    <m/>
    <m/>
    <m/>
  </r>
  <r>
    <m/>
    <m/>
    <x v="10"/>
    <n v="1753664"/>
    <n v="1735393"/>
    <n v="1857418"/>
    <n v="1743236"/>
    <n v="1948746"/>
    <n v="67329.415540000002"/>
    <n v="1881416.5844599996"/>
    <n v="1805643.16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BB36F-EEE7-40BE-A548-FBE54BAEC058}" name="PivotTable1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G15" firstHeaderRow="0" firstDataRow="1" firstDataCol="1"/>
  <pivotFields count="11">
    <pivotField showAll="0"/>
    <pivotField showAll="0"/>
    <pivotField axis="axisRow" showAll="0">
      <items count="12">
        <item x="2"/>
        <item x="8"/>
        <item x="6"/>
        <item x="3"/>
        <item x="0"/>
        <item x="9"/>
        <item x="5"/>
        <item x="4"/>
        <item x="7"/>
        <item x="1"/>
        <item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סכום של 8.25" fld="3" baseField="0" baseItem="0"/>
    <dataField name="סכום של 9.25" fld="4" baseField="0" baseItem="0"/>
    <dataField name="סכום של 10.25" fld="5" baseField="0" baseItem="0"/>
    <dataField name="סכום של 11.25" fld="6" baseField="0" baseItem="0"/>
    <dataField name="סכום של 12.25" fld="7" baseField="0" baseItem="0"/>
    <dataField name="סכום של 1.26" fld="10" baseField="0" baseItem="0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FB3A-73F2-4964-8075-3181F596B5FF}">
  <dimension ref="A3:N199"/>
  <sheetViews>
    <sheetView rightToLeft="1" topLeftCell="A1048559" zoomScaleNormal="100" workbookViewId="0">
      <selection activeCell="A200" sqref="A200:XFD1048576"/>
    </sheetView>
  </sheetViews>
  <sheetFormatPr defaultRowHeight="14" x14ac:dyDescent="0.3"/>
  <cols>
    <col min="2" max="2" width="22.5" customWidth="1"/>
    <col min="3" max="4" width="12.5" hidden="1" customWidth="1"/>
    <col min="5" max="8" width="12.5" bestFit="1" customWidth="1"/>
    <col min="9" max="12" width="11.75" customWidth="1"/>
    <col min="13" max="13" width="13" bestFit="1" customWidth="1"/>
    <col min="14" max="14" width="11.75" customWidth="1"/>
  </cols>
  <sheetData>
    <row r="3" spans="1:11" x14ac:dyDescent="0.3">
      <c r="B3" s="44" t="s">
        <v>448</v>
      </c>
      <c r="C3" s="37">
        <v>8.25</v>
      </c>
      <c r="D3" s="37">
        <v>9.25</v>
      </c>
      <c r="E3" s="37">
        <v>10.25</v>
      </c>
      <c r="F3" s="37">
        <v>11.25</v>
      </c>
      <c r="G3" s="37">
        <v>12.25</v>
      </c>
      <c r="H3" s="37">
        <v>1.26</v>
      </c>
      <c r="I3" s="37">
        <v>2.2599999999999998</v>
      </c>
      <c r="J3" s="37">
        <v>3.26</v>
      </c>
      <c r="K3" s="37">
        <v>4.26</v>
      </c>
    </row>
    <row r="4" spans="1:11" x14ac:dyDescent="0.3">
      <c r="B4" s="35" t="s">
        <v>433</v>
      </c>
      <c r="C4" s="27">
        <f t="shared" ref="C4:H4" si="0">+C19+C145+C159+C173+C187</f>
        <v>4676893.437627119</v>
      </c>
      <c r="D4" s="27">
        <f t="shared" si="0"/>
        <v>5133633.8983050846</v>
      </c>
      <c r="E4" s="27">
        <f t="shared" si="0"/>
        <v>5831123.7288135588</v>
      </c>
      <c r="F4" s="27">
        <f t="shared" si="0"/>
        <v>6376266.9491525432</v>
      </c>
      <c r="G4" s="27">
        <f t="shared" si="0"/>
        <v>6032676.2711864403</v>
      </c>
      <c r="H4" s="27">
        <f t="shared" si="0"/>
        <v>6116191.5254237289</v>
      </c>
      <c r="I4" s="27">
        <f t="shared" ref="I4:J4" si="1">+I19+I145+I159+I173+I187</f>
        <v>5789351.2799999993</v>
      </c>
      <c r="J4" s="27">
        <f t="shared" si="1"/>
        <v>5461909.9800000004</v>
      </c>
      <c r="K4" s="27">
        <f t="shared" ref="K4" si="2">+K19+K145+K159+K173+K187</f>
        <v>6209433.3220338961</v>
      </c>
    </row>
    <row r="5" spans="1:11" x14ac:dyDescent="0.3">
      <c r="B5" s="35" t="s">
        <v>434</v>
      </c>
      <c r="C5" s="27">
        <f>+C20+C146+F160+C174+C188</f>
        <v>835644.76</v>
      </c>
      <c r="D5" s="27">
        <f>+D20+D146+G160+D174+D188</f>
        <v>1609293.6199999999</v>
      </c>
      <c r="E5" s="27">
        <f>+E20+E146+E160+E174+E188</f>
        <v>1969776.5150847458</v>
      </c>
      <c r="F5" s="27">
        <f>+F20+F146+F160+F174+F188</f>
        <v>1935184.8340677968</v>
      </c>
      <c r="G5" s="27">
        <f>+G20+G146+G160+G174+G188</f>
        <v>2292739.6310169492</v>
      </c>
      <c r="H5" s="27">
        <f>+H20+H146+H160+H174+H188</f>
        <v>1987507.9712542377</v>
      </c>
      <c r="I5" s="27">
        <f t="shared" ref="I5:J5" si="3">+I20+I146+I160+I174+I188</f>
        <v>1896357.938542373</v>
      </c>
      <c r="J5" s="27">
        <f t="shared" si="3"/>
        <v>2245276.1494237287</v>
      </c>
      <c r="K5" s="27">
        <f t="shared" ref="K5" si="4">+K20+K146+K160+K174+K188</f>
        <v>2210159.5203050845</v>
      </c>
    </row>
    <row r="6" spans="1:11" x14ac:dyDescent="0.3">
      <c r="B6" s="36" t="s">
        <v>437</v>
      </c>
      <c r="C6" s="38">
        <f t="shared" ref="C6:J6" si="5">+C5/C4</f>
        <v>0.17867517640598091</v>
      </c>
      <c r="D6" s="38">
        <f t="shared" si="5"/>
        <v>0.31348040235812735</v>
      </c>
      <c r="E6" s="38">
        <f t="shared" si="5"/>
        <v>0.3378039305445385</v>
      </c>
      <c r="F6" s="38">
        <f t="shared" si="5"/>
        <v>0.30349808900723618</v>
      </c>
      <c r="G6" s="38">
        <f t="shared" si="5"/>
        <v>0.38005348338806821</v>
      </c>
      <c r="H6" s="38">
        <f t="shared" si="5"/>
        <v>0.32495842600621361</v>
      </c>
      <c r="I6" s="38">
        <f t="shared" si="5"/>
        <v>0.32755966028414385</v>
      </c>
      <c r="J6" s="38">
        <f t="shared" si="5"/>
        <v>0.41107893715665533</v>
      </c>
      <c r="K6" s="38">
        <f t="shared" ref="K6" si="6">+K5/K4</f>
        <v>0.35593578442374646</v>
      </c>
    </row>
    <row r="7" spans="1:11" x14ac:dyDescent="0.3">
      <c r="B7" s="35" t="s">
        <v>435</v>
      </c>
      <c r="C7" s="27">
        <f>+C22+C148+C162+C176+C190</f>
        <v>487724.94999999995</v>
      </c>
      <c r="D7" s="27">
        <f>+D22+D148+D162+D176+D190</f>
        <v>1422891.23</v>
      </c>
      <c r="E7" s="27">
        <f>+E22+E148+E162+E176+E190</f>
        <v>1612541.09</v>
      </c>
      <c r="F7" s="27">
        <f t="shared" ref="F7:H7" si="7">+F22+F148+F162+F176+F190</f>
        <v>1459345.9799999997</v>
      </c>
      <c r="G7" s="27">
        <f t="shared" si="7"/>
        <v>1607418.7100000004</v>
      </c>
      <c r="H7" s="27">
        <f t="shared" si="7"/>
        <v>1490888.2439999997</v>
      </c>
      <c r="I7" s="27">
        <f t="shared" ref="I7:J7" si="8">+I22+I148+I162+I176+I190</f>
        <v>1507303.8240000003</v>
      </c>
      <c r="J7" s="27">
        <f t="shared" si="8"/>
        <v>1534633.5759999994</v>
      </c>
      <c r="K7" s="27">
        <f t="shared" ref="K7" si="9">+K22+K148+K162+K176+K190</f>
        <v>1799184.9280000001</v>
      </c>
    </row>
    <row r="8" spans="1:11" x14ac:dyDescent="0.3">
      <c r="B8" s="35" t="s">
        <v>437</v>
      </c>
      <c r="C8" s="38">
        <f t="shared" ref="C8:J8" si="10">+C7/C4</f>
        <v>0.1042839561141366</v>
      </c>
      <c r="D8" s="38">
        <f t="shared" si="10"/>
        <v>0.27717037447290122</v>
      </c>
      <c r="E8" s="38">
        <f t="shared" si="10"/>
        <v>0.27654036597300929</v>
      </c>
      <c r="F8" s="38">
        <f t="shared" si="10"/>
        <v>0.22887153120117695</v>
      </c>
      <c r="G8" s="38">
        <f t="shared" si="10"/>
        <v>0.2664520086511904</v>
      </c>
      <c r="H8" s="38">
        <f t="shared" si="10"/>
        <v>0.24376088253657346</v>
      </c>
      <c r="I8" s="38">
        <f t="shared" si="10"/>
        <v>0.26035798332140597</v>
      </c>
      <c r="J8" s="38">
        <f t="shared" si="10"/>
        <v>0.28097013345503713</v>
      </c>
      <c r="K8" s="38">
        <f t="shared" ref="K8" si="11">+K7/K4</f>
        <v>0.28975026136695486</v>
      </c>
    </row>
    <row r="9" spans="1:11" x14ac:dyDescent="0.3">
      <c r="B9" s="35" t="s">
        <v>656</v>
      </c>
      <c r="C9" s="142">
        <f t="shared" ref="C9:H9" si="12">+C24+C150+C164+C178+C192</f>
        <v>0</v>
      </c>
      <c r="D9" s="142">
        <f t="shared" si="12"/>
        <v>0</v>
      </c>
      <c r="E9" s="142">
        <f t="shared" si="12"/>
        <v>53839</v>
      </c>
      <c r="F9" s="142">
        <f t="shared" si="12"/>
        <v>50246</v>
      </c>
      <c r="G9" s="142">
        <f t="shared" si="12"/>
        <v>56588.881355932201</v>
      </c>
      <c r="H9" s="142">
        <f t="shared" si="12"/>
        <v>64173</v>
      </c>
      <c r="I9" s="142">
        <f t="shared" ref="I9:J9" si="13">+I24+I150+I164+I178+I192</f>
        <v>53500</v>
      </c>
      <c r="J9" s="142">
        <f t="shared" si="13"/>
        <v>50675.423728813563</v>
      </c>
      <c r="K9" s="142">
        <f t="shared" ref="K9" si="14">+K24+K150+K164+K178+K192</f>
        <v>43656.762711864409</v>
      </c>
    </row>
    <row r="10" spans="1:11" x14ac:dyDescent="0.3">
      <c r="B10" s="35" t="s">
        <v>437</v>
      </c>
      <c r="C10" s="38">
        <f t="shared" ref="C10:J10" si="15">+C9/C4</f>
        <v>0</v>
      </c>
      <c r="D10" s="38">
        <f t="shared" si="15"/>
        <v>0</v>
      </c>
      <c r="E10" s="38">
        <f t="shared" si="15"/>
        <v>9.2330402344171243E-3</v>
      </c>
      <c r="F10" s="38">
        <f t="shared" si="15"/>
        <v>7.8801594099942914E-3</v>
      </c>
      <c r="G10" s="38">
        <f t="shared" si="15"/>
        <v>9.3803941753371964E-3</v>
      </c>
      <c r="H10" s="38">
        <f t="shared" si="15"/>
        <v>1.0492313678086479E-2</v>
      </c>
      <c r="I10" s="38">
        <f t="shared" si="15"/>
        <v>9.2411044713804277E-3</v>
      </c>
      <c r="J10" s="38">
        <f t="shared" si="15"/>
        <v>9.2779675817384229E-3</v>
      </c>
      <c r="K10" s="38">
        <f t="shared" ref="K10" si="16">+K9/K4</f>
        <v>7.0307160811197283E-3</v>
      </c>
    </row>
    <row r="11" spans="1:11" x14ac:dyDescent="0.3">
      <c r="B11" s="35" t="s">
        <v>436</v>
      </c>
      <c r="C11" s="27">
        <f>+C26+C152+C166+C180+C194</f>
        <v>0</v>
      </c>
      <c r="D11" s="27">
        <f>+D26+D152+D166+D180+D194</f>
        <v>59138.983050847462</v>
      </c>
      <c r="E11" s="27">
        <f>+E26+E152+E166+E180+E194</f>
        <v>562550.23728813569</v>
      </c>
      <c r="F11" s="27">
        <f t="shared" ref="F11:H11" si="17">+F26+F152+F166+F180+F194</f>
        <v>652642.13559322036</v>
      </c>
      <c r="G11" s="27">
        <f t="shared" si="17"/>
        <v>437692.76271186443</v>
      </c>
      <c r="H11" s="27">
        <f t="shared" si="17"/>
        <v>655715.37288135604</v>
      </c>
      <c r="I11" s="27">
        <f t="shared" ref="I11:J11" si="18">+I26+I152+I166+I180+I194</f>
        <v>573288.13559322036</v>
      </c>
      <c r="J11" s="27">
        <f t="shared" si="18"/>
        <v>619227.96610169497</v>
      </c>
      <c r="K11" s="27">
        <f t="shared" ref="K11" si="19">+K26+K152+K166+K180+K194</f>
        <v>466483.89830508473</v>
      </c>
    </row>
    <row r="12" spans="1:11" x14ac:dyDescent="0.3">
      <c r="B12" s="35" t="s">
        <v>437</v>
      </c>
      <c r="C12" s="38">
        <f t="shared" ref="C12:J12" si="20">+C11/C4</f>
        <v>0</v>
      </c>
      <c r="D12" s="38">
        <f t="shared" si="20"/>
        <v>1.1519906604631999E-2</v>
      </c>
      <c r="E12" s="38">
        <f t="shared" si="20"/>
        <v>9.6473726754996519E-2</v>
      </c>
      <c r="F12" s="38">
        <f t="shared" si="20"/>
        <v>0.10235489523850028</v>
      </c>
      <c r="G12" s="38">
        <f t="shared" si="20"/>
        <v>7.255366325595719E-2</v>
      </c>
      <c r="H12" s="38">
        <f t="shared" si="20"/>
        <v>0.10720975138788319</v>
      </c>
      <c r="I12" s="38">
        <f t="shared" si="20"/>
        <v>9.9024589779810435E-2</v>
      </c>
      <c r="J12" s="38">
        <f t="shared" si="20"/>
        <v>0.11337205636290895</v>
      </c>
      <c r="K12" s="38">
        <f t="shared" ref="K12" si="21">+K11/K4</f>
        <v>7.5125035427916986E-2</v>
      </c>
    </row>
    <row r="13" spans="1:11" x14ac:dyDescent="0.3">
      <c r="B13" s="35" t="s">
        <v>719</v>
      </c>
      <c r="C13" s="27">
        <f t="shared" ref="C13:J13" si="22">+C4-C5-C7-C9-C11</f>
        <v>3353523.727627119</v>
      </c>
      <c r="D13" s="27">
        <f t="shared" si="22"/>
        <v>2042310.065254237</v>
      </c>
      <c r="E13" s="27">
        <f t="shared" si="22"/>
        <v>1632416.8864406771</v>
      </c>
      <c r="F13" s="27">
        <f t="shared" si="22"/>
        <v>2278847.9994915267</v>
      </c>
      <c r="G13" s="27">
        <f t="shared" si="22"/>
        <v>1638236.286101694</v>
      </c>
      <c r="H13" s="27">
        <f t="shared" si="22"/>
        <v>1917906.9372881348</v>
      </c>
      <c r="I13" s="27">
        <f t="shared" si="22"/>
        <v>1758901.3818644055</v>
      </c>
      <c r="J13" s="27">
        <f t="shared" si="22"/>
        <v>1012096.8647457637</v>
      </c>
      <c r="K13" s="27">
        <f t="shared" ref="K13" si="23">+K4-K5-K7-K9-K11</f>
        <v>1689948.2127118625</v>
      </c>
    </row>
    <row r="14" spans="1:11" x14ac:dyDescent="0.3">
      <c r="B14" s="35" t="s">
        <v>720</v>
      </c>
      <c r="C14" s="38">
        <f t="shared" ref="C14:J14" si="24">+C13/C4</f>
        <v>0.71704086747988249</v>
      </c>
      <c r="D14" s="38">
        <f t="shared" si="24"/>
        <v>0.39782931656433934</v>
      </c>
      <c r="E14" s="38">
        <f t="shared" si="24"/>
        <v>0.27994893649303854</v>
      </c>
      <c r="F14" s="38">
        <f t="shared" si="24"/>
        <v>0.35739532514309236</v>
      </c>
      <c r="G14" s="38">
        <f t="shared" si="24"/>
        <v>0.271560450529447</v>
      </c>
      <c r="H14" s="38">
        <f t="shared" si="24"/>
        <v>0.31357862639124312</v>
      </c>
      <c r="I14" s="38">
        <f t="shared" si="24"/>
        <v>0.30381666214325931</v>
      </c>
      <c r="J14" s="38">
        <f t="shared" si="24"/>
        <v>0.18530090544366012</v>
      </c>
      <c r="K14" s="38">
        <f t="shared" ref="K14" si="25">+K13/K4</f>
        <v>0.27215820270026203</v>
      </c>
    </row>
    <row r="15" spans="1:11" x14ac:dyDescent="0.3">
      <c r="B15" s="35" t="s">
        <v>493</v>
      </c>
      <c r="C15" s="31">
        <f>+C4-'הכנסות - מרכז'!I94</f>
        <v>0</v>
      </c>
      <c r="D15" s="31">
        <f>+D4-'הכנסות - מרכז'!J94</f>
        <v>0</v>
      </c>
      <c r="E15" s="31">
        <f>+E4-'הכנסות - מרכז'!K94</f>
        <v>0</v>
      </c>
      <c r="F15" s="31">
        <f>+F4-'הכנסות - מרכז'!L94</f>
        <v>0</v>
      </c>
      <c r="G15" s="31">
        <f>+G4-'הכנסות - מרכז'!M94</f>
        <v>0</v>
      </c>
      <c r="H15" s="31">
        <f>+H4-'הכנסות - מרכז'!N94</f>
        <v>0</v>
      </c>
      <c r="I15" s="31">
        <f>+I4-'הכנסות - מרכז'!O94</f>
        <v>0</v>
      </c>
      <c r="J15" s="31">
        <f>+J4-'הכנסות - מרכז'!P94</f>
        <v>0</v>
      </c>
      <c r="K15" s="31">
        <f>+K4-'הכנסות - מרכז'!Q94</f>
        <v>0</v>
      </c>
    </row>
    <row r="16" spans="1:11" ht="14.5" thickBot="1" x14ac:dyDescent="0.3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</row>
    <row r="17" spans="1:11" ht="14.5" thickTop="1" x14ac:dyDescent="0.3"/>
    <row r="18" spans="1:11" x14ac:dyDescent="0.3">
      <c r="B18" s="43" t="s">
        <v>447</v>
      </c>
      <c r="C18" s="37">
        <v>8.25</v>
      </c>
      <c r="D18" s="37">
        <v>9.25</v>
      </c>
      <c r="E18" s="37">
        <v>10.25</v>
      </c>
      <c r="F18" s="37">
        <v>11.25</v>
      </c>
      <c r="G18" s="37">
        <v>12.25</v>
      </c>
      <c r="H18" s="37">
        <v>1.26</v>
      </c>
      <c r="I18" s="37">
        <v>2.2599999999999998</v>
      </c>
      <c r="J18" s="37">
        <v>3.26</v>
      </c>
      <c r="K18" s="37">
        <v>4.26</v>
      </c>
    </row>
    <row r="19" spans="1:11" x14ac:dyDescent="0.3">
      <c r="B19" s="35" t="s">
        <v>433</v>
      </c>
      <c r="C19" s="27">
        <f>+C33+C47+C61+C75+C131+C89+C103+C117</f>
        <v>3771427.3359322036</v>
      </c>
      <c r="D19" s="27">
        <f>+D33+D47+D61+D75+D131+D89+D103+D117</f>
        <v>3190722.8813559324</v>
      </c>
      <c r="E19" s="27">
        <f t="shared" ref="E19:H22" si="26">+E33+E47+E61+E75+E131+E89+E103+E117</f>
        <v>3589999.1525423732</v>
      </c>
      <c r="F19" s="27">
        <f t="shared" ref="F19:H19" si="27">+F33+F47+F61+F75+F131+F89+F103+F117</f>
        <v>4101214.4067796613</v>
      </c>
      <c r="G19" s="27">
        <f t="shared" si="27"/>
        <v>3776817.7966101696</v>
      </c>
      <c r="H19" s="27">
        <f t="shared" si="27"/>
        <v>3768811.016949153</v>
      </c>
      <c r="I19" s="27">
        <f t="shared" ref="I19:J19" si="28">+I33+I47+I61+I75+I131+I89+I103+I117</f>
        <v>3564782.28</v>
      </c>
      <c r="J19" s="27">
        <f t="shared" si="28"/>
        <v>3355765.98</v>
      </c>
      <c r="K19" s="27">
        <f t="shared" ref="K19" si="29">+K33+K47+K61+K75+K131+K89+K103+K117</f>
        <v>3669000</v>
      </c>
    </row>
    <row r="20" spans="1:11" x14ac:dyDescent="0.3">
      <c r="B20" s="35" t="s">
        <v>434</v>
      </c>
      <c r="C20" s="27">
        <f>+C34+C48+C62+C76+C132</f>
        <v>0</v>
      </c>
      <c r="D20" s="27">
        <f t="shared" ref="D20:H26" si="30">+D34+D48+D62+D76+D132+D90+D104+D118</f>
        <v>799521.8</v>
      </c>
      <c r="E20" s="27">
        <f t="shared" si="26"/>
        <v>1036511.3500000001</v>
      </c>
      <c r="F20" s="27">
        <f t="shared" ref="F20:H20" si="31">+F34+F48+F62+F76+F132+F90+F104+F118</f>
        <v>1033473.98</v>
      </c>
      <c r="G20" s="27">
        <f t="shared" si="31"/>
        <v>1218027.6299999999</v>
      </c>
      <c r="H20" s="27">
        <f t="shared" si="31"/>
        <v>1078842.3070169494</v>
      </c>
      <c r="I20" s="27">
        <f>+I34+I48+I62+I76+I132+I90+I104+I118</f>
        <v>1085956.3937966102</v>
      </c>
      <c r="J20" s="27">
        <f>+J34+J48+J62+J76+J132+J90+J104+J118</f>
        <v>1432175.0916271184</v>
      </c>
      <c r="K20" s="27">
        <f>+K34+K48+K62+K76+K132+K90+K104+K118</f>
        <v>1315379.9738644068</v>
      </c>
    </row>
    <row r="21" spans="1:11" x14ac:dyDescent="0.3">
      <c r="B21" s="36" t="s">
        <v>437</v>
      </c>
      <c r="C21" s="38">
        <f t="shared" ref="C21:H21" si="32">+C20/C19</f>
        <v>0</v>
      </c>
      <c r="D21" s="38">
        <f t="shared" si="32"/>
        <v>0.250577010204106</v>
      </c>
      <c r="E21" s="38">
        <f t="shared" si="32"/>
        <v>0.28872189266840392</v>
      </c>
      <c r="F21" s="38">
        <f t="shared" si="32"/>
        <v>0.25199218511755406</v>
      </c>
      <c r="G21" s="38">
        <f t="shared" si="32"/>
        <v>0.32250103012467896</v>
      </c>
      <c r="H21" s="38">
        <f t="shared" si="32"/>
        <v>0.28625534741995917</v>
      </c>
      <c r="I21" s="38">
        <f t="shared" ref="I21:J21" si="33">+I20/I19</f>
        <v>0.30463470374875468</v>
      </c>
      <c r="J21" s="38">
        <f t="shared" si="33"/>
        <v>0.42678038342444796</v>
      </c>
      <c r="K21" s="38">
        <f t="shared" ref="K21" si="34">+K20/K19</f>
        <v>0.35851184896822208</v>
      </c>
    </row>
    <row r="22" spans="1:11" x14ac:dyDescent="0.3">
      <c r="B22" s="35" t="s">
        <v>435</v>
      </c>
      <c r="C22" s="27">
        <f>+C36+C50+C64+C78+C134</f>
        <v>0</v>
      </c>
      <c r="D22" s="27">
        <f t="shared" si="30"/>
        <v>935871.2</v>
      </c>
      <c r="E22" s="27">
        <f t="shared" si="26"/>
        <v>1055674</v>
      </c>
      <c r="F22" s="27">
        <f t="shared" si="26"/>
        <v>967621</v>
      </c>
      <c r="G22" s="27">
        <f t="shared" si="26"/>
        <v>1038224</v>
      </c>
      <c r="H22" s="27">
        <f t="shared" si="26"/>
        <v>996930.52399999974</v>
      </c>
      <c r="I22" s="27">
        <f>+I36+I50+I64+I78+I134+I92+I106+I120</f>
        <v>1032109.844</v>
      </c>
      <c r="J22" s="27">
        <f>+J36+J50+J64+J78+J134+J92+J106+J120</f>
        <v>1049914.0959999994</v>
      </c>
      <c r="K22" s="27">
        <f>+K36+K50+K64+K78+K134+K92+K106+K120</f>
        <v>1246381.138</v>
      </c>
    </row>
    <row r="23" spans="1:11" x14ac:dyDescent="0.3">
      <c r="B23" s="35" t="s">
        <v>437</v>
      </c>
      <c r="C23" s="38">
        <f t="shared" ref="C23:H23" si="35">+C22/C19</f>
        <v>0</v>
      </c>
      <c r="D23" s="38">
        <f t="shared" si="35"/>
        <v>0.29331008514355572</v>
      </c>
      <c r="E23" s="38">
        <f t="shared" si="35"/>
        <v>0.29405967944376549</v>
      </c>
      <c r="F23" s="38">
        <f t="shared" si="35"/>
        <v>0.23593523869428504</v>
      </c>
      <c r="G23" s="38">
        <f t="shared" si="35"/>
        <v>0.27489385400901351</v>
      </c>
      <c r="H23" s="38">
        <f t="shared" si="35"/>
        <v>0.26452122951153267</v>
      </c>
      <c r="I23" s="38">
        <f t="shared" ref="I23:J23" si="36">+I22/I19</f>
        <v>0.28952955971269023</v>
      </c>
      <c r="J23" s="38">
        <f t="shared" si="36"/>
        <v>0.31286868698752335</v>
      </c>
      <c r="K23" s="38">
        <f t="shared" ref="K23" si="37">+K22/K19</f>
        <v>0.33970595203052606</v>
      </c>
    </row>
    <row r="24" spans="1:11" x14ac:dyDescent="0.3">
      <c r="B24" s="35" t="s">
        <v>656</v>
      </c>
      <c r="C24" s="142">
        <f>+C38+C52+C66+C80+C136</f>
        <v>0</v>
      </c>
      <c r="D24" s="142">
        <f t="shared" si="30"/>
        <v>0</v>
      </c>
      <c r="E24" s="142">
        <f t="shared" ref="E24:J24" si="38">+E38+E52+E66+E80+E136</f>
        <v>53839</v>
      </c>
      <c r="F24" s="142">
        <f t="shared" si="38"/>
        <v>50246</v>
      </c>
      <c r="G24" s="142">
        <f t="shared" si="38"/>
        <v>56588.881355932201</v>
      </c>
      <c r="H24" s="142">
        <f t="shared" si="38"/>
        <v>64173</v>
      </c>
      <c r="I24" s="142">
        <f t="shared" si="38"/>
        <v>53500</v>
      </c>
      <c r="J24" s="142">
        <f t="shared" si="38"/>
        <v>50675.423728813563</v>
      </c>
      <c r="K24" s="142">
        <f t="shared" ref="K24" si="39">+K38+K52+K66+K80+K136</f>
        <v>43656.762711864409</v>
      </c>
    </row>
    <row r="25" spans="1:11" x14ac:dyDescent="0.3">
      <c r="B25" s="35" t="s">
        <v>437</v>
      </c>
      <c r="C25" s="38">
        <f t="shared" ref="C25:H25" si="40">+C24/C19</f>
        <v>0</v>
      </c>
      <c r="D25" s="38">
        <f t="shared" si="40"/>
        <v>0</v>
      </c>
      <c r="E25" s="38">
        <f t="shared" si="40"/>
        <v>1.4996939473334466E-2</v>
      </c>
      <c r="F25" s="38">
        <f t="shared" si="40"/>
        <v>1.2251493098468352E-2</v>
      </c>
      <c r="G25" s="38">
        <f t="shared" si="40"/>
        <v>1.4983217195895118E-2</v>
      </c>
      <c r="H25" s="38">
        <f t="shared" si="40"/>
        <v>1.7027386014156778E-2</v>
      </c>
      <c r="I25" s="38">
        <f t="shared" ref="I25:J25" si="41">+I24/I19</f>
        <v>1.5007929179899312E-2</v>
      </c>
      <c r="J25" s="38">
        <f t="shared" si="41"/>
        <v>1.5101000496111341E-2</v>
      </c>
      <c r="K25" s="38">
        <f t="shared" ref="K25" si="42">+K24/K19</f>
        <v>1.1898817855509515E-2</v>
      </c>
    </row>
    <row r="26" spans="1:11" x14ac:dyDescent="0.3">
      <c r="B26" s="35" t="s">
        <v>436</v>
      </c>
      <c r="C26" s="27">
        <f>+C40+C54+C68+C82+C138</f>
        <v>0</v>
      </c>
      <c r="D26" s="27">
        <f t="shared" si="30"/>
        <v>0</v>
      </c>
      <c r="E26" s="27">
        <f t="shared" si="30"/>
        <v>269046</v>
      </c>
      <c r="F26" s="27">
        <f t="shared" si="30"/>
        <v>359304</v>
      </c>
      <c r="G26" s="27">
        <f t="shared" si="30"/>
        <v>137267</v>
      </c>
      <c r="H26" s="27">
        <f t="shared" si="30"/>
        <v>385373</v>
      </c>
      <c r="I26" s="27">
        <f t="shared" ref="I26:J26" si="43">+I40+I54+I68+I82+I138+I96+I110+I124</f>
        <v>264427.96610169497</v>
      </c>
      <c r="J26" s="27">
        <f t="shared" si="43"/>
        <v>330523.72881355934</v>
      </c>
      <c r="K26" s="27">
        <f t="shared" ref="K26" si="44">+K40+K54+K68+K82+K138+K96+K110+K124</f>
        <v>182830.50847457626</v>
      </c>
    </row>
    <row r="27" spans="1:11" x14ac:dyDescent="0.3">
      <c r="B27" s="35" t="s">
        <v>437</v>
      </c>
      <c r="C27" s="38">
        <f t="shared" ref="C27:H27" si="45">+C26/C19</f>
        <v>0</v>
      </c>
      <c r="D27" s="38">
        <f t="shared" si="45"/>
        <v>0</v>
      </c>
      <c r="E27" s="38">
        <f t="shared" si="45"/>
        <v>7.4943193178601847E-2</v>
      </c>
      <c r="F27" s="38">
        <f t="shared" si="45"/>
        <v>8.7609172396848969E-2</v>
      </c>
      <c r="G27" s="38">
        <f t="shared" si="45"/>
        <v>3.6344617980566096E-2</v>
      </c>
      <c r="H27" s="38">
        <f t="shared" si="45"/>
        <v>0.10225320353472085</v>
      </c>
      <c r="I27" s="38">
        <f t="shared" ref="I27:J27" si="46">+I26/I19</f>
        <v>7.4177872681103818E-2</v>
      </c>
      <c r="J27" s="38">
        <f t="shared" si="46"/>
        <v>9.8494272480096887E-2</v>
      </c>
      <c r="K27" s="38">
        <f t="shared" ref="K27" si="47">+K26/K19</f>
        <v>4.9831155212476497E-2</v>
      </c>
    </row>
    <row r="28" spans="1:11" x14ac:dyDescent="0.3">
      <c r="B28" s="35" t="s">
        <v>719</v>
      </c>
      <c r="C28" s="27">
        <f t="shared" ref="C28:D28" si="48">+C19-C20-C22-C24-C26</f>
        <v>3771427.3359322036</v>
      </c>
      <c r="D28" s="27">
        <f t="shared" si="48"/>
        <v>1455329.8813559322</v>
      </c>
      <c r="E28" s="27">
        <f>+E19-E20-E22-E24-E26</f>
        <v>1174928.8025423731</v>
      </c>
      <c r="F28" s="27">
        <f t="shared" ref="F28:H28" si="49">+F19-F20-F22-F24-F26</f>
        <v>1690569.4267796613</v>
      </c>
      <c r="G28" s="27">
        <f t="shared" si="49"/>
        <v>1326710.2852542375</v>
      </c>
      <c r="H28" s="27">
        <f t="shared" si="49"/>
        <v>1243492.1859322037</v>
      </c>
      <c r="I28" s="27">
        <f t="shared" ref="I28:J28" si="50">+I19-I20-I22-I24-I26</f>
        <v>1128788.0761016947</v>
      </c>
      <c r="J28" s="27">
        <f t="shared" si="50"/>
        <v>492477.63983050926</v>
      </c>
      <c r="K28" s="27">
        <f t="shared" ref="K28" si="51">+K19-K20-K22-K24-K26</f>
        <v>880751.61694915243</v>
      </c>
    </row>
    <row r="29" spans="1:11" x14ac:dyDescent="0.3">
      <c r="B29" s="35" t="s">
        <v>720</v>
      </c>
      <c r="C29" s="38">
        <f t="shared" ref="C29:H29" si="52">+C28/C19</f>
        <v>1</v>
      </c>
      <c r="D29" s="38">
        <f t="shared" si="52"/>
        <v>0.45611290465233817</v>
      </c>
      <c r="E29" s="38">
        <f t="shared" si="52"/>
        <v>0.3272782952358943</v>
      </c>
      <c r="F29" s="38">
        <f t="shared" si="52"/>
        <v>0.41221191069284363</v>
      </c>
      <c r="G29" s="38">
        <f t="shared" si="52"/>
        <v>0.35127728068984632</v>
      </c>
      <c r="H29" s="38">
        <f t="shared" si="52"/>
        <v>0.3299428335196305</v>
      </c>
      <c r="I29" s="38">
        <f t="shared" ref="I29:J29" si="53">+I28/I19</f>
        <v>0.31664993467755198</v>
      </c>
      <c r="J29" s="38">
        <f t="shared" si="53"/>
        <v>0.1467556566118205</v>
      </c>
      <c r="K29" s="38">
        <f t="shared" ref="K29" si="54">+K28/K19</f>
        <v>0.24005222593326586</v>
      </c>
    </row>
    <row r="30" spans="1:11" ht="14.5" thickBot="1" x14ac:dyDescent="0.3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</row>
    <row r="31" spans="1:11" ht="14.5" thickTop="1" x14ac:dyDescent="0.3">
      <c r="C31" s="37"/>
      <c r="D31" s="37"/>
    </row>
    <row r="32" spans="1:11" x14ac:dyDescent="0.3">
      <c r="B32" s="42" t="s">
        <v>429</v>
      </c>
      <c r="C32" s="37">
        <v>8.25</v>
      </c>
      <c r="D32" s="37">
        <v>9.25</v>
      </c>
      <c r="E32" s="37">
        <v>10.25</v>
      </c>
      <c r="F32" s="37">
        <v>11.25</v>
      </c>
      <c r="G32" s="37">
        <v>12.25</v>
      </c>
      <c r="H32" s="37">
        <v>1.26</v>
      </c>
      <c r="I32" s="37">
        <v>2.2599999999999998</v>
      </c>
      <c r="J32" s="37">
        <v>3.26</v>
      </c>
      <c r="K32" s="37">
        <v>4.26</v>
      </c>
    </row>
    <row r="33" spans="1:11" x14ac:dyDescent="0.3">
      <c r="B33" s="35" t="s">
        <v>433</v>
      </c>
      <c r="C33" s="45">
        <f>+'הכנסות - מרכז'!I78</f>
        <v>1526301.6949152544</v>
      </c>
      <c r="D33" s="45">
        <f>+'הכנסות - מרכז'!J78</f>
        <v>1456677.9661016951</v>
      </c>
      <c r="E33" s="45">
        <f>+'הכנסות - מרכז'!K78</f>
        <v>1598972.0338983051</v>
      </c>
      <c r="F33" s="45">
        <f>+'הכנסות - מרכז'!L78</f>
        <v>1545136.4406779662</v>
      </c>
      <c r="G33" s="45">
        <f>+'הכנסות - מרכז'!M78</f>
        <v>1429006.779661017</v>
      </c>
      <c r="H33" s="45">
        <f>+'הכנסות - מרכז'!N78</f>
        <v>1568003.3898305085</v>
      </c>
      <c r="I33" s="45">
        <f>+'הכנסות - מרכז'!O78</f>
        <v>1465456.4456</v>
      </c>
      <c r="J33" s="45">
        <f>+'הכנסות - מרכז'!P78</f>
        <v>1360763.7382</v>
      </c>
      <c r="K33" s="45">
        <f>+'הכנסות - מרכז'!Q78</f>
        <v>1495000</v>
      </c>
    </row>
    <row r="34" spans="1:11" x14ac:dyDescent="0.3">
      <c r="B34" s="35" t="s">
        <v>434</v>
      </c>
      <c r="C34" s="35"/>
      <c r="D34" s="27">
        <f>+'נתוני כ"ס - חירום'!G97</f>
        <v>451826.8</v>
      </c>
      <c r="E34" s="27">
        <f>+'נתוני כ"ס - חירום'!H97</f>
        <v>423292</v>
      </c>
      <c r="F34" s="27">
        <f>+'נתוני כ"ס - חירום'!I97</f>
        <v>406374</v>
      </c>
      <c r="G34" s="27">
        <f>+'נתוני כ"ס - חירום'!J97</f>
        <v>532636</v>
      </c>
      <c r="H34" s="27">
        <f>+'נתוני כ"ס - חירום'!K97</f>
        <v>429896.03600000008</v>
      </c>
      <c r="I34" s="27">
        <f>+'נתוני כ"ס - חירום'!L97</f>
        <v>389279.60599999991</v>
      </c>
      <c r="J34" s="27">
        <f>+'נתוני כ"ס - חירום'!M97</f>
        <v>464606.64399999997</v>
      </c>
      <c r="K34" s="27">
        <f>+'נתוני כ"ס - חירום'!N97</f>
        <v>545856.87200000009</v>
      </c>
    </row>
    <row r="35" spans="1:11" x14ac:dyDescent="0.3">
      <c r="B35" s="36" t="s">
        <v>437</v>
      </c>
      <c r="C35" s="38">
        <f t="shared" ref="C35:H35" si="55">+C34/C33</f>
        <v>0</v>
      </c>
      <c r="D35" s="38">
        <f t="shared" si="55"/>
        <v>0.31017617518384061</v>
      </c>
      <c r="E35" s="38">
        <f t="shared" si="55"/>
        <v>0.26472758186271156</v>
      </c>
      <c r="F35" s="38">
        <f t="shared" si="55"/>
        <v>0.26300201671620244</v>
      </c>
      <c r="G35" s="38">
        <f t="shared" si="55"/>
        <v>0.37273161162072982</v>
      </c>
      <c r="H35" s="38">
        <f t="shared" si="55"/>
        <v>0.27416779758777765</v>
      </c>
      <c r="I35" s="38">
        <f t="shared" ref="I35:J35" si="56">+I34/I33</f>
        <v>0.26563710383123507</v>
      </c>
      <c r="J35" s="38">
        <f t="shared" si="56"/>
        <v>0.34143079430862511</v>
      </c>
      <c r="K35" s="38">
        <f t="shared" ref="K35" si="57">+K34/K33</f>
        <v>0.36512165351170572</v>
      </c>
    </row>
    <row r="36" spans="1:11" x14ac:dyDescent="0.3">
      <c r="B36" s="35" t="s">
        <v>435</v>
      </c>
      <c r="C36" s="35"/>
      <c r="D36" s="27">
        <f>+'נתוני כ"ס - חירום'!G96</f>
        <v>432916.00000000006</v>
      </c>
      <c r="E36" s="27">
        <f>+'נתוני כ"ס - חירום'!H96</f>
        <v>562197</v>
      </c>
      <c r="F36" s="27">
        <f>+'נתוני כ"ס - חירום'!I96</f>
        <v>434191</v>
      </c>
      <c r="G36" s="27">
        <f>+'נתוני כ"ס - חירום'!J96</f>
        <v>486971</v>
      </c>
      <c r="H36" s="27">
        <f>+'נתוני כ"ס - חירום'!K96</f>
        <v>418556.19099999976</v>
      </c>
      <c r="I36" s="27">
        <f>+'נתוני כ"ס - חירום'!L96</f>
        <v>410150.88600000017</v>
      </c>
      <c r="J36" s="27">
        <f>+'נתוני כ"ס - חירום'!M96</f>
        <v>439172.35299999942</v>
      </c>
      <c r="K36" s="27">
        <f>+'נתוני כ"ס - חירום'!N96</f>
        <v>558265.755</v>
      </c>
    </row>
    <row r="37" spans="1:11" x14ac:dyDescent="0.3">
      <c r="B37" s="35" t="s">
        <v>437</v>
      </c>
      <c r="C37" s="38">
        <f t="shared" ref="C37" si="58">+C36/C33</f>
        <v>0</v>
      </c>
      <c r="D37" s="38">
        <f t="shared" ref="D37" si="59">+D36/D33</f>
        <v>0.29719403332402494</v>
      </c>
      <c r="E37" s="38">
        <f>+E36/E33</f>
        <v>0.35159901992116754</v>
      </c>
      <c r="F37" s="38">
        <f t="shared" ref="F37:H37" si="60">+F36/F33</f>
        <v>0.28100495760069455</v>
      </c>
      <c r="G37" s="38">
        <f t="shared" si="60"/>
        <v>0.34077585000367683</v>
      </c>
      <c r="H37" s="38">
        <f t="shared" si="60"/>
        <v>0.2669357692174652</v>
      </c>
      <c r="I37" s="38">
        <f t="shared" ref="I37:J37" si="61">+I36/I33</f>
        <v>0.27987927395008494</v>
      </c>
      <c r="J37" s="38">
        <f t="shared" si="61"/>
        <v>0.32273960620153702</v>
      </c>
      <c r="K37" s="38">
        <f t="shared" ref="K37" si="62">+K36/K33</f>
        <v>0.37342190969899663</v>
      </c>
    </row>
    <row r="38" spans="1:11" x14ac:dyDescent="0.3">
      <c r="B38" s="35" t="s">
        <v>656</v>
      </c>
      <c r="C38" s="35"/>
      <c r="D38" s="142"/>
      <c r="E38" s="142"/>
      <c r="F38" s="142"/>
      <c r="G38" s="142"/>
      <c r="H38" s="142"/>
      <c r="I38" s="142"/>
      <c r="J38" s="142"/>
      <c r="K38" s="142"/>
    </row>
    <row r="39" spans="1:11" x14ac:dyDescent="0.3">
      <c r="B39" s="35" t="s">
        <v>437</v>
      </c>
      <c r="C39" s="179">
        <f t="shared" ref="C39:D39" si="63">+C38/C33</f>
        <v>0</v>
      </c>
      <c r="D39" s="179">
        <f t="shared" si="63"/>
        <v>0</v>
      </c>
      <c r="E39" s="179">
        <f>+E38/E33</f>
        <v>0</v>
      </c>
      <c r="F39" s="179">
        <f t="shared" ref="F39:H39" si="64">+F38/F33</f>
        <v>0</v>
      </c>
      <c r="G39" s="179">
        <f t="shared" si="64"/>
        <v>0</v>
      </c>
      <c r="H39" s="179">
        <f t="shared" si="64"/>
        <v>0</v>
      </c>
      <c r="I39" s="179">
        <f t="shared" ref="I39:J39" si="65">+I38/I33</f>
        <v>0</v>
      </c>
      <c r="J39" s="179">
        <f t="shared" si="65"/>
        <v>0</v>
      </c>
      <c r="K39" s="179">
        <f t="shared" ref="K39" si="66">+K38/K33</f>
        <v>0</v>
      </c>
    </row>
    <row r="40" spans="1:11" x14ac:dyDescent="0.3">
      <c r="B40" s="35" t="s">
        <v>436</v>
      </c>
      <c r="C40" s="35"/>
      <c r="D40" s="142"/>
      <c r="E40" s="142">
        <f>+'וטרמקט ואלסמד'!J5+'וטרמקט ואלסמד'!J6</f>
        <v>232255</v>
      </c>
      <c r="F40" s="142">
        <f>+'וטרמקט ואלסמד'!K5+'וטרמקט ואלסמד'!K6</f>
        <v>302662</v>
      </c>
      <c r="G40" s="142">
        <f>+'וטרמקט ואלסמד'!L5+'וטרמקט ואלסמד'!L6</f>
        <v>82318</v>
      </c>
      <c r="H40" s="142">
        <f>+'וטרמקט ואלסמד'!M5+'וטרמקט ואלסמד'!M6</f>
        <v>298774</v>
      </c>
      <c r="I40" s="142">
        <f>+'וטרמקט ואלסמד'!N5+'וטרמקט ואלסמד'!N6</f>
        <v>200620.33898305087</v>
      </c>
      <c r="J40" s="142">
        <f>+'וטמרקט ואלסמד 2-4.26'!L8</f>
        <v>279275.42372881359</v>
      </c>
      <c r="K40" s="142">
        <f>+'וטמרקט ואלסמד 2-4.26'!S9</f>
        <v>126859.32203389831</v>
      </c>
    </row>
    <row r="41" spans="1:11" x14ac:dyDescent="0.3">
      <c r="B41" s="35" t="s">
        <v>437</v>
      </c>
      <c r="C41" s="38">
        <f t="shared" ref="C41:D41" si="67">+C40/C33</f>
        <v>0</v>
      </c>
      <c r="D41" s="38">
        <f t="shared" si="67"/>
        <v>0</v>
      </c>
      <c r="E41" s="38">
        <f>+E40/E33</f>
        <v>0.14525269678029368</v>
      </c>
      <c r="F41" s="38">
        <f t="shared" ref="F41:H41" si="68">+F40/F33</f>
        <v>0.1958804362074327</v>
      </c>
      <c r="G41" s="38">
        <f t="shared" si="68"/>
        <v>5.7605045106592936E-2</v>
      </c>
      <c r="H41" s="38">
        <f t="shared" si="68"/>
        <v>0.19054423092305664</v>
      </c>
      <c r="I41" s="38">
        <f t="shared" ref="I41:J41" si="69">+I40/I33</f>
        <v>0.13689955753063077</v>
      </c>
      <c r="J41" s="38">
        <f t="shared" si="69"/>
        <v>0.20523432238004474</v>
      </c>
      <c r="K41" s="38">
        <f t="shared" ref="K41" si="70">+K40/K33</f>
        <v>8.4855733801938671E-2</v>
      </c>
    </row>
    <row r="42" spans="1:11" x14ac:dyDescent="0.3">
      <c r="B42" s="35" t="s">
        <v>719</v>
      </c>
      <c r="C42" s="27">
        <f t="shared" ref="C42:D42" si="71">+C33-C34-C36-C38-C40</f>
        <v>1526301.6949152544</v>
      </c>
      <c r="D42" s="27">
        <f t="shared" si="71"/>
        <v>571935.16610169504</v>
      </c>
      <c r="E42" s="27">
        <f>+E33-E34-E36-E38-E40</f>
        <v>381228.03389830515</v>
      </c>
      <c r="F42" s="27">
        <f t="shared" ref="F42:H42" si="72">+F33-F34-F36-F38-F40</f>
        <v>401909.44067796622</v>
      </c>
      <c r="G42" s="27">
        <f t="shared" si="72"/>
        <v>327081.779661017</v>
      </c>
      <c r="H42" s="27">
        <f t="shared" si="72"/>
        <v>420777.16283050866</v>
      </c>
      <c r="I42" s="27">
        <f t="shared" ref="I42:J42" si="73">+I33-I34-I36-I38-I40</f>
        <v>465405.61461694899</v>
      </c>
      <c r="J42" s="27">
        <f t="shared" si="73"/>
        <v>177709.31747118704</v>
      </c>
      <c r="K42" s="27">
        <f t="shared" ref="K42" si="74">+K33-K34-K36-K38-K40</f>
        <v>264018.05096610158</v>
      </c>
    </row>
    <row r="43" spans="1:11" x14ac:dyDescent="0.3">
      <c r="B43" s="35" t="s">
        <v>720</v>
      </c>
      <c r="C43" s="38">
        <f t="shared" ref="C43:D43" si="75">+C42/C33</f>
        <v>1</v>
      </c>
      <c r="D43" s="38">
        <f t="shared" si="75"/>
        <v>0.39262979149213445</v>
      </c>
      <c r="E43" s="38">
        <f>+E42/E33</f>
        <v>0.23842070143582719</v>
      </c>
      <c r="F43" s="38">
        <f t="shared" ref="F43:H43" si="76">+F42/F33</f>
        <v>0.26011258947567029</v>
      </c>
      <c r="G43" s="38">
        <f t="shared" si="76"/>
        <v>0.22888749326900043</v>
      </c>
      <c r="H43" s="38">
        <f t="shared" si="76"/>
        <v>0.26835220227170048</v>
      </c>
      <c r="I43" s="38">
        <f t="shared" ref="I43:J43" si="77">+I42/I33</f>
        <v>0.31758406468804917</v>
      </c>
      <c r="J43" s="38">
        <f t="shared" si="77"/>
        <v>0.13059527710979316</v>
      </c>
      <c r="K43" s="38">
        <f t="shared" ref="K43" si="78">+K42/K33</f>
        <v>0.17660070298735892</v>
      </c>
    </row>
    <row r="44" spans="1:11" ht="14.5" thickBot="1" x14ac:dyDescent="0.3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spans="1:11" ht="14.5" thickTop="1" x14ac:dyDescent="0.3"/>
    <row r="46" spans="1:11" x14ac:dyDescent="0.3">
      <c r="B46" s="42" t="s">
        <v>443</v>
      </c>
      <c r="C46" s="37">
        <v>8.25</v>
      </c>
      <c r="D46" s="37">
        <v>9.25</v>
      </c>
      <c r="E46" s="37">
        <v>10.25</v>
      </c>
      <c r="F46" s="37">
        <v>11.25</v>
      </c>
      <c r="G46" s="37">
        <v>12.25</v>
      </c>
      <c r="H46" s="37">
        <v>1.26</v>
      </c>
      <c r="I46" s="37">
        <v>2.2599999999999998</v>
      </c>
      <c r="J46" s="37">
        <v>3.26</v>
      </c>
      <c r="K46" s="37">
        <v>4.26</v>
      </c>
    </row>
    <row r="47" spans="1:11" x14ac:dyDescent="0.3">
      <c r="B47" s="35" t="s">
        <v>433</v>
      </c>
      <c r="C47" s="45">
        <f>+'הכנסות - מרכז'!I79</f>
        <v>764258.47152542369</v>
      </c>
      <c r="D47" s="45">
        <f>+'הכנסות - מרכז'!J79</f>
        <v>434802.54237288138</v>
      </c>
      <c r="E47" s="45">
        <f>+'הכנסות - מרכז'!K79</f>
        <v>475744.06779661018</v>
      </c>
      <c r="F47" s="45">
        <f>+'הכנסות - מרכז'!L79</f>
        <v>805726.27118644072</v>
      </c>
      <c r="G47" s="45">
        <f>+'הכנסות - מרכז'!M79</f>
        <v>550269.49152542371</v>
      </c>
      <c r="H47" s="45">
        <f>+'הכנסות - מרכז'!N79</f>
        <v>483768.64406779665</v>
      </c>
      <c r="I47" s="45">
        <f>+'הכנסות - מרכז'!O79</f>
        <v>412191.26319999999</v>
      </c>
      <c r="J47" s="45">
        <f>+'הכנסות - מרכז'!P79</f>
        <v>488269.97039999999</v>
      </c>
      <c r="K47" s="45">
        <f>+'הכנסות - מרכז'!Q79</f>
        <v>518000</v>
      </c>
    </row>
    <row r="48" spans="1:11" x14ac:dyDescent="0.3">
      <c r="B48" s="35" t="s">
        <v>434</v>
      </c>
      <c r="C48" s="35"/>
      <c r="D48" s="27">
        <f>+'נתוני כ"ס - נוירו '!G20</f>
        <v>121651</v>
      </c>
      <c r="E48" s="27">
        <f>+'נתוני כ"ס - נוירו '!H20+'רופאים בחשבונית'!U9</f>
        <v>109232</v>
      </c>
      <c r="F48" s="27">
        <f>+'נתוני כ"ס - נוירו '!I20+'רופאים בחשבונית'!V9</f>
        <v>122035</v>
      </c>
      <c r="G48" s="27">
        <f>+'נתוני כ"ס - נוירו '!J20+'רופאים בחשבונית'!W9</f>
        <v>131618</v>
      </c>
      <c r="H48" s="27">
        <f>+'נתוני כ"ס - נוירו '!K20+'רופאים בחשבונית'!X9</f>
        <v>134088.26</v>
      </c>
      <c r="I48" s="27">
        <f>+'נתוני כ"ס - נוירו '!L20+'רופאים בחשבונית'!Y9</f>
        <v>159341.08000000002</v>
      </c>
      <c r="J48" s="27">
        <f>+'נתוני כ"ס - נוירו '!M20+'רופאים בחשבונית'!Z9</f>
        <v>165055.09</v>
      </c>
      <c r="K48" s="27">
        <f>+'נתוני כ"ס - נוירו '!N20+'רופאים בחשבונית'!AA9</f>
        <v>172551.43</v>
      </c>
    </row>
    <row r="49" spans="1:12" x14ac:dyDescent="0.3">
      <c r="B49" s="36" t="s">
        <v>437</v>
      </c>
      <c r="C49" s="38">
        <f t="shared" ref="C49:D49" si="79">+C48/C47</f>
        <v>0</v>
      </c>
      <c r="D49" s="38">
        <f t="shared" si="79"/>
        <v>0.27978447259324807</v>
      </c>
      <c r="E49" s="38">
        <f>+E48/E47</f>
        <v>0.22960244256098386</v>
      </c>
      <c r="F49" s="38">
        <f t="shared" ref="F49:H49" si="80">+F48/F47</f>
        <v>0.15145962638192514</v>
      </c>
      <c r="G49" s="38">
        <f t="shared" si="80"/>
        <v>0.23918825598551097</v>
      </c>
      <c r="H49" s="38">
        <f t="shared" si="80"/>
        <v>0.27717435109582778</v>
      </c>
      <c r="I49" s="38">
        <f t="shared" ref="I49:J49" si="81">+I48/I47</f>
        <v>0.386570736029128</v>
      </c>
      <c r="J49" s="38">
        <f t="shared" si="81"/>
        <v>0.3380406332684841</v>
      </c>
      <c r="K49" s="38">
        <f t="shared" ref="K49" si="82">+K48/K47</f>
        <v>0.3331108687258687</v>
      </c>
    </row>
    <row r="50" spans="1:12" x14ac:dyDescent="0.3">
      <c r="B50" s="35" t="s">
        <v>435</v>
      </c>
      <c r="C50" s="35"/>
      <c r="D50" s="27">
        <f>+'נתוני כ"ס - נוירו '!G19</f>
        <v>72007</v>
      </c>
      <c r="E50" s="27">
        <f>+'נתוני כ"ס - נוירו '!H19</f>
        <v>85481</v>
      </c>
      <c r="F50" s="27">
        <f>+'נתוני כ"ס - נוירו '!I19</f>
        <v>91575</v>
      </c>
      <c r="G50" s="27">
        <f>+'נתוני כ"ס - נוירו '!J19</f>
        <v>93961</v>
      </c>
      <c r="H50" s="27">
        <f>+'נתוני כ"ס - נוירו '!K19</f>
        <v>100550.7</v>
      </c>
      <c r="I50" s="27">
        <f>+'נתוני כ"ס - נוירו '!L19</f>
        <v>99760.18</v>
      </c>
      <c r="J50" s="27">
        <f>+'נתוני כ"ס - נוירו '!M19</f>
        <v>90712.00999999998</v>
      </c>
      <c r="K50" s="27">
        <f>+'נתוני כ"ס - נוירו '!N19</f>
        <v>100527.62000000002</v>
      </c>
    </row>
    <row r="51" spans="1:12" x14ac:dyDescent="0.3">
      <c r="B51" s="35" t="s">
        <v>437</v>
      </c>
      <c r="C51" s="179">
        <f t="shared" ref="C51:D51" si="83">+C50/C47</f>
        <v>0</v>
      </c>
      <c r="D51" s="179">
        <f t="shared" si="83"/>
        <v>0.1656085072709802</v>
      </c>
      <c r="E51" s="179">
        <f>+E50/E47</f>
        <v>0.17967854101870753</v>
      </c>
      <c r="F51" s="179">
        <f t="shared" ref="F51:H51" si="84">+F50/F47</f>
        <v>0.1136552242055541</v>
      </c>
      <c r="G51" s="179">
        <f t="shared" si="84"/>
        <v>0.17075451473700098</v>
      </c>
      <c r="H51" s="179">
        <f t="shared" si="84"/>
        <v>0.20784873354856903</v>
      </c>
      <c r="I51" s="179">
        <f t="shared" ref="I51:J51" si="85">+I50/I47</f>
        <v>0.2420240041613769</v>
      </c>
      <c r="J51" s="179">
        <f t="shared" si="85"/>
        <v>0.18578248817081047</v>
      </c>
      <c r="K51" s="179">
        <f t="shared" ref="K51" si="86">+K50/K47</f>
        <v>0.19406876447876453</v>
      </c>
    </row>
    <row r="52" spans="1:12" x14ac:dyDescent="0.3">
      <c r="A52" t="s">
        <v>693</v>
      </c>
      <c r="B52" s="35" t="s">
        <v>656</v>
      </c>
      <c r="C52" s="35"/>
      <c r="D52" s="35"/>
      <c r="E52" s="142">
        <f>+'וטרמקט ואלסמד'!U136</f>
        <v>40339</v>
      </c>
      <c r="F52" s="142">
        <f>+'וטרמקט ואלסמד'!V136</f>
        <v>39746</v>
      </c>
      <c r="G52" s="142">
        <f>+'וטרמקט ואלסמד'!W136</f>
        <v>43838.881355932201</v>
      </c>
      <c r="H52" s="142">
        <f>+'וטרמקט ואלסמד'!X136</f>
        <v>50423</v>
      </c>
      <c r="I52" s="319">
        <f>+'וטמרקט ואלסמד 2-4.26'!B9</f>
        <v>43000</v>
      </c>
      <c r="J52" s="142">
        <f>+'וטמרקט ואלסמד 2-4.26'!K9</f>
        <v>38025.423728813563</v>
      </c>
      <c r="K52" s="142">
        <f>+'וטמרקט ואלסמד 2-4.26'!R10</f>
        <v>34406.762711864409</v>
      </c>
      <c r="L52" s="307"/>
    </row>
    <row r="53" spans="1:12" x14ac:dyDescent="0.3">
      <c r="B53" s="35" t="s">
        <v>437</v>
      </c>
      <c r="C53" s="38">
        <f t="shared" ref="C53:D53" si="87">+C52/C47</f>
        <v>0</v>
      </c>
      <c r="D53" s="38">
        <f t="shared" si="87"/>
        <v>0</v>
      </c>
      <c r="E53" s="38">
        <f>+E52/E47</f>
        <v>8.4791388333707404E-2</v>
      </c>
      <c r="F53" s="38">
        <f t="shared" ref="F53:H53" si="88">+F52/F47</f>
        <v>4.9329408040119607E-2</v>
      </c>
      <c r="G53" s="38">
        <f t="shared" si="88"/>
        <v>7.9668020908091261E-2</v>
      </c>
      <c r="H53" s="38">
        <f t="shared" si="88"/>
        <v>0.10422957464959962</v>
      </c>
      <c r="I53" s="38">
        <f t="shared" ref="I53:J53" si="89">+I52/I47</f>
        <v>0.10432050322021479</v>
      </c>
      <c r="J53" s="38">
        <f t="shared" si="89"/>
        <v>7.7877866823680378E-2</v>
      </c>
      <c r="K53" s="38">
        <f t="shared" ref="K53" si="90">+K52/K47</f>
        <v>6.6422321837576084E-2</v>
      </c>
    </row>
    <row r="54" spans="1:12" x14ac:dyDescent="0.3">
      <c r="B54" s="35" t="s">
        <v>436</v>
      </c>
      <c r="C54" s="35"/>
      <c r="D54" s="35"/>
      <c r="E54" s="27">
        <f>+'וטרמקט ואלסמד'!J3</f>
        <v>25750</v>
      </c>
      <c r="F54" s="27">
        <f>+'וטרמקט ואלסמד'!K3</f>
        <v>15569</v>
      </c>
      <c r="G54" s="27">
        <f>+'וטרמקט ואלסמד'!L3</f>
        <v>26108</v>
      </c>
      <c r="H54" s="27">
        <f>+'וטרמקט ואלסמד'!M3</f>
        <v>16373</v>
      </c>
      <c r="I54" s="27">
        <f>+'וטרמקט ואלסמד'!N3</f>
        <v>23022.033898305086</v>
      </c>
      <c r="J54" s="27">
        <f>+'וטמרקט ואלסמד 2-4.26'!L9</f>
        <v>9283.8983050847455</v>
      </c>
      <c r="K54" s="27">
        <f>+'וטמרקט ואלסמד 2-4.26'!S10</f>
        <v>17086.440677966104</v>
      </c>
    </row>
    <row r="55" spans="1:12" x14ac:dyDescent="0.3">
      <c r="B55" s="35" t="s">
        <v>437</v>
      </c>
      <c r="C55" s="38">
        <f t="shared" ref="C55:D55" si="91">+C54/C47</f>
        <v>0</v>
      </c>
      <c r="D55" s="38">
        <f t="shared" si="91"/>
        <v>0</v>
      </c>
      <c r="E55" s="38">
        <f>+E54/E47</f>
        <v>5.4125740588337981E-2</v>
      </c>
      <c r="F55" s="38">
        <f t="shared" ref="F55" si="92">+F54/F47</f>
        <v>1.9322939510305996E-2</v>
      </c>
      <c r="G55" s="38">
        <f t="shared" ref="G55" si="93">+G54/G47</f>
        <v>4.7445843176994941E-2</v>
      </c>
      <c r="H55" s="38">
        <f t="shared" ref="H55:I55" si="94">+H54/H47</f>
        <v>3.3844690433688887E-2</v>
      </c>
      <c r="I55" s="38">
        <f t="shared" si="94"/>
        <v>5.5852794451721623E-2</v>
      </c>
      <c r="J55" s="38">
        <f t="shared" ref="J55:K55" si="95">+J54/J47</f>
        <v>1.9013862960851762E-2</v>
      </c>
      <c r="K55" s="38">
        <f t="shared" si="95"/>
        <v>3.2985406714220275E-2</v>
      </c>
    </row>
    <row r="56" spans="1:12" x14ac:dyDescent="0.3">
      <c r="B56" s="35" t="s">
        <v>719</v>
      </c>
      <c r="C56" s="27">
        <f t="shared" ref="C56:D56" si="96">+C47-C48-C50-C52-C54</f>
        <v>764258.47152542369</v>
      </c>
      <c r="D56" s="27">
        <f t="shared" si="96"/>
        <v>241144.54237288138</v>
      </c>
      <c r="E56" s="27">
        <f>+E47-E48-E50-E52-E54</f>
        <v>214942.06779661018</v>
      </c>
      <c r="F56" s="27">
        <f t="shared" ref="F56:H56" si="97">+F47-F48-F50-F52-F54</f>
        <v>536801.27118644072</v>
      </c>
      <c r="G56" s="27">
        <f t="shared" si="97"/>
        <v>254743.6101694915</v>
      </c>
      <c r="H56" s="27">
        <f t="shared" si="97"/>
        <v>182333.68406779662</v>
      </c>
      <c r="I56" s="27">
        <f t="shared" ref="I56:J56" si="98">+I47-I48-I50-I52-I54</f>
        <v>87067.969301694888</v>
      </c>
      <c r="J56" s="27">
        <f t="shared" si="98"/>
        <v>185193.54836610175</v>
      </c>
      <c r="K56" s="27">
        <f t="shared" ref="K56" si="99">+K47-K48-K50-K52-K54</f>
        <v>193427.74661016947</v>
      </c>
    </row>
    <row r="57" spans="1:12" x14ac:dyDescent="0.3">
      <c r="B57" s="35" t="s">
        <v>720</v>
      </c>
      <c r="C57" s="38">
        <f t="shared" ref="C57:D57" si="100">+C56/C47</f>
        <v>1</v>
      </c>
      <c r="D57" s="38">
        <f t="shared" si="100"/>
        <v>0.55460702013577179</v>
      </c>
      <c r="E57" s="38">
        <f>+E56/E47</f>
        <v>0.45180188749826322</v>
      </c>
      <c r="F57" s="38">
        <f t="shared" ref="F57" si="101">+F56/F47</f>
        <v>0.66623280186209521</v>
      </c>
      <c r="G57" s="38">
        <f t="shared" ref="G57" si="102">+G56/G47</f>
        <v>0.46294336519240181</v>
      </c>
      <c r="H57" s="38">
        <f t="shared" ref="H57:I57" si="103">+H56/H47</f>
        <v>0.37690265027231468</v>
      </c>
      <c r="I57" s="38">
        <f t="shared" si="103"/>
        <v>0.21123196213755868</v>
      </c>
      <c r="J57" s="38">
        <f t="shared" ref="J57:K57" si="104">+J56/J47</f>
        <v>0.37928514877617336</v>
      </c>
      <c r="K57" s="38">
        <f t="shared" si="104"/>
        <v>0.37341263824357041</v>
      </c>
    </row>
    <row r="58" spans="1:12" ht="14.5" thickBot="1" x14ac:dyDescent="0.3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spans="1:12" ht="14.5" thickTop="1" x14ac:dyDescent="0.3"/>
    <row r="60" spans="1:12" x14ac:dyDescent="0.3">
      <c r="B60" s="42" t="s">
        <v>444</v>
      </c>
      <c r="C60" s="37">
        <v>8.25</v>
      </c>
      <c r="D60" s="37">
        <v>9.25</v>
      </c>
      <c r="E60" s="37">
        <v>10.25</v>
      </c>
      <c r="F60" s="37">
        <v>11.25</v>
      </c>
      <c r="G60" s="37">
        <v>12.25</v>
      </c>
      <c r="H60" s="37">
        <v>1.26</v>
      </c>
      <c r="I60" s="37">
        <v>2.2599999999999998</v>
      </c>
      <c r="J60" s="37">
        <v>3.26</v>
      </c>
      <c r="K60" s="37">
        <v>4.26</v>
      </c>
    </row>
    <row r="61" spans="1:12" x14ac:dyDescent="0.3">
      <c r="B61" s="35" t="s">
        <v>433</v>
      </c>
      <c r="C61" s="45">
        <f>+'הכנסות - מרכז'!I80</f>
        <v>473889.83050847461</v>
      </c>
      <c r="D61" s="45">
        <f>+'הכנסות - מרכז'!J80</f>
        <v>478566.94915254239</v>
      </c>
      <c r="E61" s="45">
        <f>+'הכנסות - מרכז'!K80</f>
        <v>464872.88135593222</v>
      </c>
      <c r="F61" s="45">
        <f>+'הכנסות - מרכז'!L80</f>
        <v>531811.01694915257</v>
      </c>
      <c r="G61" s="45">
        <f>+'הכנסות - מרכז'!M80</f>
        <v>560002.54237288143</v>
      </c>
      <c r="H61" s="45">
        <f>+'הכנסות - מרכז'!N80</f>
        <v>527280.50847457629</v>
      </c>
      <c r="I61" s="45">
        <f>+'הכנסות - מרכז'!O80</f>
        <v>566904.63020000001</v>
      </c>
      <c r="J61" s="45">
        <f>+'הכנסות - מרכז'!P80</f>
        <v>434486.94689999998</v>
      </c>
      <c r="K61" s="45">
        <f>+'הכנסות - מרכז'!Q80</f>
        <v>573000</v>
      </c>
    </row>
    <row r="62" spans="1:12" x14ac:dyDescent="0.3">
      <c r="B62" s="35" t="s">
        <v>434</v>
      </c>
      <c r="C62" s="35"/>
      <c r="D62" s="27">
        <f>+'נתוני כ"ס - הדמיה'!G18</f>
        <v>80367</v>
      </c>
      <c r="E62" s="27">
        <f>+'נתוני כ"ס - הדמיה'!H19</f>
        <v>110676</v>
      </c>
      <c r="F62" s="27">
        <f>+'נתוני כ"ס - הדמיה'!I19</f>
        <v>103929</v>
      </c>
      <c r="G62" s="27">
        <f>+'נתוני כ"ס - הדמיה'!J19</f>
        <v>107995</v>
      </c>
      <c r="H62" s="27">
        <f>+'נתוני כ"ס - הדמיה'!K19</f>
        <v>108203.59</v>
      </c>
      <c r="I62" s="27">
        <f>+'נתוני כ"ס - הדמיה'!L19</f>
        <v>101957.04000000001</v>
      </c>
      <c r="J62" s="27">
        <f>+'נתוני כ"ס - הדמיה'!M19</f>
        <v>95977.360000000059</v>
      </c>
      <c r="K62" s="27">
        <f>+'נתוני כ"ס - הדמיה'!N19</f>
        <v>110199.87</v>
      </c>
    </row>
    <row r="63" spans="1:12" x14ac:dyDescent="0.3">
      <c r="B63" s="36" t="s">
        <v>437</v>
      </c>
      <c r="C63" s="38">
        <f t="shared" ref="C63:D63" si="105">+C62/C61</f>
        <v>0</v>
      </c>
      <c r="D63" s="38">
        <f t="shared" si="105"/>
        <v>0.16793261662201239</v>
      </c>
      <c r="E63" s="38">
        <f>+E62/E61</f>
        <v>0.23807798742138364</v>
      </c>
      <c r="F63" s="38">
        <f t="shared" ref="F63:H63" si="106">+F62/F61</f>
        <v>0.19542468412221112</v>
      </c>
      <c r="G63" s="38">
        <f t="shared" si="106"/>
        <v>0.19284733876813512</v>
      </c>
      <c r="H63" s="38">
        <f t="shared" si="106"/>
        <v>0.20521067678574584</v>
      </c>
      <c r="I63" s="38">
        <f>+I62/I61</f>
        <v>0.17984866337046898</v>
      </c>
      <c r="J63" s="38">
        <f>+J62/J61</f>
        <v>0.22089814362614185</v>
      </c>
      <c r="K63" s="38">
        <f>+K62/K61</f>
        <v>0.192320890052356</v>
      </c>
    </row>
    <row r="64" spans="1:12" x14ac:dyDescent="0.3">
      <c r="B64" s="35" t="s">
        <v>435</v>
      </c>
      <c r="C64" s="35"/>
      <c r="D64" s="27">
        <f>+'נתוני כ"ס - הדמיה'!G19</f>
        <v>104136</v>
      </c>
      <c r="E64" s="27">
        <f>+'נתוני כ"ס - הדמיה'!H18</f>
        <v>87452</v>
      </c>
      <c r="F64" s="27">
        <f>+'נתוני כ"ס - הדמיה'!I18</f>
        <v>80906</v>
      </c>
      <c r="G64" s="27">
        <f>+'נתוני כ"ס - הדמיה'!J18</f>
        <v>100337</v>
      </c>
      <c r="H64" s="27">
        <f>+'נתוני כ"ס - הדמיה'!K18</f>
        <v>83375.49000000002</v>
      </c>
      <c r="I64" s="27">
        <f>+'נתוני כ"ס - הדמיה'!L18</f>
        <v>86193.030000000028</v>
      </c>
      <c r="J64" s="27">
        <f>+'נתוני כ"ס - הדמיה'!M18</f>
        <v>66168.050000000032</v>
      </c>
      <c r="K64" s="27">
        <f>+'נתוני כ"ס - הדמיה'!N18</f>
        <v>92245.9</v>
      </c>
    </row>
    <row r="65" spans="1:14" x14ac:dyDescent="0.3">
      <c r="B65" s="35" t="s">
        <v>437</v>
      </c>
      <c r="C65" s="38">
        <f t="shared" ref="C65:D65" si="107">+C64/C61</f>
        <v>0</v>
      </c>
      <c r="D65" s="38">
        <f t="shared" si="107"/>
        <v>0.21759964866860629</v>
      </c>
      <c r="E65" s="38">
        <f>+E64/E61</f>
        <v>0.18812024428037552</v>
      </c>
      <c r="F65" s="38">
        <f t="shared" ref="F65:H65" si="108">+F64/F61</f>
        <v>0.15213298976793399</v>
      </c>
      <c r="G65" s="38">
        <f t="shared" si="108"/>
        <v>0.17917240085169103</v>
      </c>
      <c r="H65" s="38">
        <f t="shared" si="108"/>
        <v>0.15812359580900401</v>
      </c>
      <c r="I65" s="38">
        <f>+I64/I61</f>
        <v>0.15204149941338763</v>
      </c>
      <c r="J65" s="38">
        <f>+J64/J61</f>
        <v>0.15229007562160216</v>
      </c>
      <c r="K65" s="38">
        <f>+K64/K61</f>
        <v>0.16098760907504361</v>
      </c>
    </row>
    <row r="66" spans="1:14" x14ac:dyDescent="0.3">
      <c r="A66" t="s">
        <v>693</v>
      </c>
      <c r="B66" s="35" t="s">
        <v>656</v>
      </c>
      <c r="C66" s="35"/>
      <c r="D66" s="35"/>
      <c r="E66" s="142">
        <f>+'וטרמקט ואלסמד'!U137</f>
        <v>13500</v>
      </c>
      <c r="F66" s="142">
        <f>+'וטרמקט ואלסמד'!V137</f>
        <v>10500</v>
      </c>
      <c r="G66" s="142">
        <f>+'וטרמקט ואלסמד'!W137</f>
        <v>12750</v>
      </c>
      <c r="H66" s="142">
        <f>+'וטרמקט ואלסמד'!X137</f>
        <v>13750</v>
      </c>
      <c r="I66" s="142">
        <f>+'וטרמקט ואלסמד'!Y137</f>
        <v>10500</v>
      </c>
      <c r="J66" s="142">
        <f>+'וטמרקט ואלסמד 2-4.26'!K11</f>
        <v>12650</v>
      </c>
      <c r="K66" s="142">
        <f>+'וטמרקט ואלסמד 2-4.26'!R12</f>
        <v>9250</v>
      </c>
      <c r="L66" s="31"/>
      <c r="M66" s="31"/>
    </row>
    <row r="67" spans="1:14" x14ac:dyDescent="0.3">
      <c r="B67" s="35" t="s">
        <v>437</v>
      </c>
      <c r="C67" s="179">
        <f t="shared" ref="C67:D67" si="109">+C66/C61</f>
        <v>0</v>
      </c>
      <c r="D67" s="179">
        <f t="shared" si="109"/>
        <v>0</v>
      </c>
      <c r="E67" s="179">
        <f>+E66/E61</f>
        <v>2.904019688269073E-2</v>
      </c>
      <c r="F67" s="179">
        <f t="shared" ref="F67:H67" si="110">+F66/F61</f>
        <v>1.9743855740777038E-2</v>
      </c>
      <c r="G67" s="179">
        <f t="shared" si="110"/>
        <v>2.276775377835754E-2</v>
      </c>
      <c r="H67" s="179">
        <f t="shared" si="110"/>
        <v>2.607720137385465E-2</v>
      </c>
      <c r="I67" s="179">
        <f>+I66/I61</f>
        <v>1.8521633870401927E-2</v>
      </c>
      <c r="J67" s="179">
        <f t="shared" ref="J67:K67" si="111">+J66/J61</f>
        <v>2.9114798707431552E-2</v>
      </c>
      <c r="K67" s="179">
        <f t="shared" si="111"/>
        <v>1.6143106457242581E-2</v>
      </c>
      <c r="L67" s="307"/>
      <c r="M67" s="307"/>
      <c r="N67" s="307"/>
    </row>
    <row r="68" spans="1:14" x14ac:dyDescent="0.3">
      <c r="B68" s="35" t="s">
        <v>436</v>
      </c>
      <c r="C68" s="35"/>
      <c r="D68" s="35"/>
      <c r="E68" s="27">
        <f>+'וטרמקט ואלסמד'!J2</f>
        <v>5609</v>
      </c>
      <c r="F68" s="27">
        <f>+'וטרמקט ואלסמד'!K2</f>
        <v>5777</v>
      </c>
      <c r="G68" s="27">
        <f>+'וטרמקט ואלסמד'!L2</f>
        <v>3228</v>
      </c>
      <c r="H68" s="27">
        <f>+'וטרמקט ואלסמד'!M2</f>
        <v>7894</v>
      </c>
      <c r="I68" s="27">
        <f>+'וטרמקט ואלסמד'!N2</f>
        <v>19785.593220338986</v>
      </c>
      <c r="J68" s="27">
        <f>+'וטמרקט ואלסמד 2-4.26'!L11</f>
        <v>1749.1525423728815</v>
      </c>
      <c r="K68" s="27">
        <f>+'וטמרקט ואלסמד 2-4.26'!S12</f>
        <v>5995.7627118644068</v>
      </c>
    </row>
    <row r="69" spans="1:14" x14ac:dyDescent="0.3">
      <c r="B69" s="35" t="s">
        <v>437</v>
      </c>
      <c r="C69" s="38">
        <f t="shared" ref="C69:D69" si="112">+C68/C61</f>
        <v>0</v>
      </c>
      <c r="D69" s="38">
        <f t="shared" si="112"/>
        <v>0</v>
      </c>
      <c r="E69" s="38">
        <f>+E68/E61</f>
        <v>1.2065664023334245E-2</v>
      </c>
      <c r="F69" s="38">
        <f t="shared" ref="F69:H69" si="113">+F68/F61</f>
        <v>1.0862881391854184E-2</v>
      </c>
      <c r="G69" s="38">
        <f t="shared" si="113"/>
        <v>5.7642595448265206E-3</v>
      </c>
      <c r="H69" s="38">
        <f t="shared" si="113"/>
        <v>1.4971158374196991E-2</v>
      </c>
      <c r="I69" s="38">
        <f t="shared" ref="I69:J69" si="114">+I68/I61</f>
        <v>3.490109652722146E-2</v>
      </c>
      <c r="J69" s="38">
        <f t="shared" si="114"/>
        <v>4.0257884727097695E-3</v>
      </c>
      <c r="K69" s="38">
        <f t="shared" ref="K69" si="115">+K68/K61</f>
        <v>1.0463809270269471E-2</v>
      </c>
    </row>
    <row r="70" spans="1:14" x14ac:dyDescent="0.3">
      <c r="B70" s="35" t="s">
        <v>719</v>
      </c>
      <c r="C70" s="27">
        <f t="shared" ref="C70:D70" si="116">+C61-C62-C64-C66-C68</f>
        <v>473889.83050847461</v>
      </c>
      <c r="D70" s="27">
        <f t="shared" si="116"/>
        <v>294063.94915254239</v>
      </c>
      <c r="E70" s="27">
        <f>+E61-E62-E64-E66-E68</f>
        <v>247635.88135593222</v>
      </c>
      <c r="F70" s="27">
        <f t="shared" ref="F70:H70" si="117">+F61-F62-F64-F66-F68</f>
        <v>330699.01694915257</v>
      </c>
      <c r="G70" s="27">
        <f t="shared" si="117"/>
        <v>335692.54237288143</v>
      </c>
      <c r="H70" s="27">
        <f t="shared" si="117"/>
        <v>314057.42847457633</v>
      </c>
      <c r="I70" s="27">
        <f>+I61-I62-I64-I66-I68</f>
        <v>348468.96697966097</v>
      </c>
      <c r="J70" s="27">
        <f>+J61-J62-J64-J66-J68</f>
        <v>257942.38435762702</v>
      </c>
      <c r="K70" s="27">
        <f>+K61-K62-K64-K66-K68</f>
        <v>355308.46728813555</v>
      </c>
    </row>
    <row r="71" spans="1:14" x14ac:dyDescent="0.3">
      <c r="B71" s="35" t="s">
        <v>720</v>
      </c>
      <c r="C71" s="38">
        <f t="shared" ref="C71:D71" si="118">+C70/C61</f>
        <v>1</v>
      </c>
      <c r="D71" s="38">
        <f t="shared" si="118"/>
        <v>0.61446773470938132</v>
      </c>
      <c r="E71" s="38">
        <f>+E70/E61</f>
        <v>0.53269590739221584</v>
      </c>
      <c r="F71" s="38">
        <f t="shared" ref="F71:H71" si="119">+F70/F61</f>
        <v>0.62183558897722369</v>
      </c>
      <c r="G71" s="38">
        <f t="shared" si="119"/>
        <v>0.59944824705698985</v>
      </c>
      <c r="H71" s="38">
        <f t="shared" si="119"/>
        <v>0.59561736765719864</v>
      </c>
      <c r="I71" s="38">
        <f t="shared" ref="I71:J71" si="120">+I70/I61</f>
        <v>0.61468710681852001</v>
      </c>
      <c r="J71" s="38">
        <f t="shared" si="120"/>
        <v>0.59367119357211473</v>
      </c>
      <c r="K71" s="38">
        <f t="shared" ref="K71" si="121">+K70/K61</f>
        <v>0.62008458514508824</v>
      </c>
    </row>
    <row r="72" spans="1:14" ht="14.5" thickBot="1" x14ac:dyDescent="0.3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spans="1:14" ht="14.5" thickTop="1" x14ac:dyDescent="0.3"/>
    <row r="74" spans="1:14" x14ac:dyDescent="0.3">
      <c r="B74" s="42" t="s">
        <v>445</v>
      </c>
      <c r="C74" s="37">
        <v>8.25</v>
      </c>
      <c r="D74" s="37">
        <v>9.25</v>
      </c>
      <c r="E74" s="37">
        <v>10.25</v>
      </c>
      <c r="F74" s="37">
        <v>11.25</v>
      </c>
      <c r="G74" s="37">
        <v>12.25</v>
      </c>
      <c r="H74" s="37">
        <v>1.26</v>
      </c>
      <c r="I74" s="37">
        <v>2.2599999999999998</v>
      </c>
      <c r="J74" s="37">
        <v>3.26</v>
      </c>
      <c r="K74" s="37">
        <v>4.26</v>
      </c>
    </row>
    <row r="75" spans="1:14" x14ac:dyDescent="0.3">
      <c r="B75" s="35" t="s">
        <v>433</v>
      </c>
      <c r="C75" s="45">
        <f>+'הכנסות - מרכז'!I81</f>
        <v>561457.62711864407</v>
      </c>
      <c r="D75" s="45">
        <f>+'הכנסות - מרכז'!J81</f>
        <v>443380.50847457629</v>
      </c>
      <c r="E75" s="45">
        <f>+'הכנסות - מרכז'!K81</f>
        <v>592930.50847457629</v>
      </c>
      <c r="F75" s="45">
        <f>+'הכנסות - מרכז'!L81</f>
        <v>639583.05084745761</v>
      </c>
      <c r="G75" s="45">
        <f>+'הכנסות - מרכז'!M81</f>
        <v>620245.76271186443</v>
      </c>
      <c r="H75" s="45">
        <f>+'הכנסות - מרכז'!N81</f>
        <v>655839.83050847461</v>
      </c>
      <c r="I75" s="45">
        <f>+'הכנסות - מרכז'!O81</f>
        <v>602694.77099999995</v>
      </c>
      <c r="J75" s="45">
        <f>+'הכנסות - מרכז'!P81</f>
        <v>612690.80449999997</v>
      </c>
      <c r="K75" s="45">
        <f>+'הכנסות - מרכז'!Q81</f>
        <v>565000</v>
      </c>
    </row>
    <row r="76" spans="1:14" x14ac:dyDescent="0.3">
      <c r="B76" s="35" t="s">
        <v>434</v>
      </c>
      <c r="C76" s="35"/>
      <c r="D76" s="45">
        <f>+'נתוני כ"ס - כירורגיה'!G26</f>
        <v>79061</v>
      </c>
      <c r="E76" s="45">
        <f>+'נתוני כ"ס - כירורגיה'!H26+'רופאים בחשבונית'!U8</f>
        <v>102525</v>
      </c>
      <c r="F76" s="45">
        <f>+'נתוני כ"ס - כירורגיה'!I26+'רופאים בחשבונית'!V8</f>
        <v>79509</v>
      </c>
      <c r="G76" s="45">
        <f>+'נתוני כ"ס - כירורגיה'!J26+'רופאים בחשבונית'!W8</f>
        <v>79626</v>
      </c>
      <c r="H76" s="45">
        <f>+'נתוני כ"ס - כירורגיה'!K26+'רופאים בחשבונית'!X8</f>
        <v>87817.20983050848</v>
      </c>
      <c r="I76" s="45">
        <f>+'נתוני כ"ס - כירורגיה'!L26+'רופאים בחשבונית'!Y8</f>
        <v>100785.16186440678</v>
      </c>
      <c r="J76" s="45">
        <f>+'נתוני כ"ס - כירורגיה'!M26+'רופאים בחשבונית'!Z8</f>
        <v>444879.14999999997</v>
      </c>
      <c r="K76" s="45">
        <f>+'נתוני כ"ס - כירורגיה'!N26+'רופאים בחשבונית'!AA8</f>
        <v>110914.75</v>
      </c>
    </row>
    <row r="77" spans="1:14" x14ac:dyDescent="0.3">
      <c r="B77" s="36" t="s">
        <v>437</v>
      </c>
      <c r="C77" s="38">
        <f>+C76/C75</f>
        <v>0</v>
      </c>
      <c r="D77" s="38">
        <f>+D76/D75</f>
        <v>0.17831410828591579</v>
      </c>
      <c r="E77" s="38">
        <f>+E76/E75</f>
        <v>0.17291233717044613</v>
      </c>
      <c r="F77" s="38">
        <f t="shared" ref="F77:H77" si="122">+F76/F75</f>
        <v>0.12431380083422994</v>
      </c>
      <c r="G77" s="38">
        <f t="shared" si="122"/>
        <v>0.12837814425665059</v>
      </c>
      <c r="H77" s="38">
        <f t="shared" si="122"/>
        <v>0.1339003911403544</v>
      </c>
      <c r="I77" s="38">
        <f t="shared" ref="I77:J77" si="123">+I76/I75</f>
        <v>0.16722421815139124</v>
      </c>
      <c r="J77" s="38">
        <f t="shared" si="123"/>
        <v>0.72610711101344749</v>
      </c>
      <c r="K77" s="38">
        <f t="shared" ref="K77" si="124">+K76/K75</f>
        <v>0.19630929203539824</v>
      </c>
    </row>
    <row r="78" spans="1:14" x14ac:dyDescent="0.3">
      <c r="B78" s="35" t="s">
        <v>435</v>
      </c>
      <c r="C78" s="35"/>
      <c r="D78" s="45">
        <f>+'נתוני כ"ס - כירורגיה'!G25</f>
        <v>130249</v>
      </c>
      <c r="E78" s="45">
        <f>+'נתוני כ"ס - כירורגיה'!H25</f>
        <v>134458</v>
      </c>
      <c r="F78" s="45">
        <f>+'נתוני כ"ס - כירורגיה'!I25</f>
        <v>160344</v>
      </c>
      <c r="G78" s="45">
        <f>+'נתוני כ"ס - כירורגיה'!J25</f>
        <v>142842</v>
      </c>
      <c r="H78" s="45">
        <f>+'נתוני כ"ס - כירורגיה'!K25</f>
        <v>112476.88</v>
      </c>
      <c r="I78" s="45">
        <f>+'נתוני כ"ס - כירורגיה'!L25</f>
        <v>100238.45</v>
      </c>
      <c r="J78" s="45">
        <f>+'נתוני כ"ס - כירורגיה'!M25</f>
        <v>112866.00999999995</v>
      </c>
      <c r="K78" s="45">
        <f>+'נתוני כ"ס - כירורגיה'!N25</f>
        <v>150519.47</v>
      </c>
    </row>
    <row r="79" spans="1:14" x14ac:dyDescent="0.3">
      <c r="B79" s="35" t="s">
        <v>437</v>
      </c>
      <c r="C79" s="38">
        <f t="shared" ref="C79:D79" si="125">+C78/C75</f>
        <v>0</v>
      </c>
      <c r="D79" s="38">
        <f t="shared" si="125"/>
        <v>0.29376347744314196</v>
      </c>
      <c r="E79" s="38">
        <f>+E78/E75</f>
        <v>0.22676856406987414</v>
      </c>
      <c r="F79" s="38">
        <f t="shared" ref="F79:H79" si="126">+F78/F75</f>
        <v>0.25070082733984533</v>
      </c>
      <c r="G79" s="38">
        <f t="shared" si="126"/>
        <v>0.23029903400784271</v>
      </c>
      <c r="H79" s="38">
        <f t="shared" si="126"/>
        <v>0.17150053224549711</v>
      </c>
      <c r="I79" s="38">
        <f t="shared" ref="I79:J79" si="127">+I78/I75</f>
        <v>0.16631710581076206</v>
      </c>
      <c r="J79" s="38">
        <f t="shared" si="127"/>
        <v>0.18421365094928555</v>
      </c>
      <c r="K79" s="38">
        <f t="shared" ref="K79" si="128">+K78/K75</f>
        <v>0.26640614159292036</v>
      </c>
    </row>
    <row r="80" spans="1:14" x14ac:dyDescent="0.3">
      <c r="B80" s="35" t="s">
        <v>656</v>
      </c>
      <c r="C80" s="35"/>
      <c r="D80" s="35"/>
      <c r="E80" s="142"/>
      <c r="F80" s="142"/>
      <c r="G80" s="142"/>
      <c r="H80" s="142"/>
      <c r="I80" s="142"/>
      <c r="J80" s="142"/>
      <c r="K80" s="142"/>
    </row>
    <row r="81" spans="1:11" x14ac:dyDescent="0.3">
      <c r="B81" s="35" t="s">
        <v>437</v>
      </c>
      <c r="C81" s="179">
        <f t="shared" ref="C81:D81" si="129">+C80/C75</f>
        <v>0</v>
      </c>
      <c r="D81" s="179">
        <f t="shared" si="129"/>
        <v>0</v>
      </c>
      <c r="E81" s="179">
        <f>+E80/E75</f>
        <v>0</v>
      </c>
      <c r="F81" s="179">
        <f t="shared" ref="F81:H81" si="130">+F80/F75</f>
        <v>0</v>
      </c>
      <c r="G81" s="179">
        <f t="shared" si="130"/>
        <v>0</v>
      </c>
      <c r="H81" s="179">
        <f t="shared" si="130"/>
        <v>0</v>
      </c>
      <c r="I81" s="179">
        <f t="shared" ref="I81:J81" si="131">+I80/I75</f>
        <v>0</v>
      </c>
      <c r="J81" s="179">
        <f t="shared" si="131"/>
        <v>0</v>
      </c>
      <c r="K81" s="179">
        <f t="shared" ref="K81" si="132">+K80/K75</f>
        <v>0</v>
      </c>
    </row>
    <row r="82" spans="1:11" x14ac:dyDescent="0.3">
      <c r="B82" s="35" t="s">
        <v>436</v>
      </c>
      <c r="C82" s="35"/>
      <c r="D82" s="35"/>
      <c r="E82" s="27">
        <f>+'וטרמקט ואלסמד'!J4</f>
        <v>5432</v>
      </c>
      <c r="F82" s="27">
        <f>+'וטרמקט ואלסמד'!K4</f>
        <v>35296</v>
      </c>
      <c r="G82" s="27">
        <f>+'וטרמקט ואלסמד'!L4</f>
        <v>25613</v>
      </c>
      <c r="H82" s="27">
        <f>+'וטרמקט ואלסמד'!M4</f>
        <v>62332</v>
      </c>
      <c r="I82" s="27">
        <f>+'וטרמקט ואלסמד'!N4</f>
        <v>21000</v>
      </c>
      <c r="J82" s="27">
        <f>+'וטמרקט ואלסמד 2-4.26'!L10</f>
        <v>40215.254237288136</v>
      </c>
      <c r="K82" s="27">
        <f>+'וטמרקט ואלסמד 2-4.26'!S11</f>
        <v>32888.983050847462</v>
      </c>
    </row>
    <row r="83" spans="1:11" x14ac:dyDescent="0.3">
      <c r="B83" s="35" t="s">
        <v>437</v>
      </c>
      <c r="C83" s="38">
        <f t="shared" ref="C83:D83" si="133">+C82/C75</f>
        <v>0</v>
      </c>
      <c r="D83" s="38">
        <f t="shared" si="133"/>
        <v>0</v>
      </c>
      <c r="E83" s="38">
        <f>+E82/E75</f>
        <v>9.161275937672405E-3</v>
      </c>
      <c r="F83" s="38">
        <f t="shared" ref="F83:H83" si="134">+F82/F75</f>
        <v>5.5185952712837286E-2</v>
      </c>
      <c r="G83" s="38">
        <f t="shared" si="134"/>
        <v>4.1294921367965129E-2</v>
      </c>
      <c r="H83" s="38">
        <f t="shared" si="134"/>
        <v>9.5041498092108573E-2</v>
      </c>
      <c r="I83" s="38">
        <f t="shared" ref="I83:J83" si="135">+I82/I75</f>
        <v>3.4843507875730352E-2</v>
      </c>
      <c r="J83" s="38">
        <f t="shared" si="135"/>
        <v>6.5637110826408912E-2</v>
      </c>
      <c r="K83" s="38">
        <f t="shared" ref="K83" si="136">+K82/K75</f>
        <v>5.8210589470526479E-2</v>
      </c>
    </row>
    <row r="84" spans="1:11" x14ac:dyDescent="0.3">
      <c r="B84" s="35" t="s">
        <v>719</v>
      </c>
      <c r="C84" s="27">
        <f t="shared" ref="C84:D84" si="137">+C75-C76-C78-C80-C82</f>
        <v>561457.62711864407</v>
      </c>
      <c r="D84" s="27">
        <f t="shared" si="137"/>
        <v>234070.50847457629</v>
      </c>
      <c r="E84" s="27">
        <f>+E75-E76-E78-E80-E82</f>
        <v>350515.50847457629</v>
      </c>
      <c r="F84" s="27">
        <f t="shared" ref="F84:H84" si="138">+F75-F76-F78-F80-F82</f>
        <v>364434.05084745761</v>
      </c>
      <c r="G84" s="27">
        <f t="shared" si="138"/>
        <v>372164.76271186443</v>
      </c>
      <c r="H84" s="27">
        <f t="shared" si="138"/>
        <v>393213.74067796615</v>
      </c>
      <c r="I84" s="27">
        <f t="shared" ref="I84:J84" si="139">+I75-I76-I78-I80-I82</f>
        <v>380671.15913559316</v>
      </c>
      <c r="J84" s="27">
        <f t="shared" si="139"/>
        <v>14730.390262711917</v>
      </c>
      <c r="K84" s="27">
        <f t="shared" ref="K84" si="140">+K75-K76-K78-K80-K82</f>
        <v>270676.79694915254</v>
      </c>
    </row>
    <row r="85" spans="1:11" x14ac:dyDescent="0.3">
      <c r="B85" s="35" t="s">
        <v>720</v>
      </c>
      <c r="C85" s="38">
        <f t="shared" ref="C85:D85" si="141">+C84/C75</f>
        <v>1</v>
      </c>
      <c r="D85" s="38">
        <f t="shared" si="141"/>
        <v>0.52792241427094222</v>
      </c>
      <c r="E85" s="38">
        <f>+E84/E75</f>
        <v>0.59115782282200735</v>
      </c>
      <c r="F85" s="38">
        <f t="shared" ref="F85:H85" si="142">+F84/F75</f>
        <v>0.5697994191130874</v>
      </c>
      <c r="G85" s="38">
        <f t="shared" si="142"/>
        <v>0.60002790036754161</v>
      </c>
      <c r="H85" s="38">
        <f t="shared" si="142"/>
        <v>0.59955757852203995</v>
      </c>
      <c r="I85" s="38">
        <f t="shared" ref="I85:J85" si="143">+I84/I75</f>
        <v>0.63161516816211638</v>
      </c>
      <c r="J85" s="38">
        <f t="shared" si="143"/>
        <v>2.404212721085798E-2</v>
      </c>
      <c r="K85" s="38">
        <f t="shared" ref="K85" si="144">+K84/K75</f>
        <v>0.47907397690115494</v>
      </c>
    </row>
    <row r="86" spans="1:11" ht="14.5" thickBot="1" x14ac:dyDescent="0.3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spans="1:11" ht="14.5" thickTop="1" x14ac:dyDescent="0.3"/>
    <row r="88" spans="1:11" x14ac:dyDescent="0.3">
      <c r="B88" s="42" t="s">
        <v>489</v>
      </c>
      <c r="C88" s="37">
        <v>8.25</v>
      </c>
      <c r="D88" s="37">
        <v>9.25</v>
      </c>
      <c r="E88" s="37">
        <v>10.25</v>
      </c>
      <c r="F88" s="37">
        <v>11.25</v>
      </c>
      <c r="G88" s="37">
        <v>12.25</v>
      </c>
      <c r="H88" s="37">
        <v>1.26</v>
      </c>
      <c r="I88" s="37">
        <v>2.2599999999999998</v>
      </c>
      <c r="J88" s="37">
        <v>3.26</v>
      </c>
      <c r="K88" s="37">
        <v>4.26</v>
      </c>
    </row>
    <row r="89" spans="1:11" x14ac:dyDescent="0.3">
      <c r="B89" s="35" t="s">
        <v>433</v>
      </c>
      <c r="C89" s="45">
        <f>+'הכנסות - מרכז'!I83</f>
        <v>167715.25423728814</v>
      </c>
      <c r="D89" s="45">
        <f>+'הכנסות - מרכז'!J83</f>
        <v>93927.966101694925</v>
      </c>
      <c r="E89" s="45">
        <f>+'הכנסות - מרכז'!K83</f>
        <v>111235.59322033898</v>
      </c>
      <c r="F89" s="45">
        <f>+'הכנסות - מרכז'!L83</f>
        <v>164369.49152542374</v>
      </c>
      <c r="G89" s="45">
        <f>+'הכנסות - מרכז'!M83</f>
        <v>177805.93220338985</v>
      </c>
      <c r="H89" s="45">
        <f>+'הכנסות - מרכז'!N83</f>
        <v>183636.44067796611</v>
      </c>
      <c r="I89" s="45">
        <f>+'הכנסות - מרכז'!O83</f>
        <v>164691.97</v>
      </c>
      <c r="J89" s="45">
        <f>+'הכנסות - מרכז'!P83</f>
        <v>133941.22</v>
      </c>
      <c r="K89" s="45">
        <f>+'הכנסות - מרכז'!Q83</f>
        <v>141000</v>
      </c>
    </row>
    <row r="90" spans="1:11" x14ac:dyDescent="0.3">
      <c r="B90" s="35" t="s">
        <v>434</v>
      </c>
      <c r="C90" s="35"/>
      <c r="D90" s="27">
        <f>+'נתוני כ"ס - קרדיולוגיה'!G8</f>
        <v>31568</v>
      </c>
      <c r="E90" s="27">
        <f>+'נתוני כ"ס - קרדיולוגיה'!H8+'רופאים בחשבונית'!U5</f>
        <v>70731.37</v>
      </c>
      <c r="F90" s="27">
        <f>+'נתוני כ"ס - קרדיולוגיה'!I8+'רופאים בחשבונית'!V5</f>
        <v>76089.100000000006</v>
      </c>
      <c r="G90" s="27">
        <f>+'נתוני כ"ס - קרדיולוגיה'!J8+'רופאים בחשבונית'!W5</f>
        <v>106567.95</v>
      </c>
      <c r="H90" s="27">
        <f>+'נתוני כ"ס - קרדיולוגיה'!K8+'רופאים בחשבונית'!X5</f>
        <v>107385.32169491526</v>
      </c>
      <c r="I90" s="27">
        <f>+'נתוני כ"ס - קרדיולוגיה'!L8+'רופאים בחשבונית'!Y5</f>
        <v>95710.059661016945</v>
      </c>
      <c r="J90" s="27">
        <f>+'נתוני כ"ס - קרדיולוגיה'!M8+'רופאים בחשבונית'!Z5</f>
        <v>78217.877118644072</v>
      </c>
      <c r="K90" s="27">
        <f>+'נתוני כ"ס - קרדיולוגיה'!N8+'רופאים בחשבונית'!AA5</f>
        <v>98729.135932203397</v>
      </c>
    </row>
    <row r="91" spans="1:11" x14ac:dyDescent="0.3">
      <c r="B91" s="36" t="s">
        <v>437</v>
      </c>
      <c r="C91" s="38">
        <f t="shared" ref="C91:D91" si="145">+C90/C89</f>
        <v>0</v>
      </c>
      <c r="D91" s="38">
        <f t="shared" si="145"/>
        <v>0.3360873370325258</v>
      </c>
      <c r="E91" s="38">
        <f>+E90/E89</f>
        <v>0.63586994011793563</v>
      </c>
      <c r="F91" s="38">
        <f t="shared" ref="F91:H91" si="146">+F90/F89</f>
        <v>0.4629149807172761</v>
      </c>
      <c r="G91" s="38">
        <f t="shared" si="146"/>
        <v>0.59934980053476694</v>
      </c>
      <c r="H91" s="38">
        <f t="shared" si="146"/>
        <v>0.5847713084530507</v>
      </c>
      <c r="I91" s="38">
        <f t="shared" ref="I91:J91" si="147">+I90/I89</f>
        <v>0.58114587894611347</v>
      </c>
      <c r="J91" s="38">
        <f t="shared" si="147"/>
        <v>0.58397166397800526</v>
      </c>
      <c r="K91" s="38">
        <f t="shared" ref="K91" si="148">+K90/K89</f>
        <v>0.7002066378170454</v>
      </c>
    </row>
    <row r="92" spans="1:11" x14ac:dyDescent="0.3">
      <c r="B92" s="35" t="s">
        <v>435</v>
      </c>
      <c r="C92" s="27"/>
      <c r="D92" s="27">
        <f>+'נתוני כ"ס - קרדיולוגיה'!G7</f>
        <v>7949</v>
      </c>
      <c r="E92" s="27">
        <f>+'נתוני כ"ס - קרדיולוגיה'!H7</f>
        <v>7525</v>
      </c>
      <c r="F92" s="27">
        <f>+'נתוני כ"ס - קרדיולוגיה'!I7</f>
        <v>7927</v>
      </c>
      <c r="G92" s="27">
        <f>+'נתוני כ"ס - קרדיולוגיה'!J7</f>
        <v>8758</v>
      </c>
      <c r="H92" s="27">
        <f>+'נתוני כ"ס - קרדיולוגיה'!K7</f>
        <v>6798.6900000000023</v>
      </c>
      <c r="I92" s="27">
        <f>+'נתוני כ"ס - קרדיולוגיה'!L7</f>
        <v>5773.1100000000006</v>
      </c>
      <c r="J92" s="27">
        <f>+'נתוני כ"ס - קרדיולוגיה'!M7</f>
        <v>5130.57</v>
      </c>
      <c r="K92" s="27">
        <f>+'נתוני כ"ס - קרדיולוגיה'!N7</f>
        <v>4867.7099999999991</v>
      </c>
    </row>
    <row r="93" spans="1:11" x14ac:dyDescent="0.3">
      <c r="B93" s="35" t="s">
        <v>437</v>
      </c>
      <c r="C93" s="38">
        <f t="shared" ref="C93:D93" si="149">+C92/C89</f>
        <v>0</v>
      </c>
      <c r="D93" s="38">
        <f t="shared" si="149"/>
        <v>8.4628682275454489E-2</v>
      </c>
      <c r="E93" s="38">
        <f>+E92/E89</f>
        <v>6.764920995291715E-2</v>
      </c>
      <c r="F93" s="38">
        <f t="shared" ref="F93:H93" si="150">+F92/F89</f>
        <v>4.8226711212852394E-2</v>
      </c>
      <c r="G93" s="38">
        <f t="shared" si="150"/>
        <v>4.9255949402080917E-2</v>
      </c>
      <c r="H93" s="38">
        <f t="shared" si="150"/>
        <v>3.7022553774729926E-2</v>
      </c>
      <c r="I93" s="38">
        <f t="shared" ref="I93:J93" si="151">+I92/I89</f>
        <v>3.5053985935076255E-2</v>
      </c>
      <c r="J93" s="38">
        <f t="shared" si="151"/>
        <v>3.8304638407803064E-2</v>
      </c>
      <c r="K93" s="38">
        <f t="shared" ref="K93" si="152">+K92/K89</f>
        <v>3.4522765957446799E-2</v>
      </c>
    </row>
    <row r="94" spans="1:11" x14ac:dyDescent="0.3">
      <c r="B94" s="35" t="s">
        <v>656</v>
      </c>
      <c r="C94" s="142"/>
      <c r="D94" s="142"/>
      <c r="E94" s="142"/>
      <c r="F94" s="142"/>
      <c r="G94" s="142"/>
      <c r="H94" s="142"/>
      <c r="I94" s="142"/>
      <c r="J94" s="142"/>
      <c r="K94" s="142"/>
    </row>
    <row r="95" spans="1:11" x14ac:dyDescent="0.3">
      <c r="B95" s="35" t="s">
        <v>437</v>
      </c>
      <c r="C95" s="179">
        <f t="shared" ref="C95:D95" si="153">+C94/C89</f>
        <v>0</v>
      </c>
      <c r="D95" s="179">
        <f t="shared" si="153"/>
        <v>0</v>
      </c>
      <c r="E95" s="179">
        <f>+E94/E89</f>
        <v>0</v>
      </c>
      <c r="F95" s="179">
        <f t="shared" ref="F95:H95" si="154">+F94/F89</f>
        <v>0</v>
      </c>
      <c r="G95" s="179">
        <f t="shared" si="154"/>
        <v>0</v>
      </c>
      <c r="H95" s="179">
        <f t="shared" si="154"/>
        <v>0</v>
      </c>
      <c r="I95" s="179">
        <f t="shared" ref="I95:J95" si="155">+I94/I89</f>
        <v>0</v>
      </c>
      <c r="J95" s="179">
        <f t="shared" si="155"/>
        <v>0</v>
      </c>
      <c r="K95" s="179">
        <f t="shared" ref="K95" si="156">+K94/K89</f>
        <v>0</v>
      </c>
    </row>
    <row r="96" spans="1:11" x14ac:dyDescent="0.3">
      <c r="B96" s="35" t="s">
        <v>436</v>
      </c>
      <c r="C96" s="142"/>
      <c r="D96" s="142">
        <v>0</v>
      </c>
      <c r="E96" s="142">
        <v>0</v>
      </c>
      <c r="F96" s="142">
        <v>0</v>
      </c>
      <c r="G96" s="142">
        <v>0</v>
      </c>
      <c r="H96" s="142">
        <v>0</v>
      </c>
      <c r="I96" s="142">
        <v>0</v>
      </c>
      <c r="J96" s="27">
        <v>0</v>
      </c>
      <c r="K96" s="27">
        <v>0</v>
      </c>
    </row>
    <row r="97" spans="1:11" x14ac:dyDescent="0.3">
      <c r="B97" s="35" t="s">
        <v>437</v>
      </c>
      <c r="C97" s="179">
        <f t="shared" ref="C97:D97" si="157">+C96/C89</f>
        <v>0</v>
      </c>
      <c r="D97" s="179">
        <f t="shared" si="157"/>
        <v>0</v>
      </c>
      <c r="E97" s="179">
        <f>+E96/E89</f>
        <v>0</v>
      </c>
      <c r="F97" s="179">
        <f t="shared" ref="F97:H97" si="158">+F96/F89</f>
        <v>0</v>
      </c>
      <c r="G97" s="179">
        <f t="shared" si="158"/>
        <v>0</v>
      </c>
      <c r="H97" s="179">
        <f t="shared" si="158"/>
        <v>0</v>
      </c>
      <c r="I97" s="179">
        <f t="shared" ref="I97:J97" si="159">+I96/I89</f>
        <v>0</v>
      </c>
      <c r="J97" s="179">
        <f t="shared" si="159"/>
        <v>0</v>
      </c>
      <c r="K97" s="179">
        <f t="shared" ref="K97" si="160">+K96/K89</f>
        <v>0</v>
      </c>
    </row>
    <row r="98" spans="1:11" x14ac:dyDescent="0.3">
      <c r="B98" s="35" t="s">
        <v>719</v>
      </c>
      <c r="C98" s="27">
        <f t="shared" ref="C98:D98" si="161">+C89-C90-C92-C94-C96</f>
        <v>167715.25423728814</v>
      </c>
      <c r="D98" s="27">
        <f t="shared" si="161"/>
        <v>54410.966101694925</v>
      </c>
      <c r="E98" s="27">
        <f>+E89-E90-E92-E94-E96</f>
        <v>32979.223220338987</v>
      </c>
      <c r="F98" s="27">
        <f t="shared" ref="F98:H98" si="162">+F89-F90-F92-F94-F96</f>
        <v>80353.391525423736</v>
      </c>
      <c r="G98" s="27">
        <f t="shared" si="162"/>
        <v>62479.982203389853</v>
      </c>
      <c r="H98" s="27">
        <f t="shared" si="162"/>
        <v>69452.42898305085</v>
      </c>
      <c r="I98" s="27">
        <f t="shared" ref="I98:J98" si="163">+I89-I90-I92-I94-I96</f>
        <v>63208.800338983056</v>
      </c>
      <c r="J98" s="27">
        <f t="shared" si="163"/>
        <v>50592.77288135593</v>
      </c>
      <c r="K98" s="27">
        <f t="shared" ref="K98" si="164">+K89-K90-K92-K94-K96</f>
        <v>37403.154067796604</v>
      </c>
    </row>
    <row r="99" spans="1:11" x14ac:dyDescent="0.3">
      <c r="B99" s="35" t="s">
        <v>720</v>
      </c>
      <c r="C99" s="38">
        <f t="shared" ref="C99:D99" si="165">+C98/C89</f>
        <v>1</v>
      </c>
      <c r="D99" s="38">
        <f t="shared" si="165"/>
        <v>0.5792839806920197</v>
      </c>
      <c r="E99" s="38">
        <f>+E98/E89</f>
        <v>0.29648084992914719</v>
      </c>
      <c r="F99" s="38">
        <f t="shared" ref="F99:H99" si="166">+F98/F89</f>
        <v>0.48885830806987152</v>
      </c>
      <c r="G99" s="38">
        <f t="shared" si="166"/>
        <v>0.35139425006315217</v>
      </c>
      <c r="H99" s="38">
        <f t="shared" si="166"/>
        <v>0.37820613777221945</v>
      </c>
      <c r="I99" s="38">
        <f t="shared" ref="I99:J99" si="167">+I98/I89</f>
        <v>0.38380013511881034</v>
      </c>
      <c r="J99" s="38">
        <f t="shared" si="167"/>
        <v>0.37772369761419172</v>
      </c>
      <c r="K99" s="38">
        <f t="shared" ref="K99" si="168">+K98/K89</f>
        <v>0.2652705962255078</v>
      </c>
    </row>
    <row r="100" spans="1:11" ht="14.5" thickBot="1" x14ac:dyDescent="0.3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spans="1:11" ht="14.5" thickTop="1" x14ac:dyDescent="0.3"/>
    <row r="102" spans="1:11" x14ac:dyDescent="0.3">
      <c r="B102" s="42" t="s">
        <v>490</v>
      </c>
      <c r="C102" s="37">
        <v>8.25</v>
      </c>
      <c r="D102" s="37">
        <v>9.25</v>
      </c>
      <c r="E102" s="37">
        <v>10.25</v>
      </c>
      <c r="F102" s="37">
        <v>11.25</v>
      </c>
      <c r="G102" s="37">
        <v>12.25</v>
      </c>
      <c r="H102" s="37">
        <v>1.26</v>
      </c>
      <c r="I102" s="37">
        <v>2.2599999999999998</v>
      </c>
      <c r="J102" s="37">
        <v>3.26</v>
      </c>
      <c r="K102" s="37">
        <v>4.26</v>
      </c>
    </row>
    <row r="103" spans="1:11" x14ac:dyDescent="0.3">
      <c r="B103" s="35" t="s">
        <v>433</v>
      </c>
      <c r="C103" s="27">
        <f>+'הכנסות - מרכז'!I84</f>
        <v>156231.35593220341</v>
      </c>
      <c r="D103" s="27">
        <f>+'הכנסות - מרכז'!J84</f>
        <v>173355.08474576272</v>
      </c>
      <c r="E103" s="27">
        <f>+'הכנסות - מרכז'!K84</f>
        <v>165305.93220338985</v>
      </c>
      <c r="F103" s="27">
        <f>+'הכנסות - מרכז'!L84</f>
        <v>218676.27118644069</v>
      </c>
      <c r="G103" s="27">
        <f>+'הכנסות - מרכז'!M84</f>
        <v>235970.33898305087</v>
      </c>
      <c r="H103" s="27">
        <f>+'הכנסות - מרכז'!N84</f>
        <v>172527.11864406781</v>
      </c>
      <c r="I103" s="27">
        <f>+'הכנסות - מרכז'!O84</f>
        <v>196056.2</v>
      </c>
      <c r="J103" s="27">
        <f>+'הכנסות - מרכז'!P84</f>
        <v>167499.39135593222</v>
      </c>
      <c r="K103" s="27">
        <f>+'הכנסות - מרכז'!Q84</f>
        <v>185000</v>
      </c>
    </row>
    <row r="104" spans="1:11" x14ac:dyDescent="0.3">
      <c r="B104" s="35" t="s">
        <v>434</v>
      </c>
      <c r="C104" s="35"/>
      <c r="D104" s="27">
        <v>0</v>
      </c>
      <c r="E104" s="27">
        <f>+'רופאים בחשבונית'!U4</f>
        <v>142355.93</v>
      </c>
      <c r="F104" s="27">
        <f>+'רופאים בחשבונית'!V4</f>
        <v>160729.66</v>
      </c>
      <c r="G104" s="27">
        <f>+'רופאים בחשבונית'!W4</f>
        <v>180990.68</v>
      </c>
      <c r="H104" s="27">
        <f>+'רופאים בחשבונית'!X4</f>
        <v>142633.89830508476</v>
      </c>
      <c r="I104" s="27">
        <f>+'רופאים בחשבונית'!Y4</f>
        <v>156339.30508474578</v>
      </c>
      <c r="J104" s="27">
        <f>+'רופאים בחשבונית'!Z4</f>
        <v>125261.86440677967</v>
      </c>
      <c r="K104" s="27">
        <f>+'רופאים בחשבונית'!AA4</f>
        <v>192828.81355932204</v>
      </c>
    </row>
    <row r="105" spans="1:11" x14ac:dyDescent="0.3">
      <c r="B105" s="36" t="s">
        <v>437</v>
      </c>
      <c r="C105" s="38">
        <f t="shared" ref="C105:D105" si="169">+C104/C103</f>
        <v>0</v>
      </c>
      <c r="D105" s="38">
        <f t="shared" si="169"/>
        <v>0</v>
      </c>
      <c r="E105" s="38">
        <f>+E104/E103</f>
        <v>0.86116649355842512</v>
      </c>
      <c r="F105" s="38">
        <f t="shared" ref="F105:H105" si="170">+F104/F103</f>
        <v>0.73501189282198742</v>
      </c>
      <c r="G105" s="38">
        <f t="shared" si="170"/>
        <v>0.76700606008367889</v>
      </c>
      <c r="H105" s="38">
        <f t="shared" si="170"/>
        <v>0.82673320824041419</v>
      </c>
      <c r="I105" s="38">
        <f t="shared" ref="I105:J105" si="171">+I104/I103</f>
        <v>0.79742086751016172</v>
      </c>
      <c r="J105" s="38">
        <f t="shared" si="171"/>
        <v>0.74783474371319469</v>
      </c>
      <c r="K105" s="38">
        <f t="shared" ref="K105" si="172">+K104/K103</f>
        <v>1.0423179111314704</v>
      </c>
    </row>
    <row r="106" spans="1:11" x14ac:dyDescent="0.3">
      <c r="B106" s="35" t="s">
        <v>435</v>
      </c>
      <c r="C106" s="27"/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1</v>
      </c>
      <c r="J106" s="27">
        <v>2</v>
      </c>
      <c r="K106" s="27">
        <v>3</v>
      </c>
    </row>
    <row r="107" spans="1:11" x14ac:dyDescent="0.3">
      <c r="B107" s="35" t="s">
        <v>437</v>
      </c>
      <c r="C107" s="38">
        <f t="shared" ref="C107:D107" si="173">+C106/C103</f>
        <v>0</v>
      </c>
      <c r="D107" s="38">
        <f t="shared" si="173"/>
        <v>0</v>
      </c>
      <c r="E107" s="38">
        <f>+E106/E103</f>
        <v>0</v>
      </c>
      <c r="F107" s="38">
        <f t="shared" ref="F107:G107" si="174">+F106/F103</f>
        <v>0</v>
      </c>
      <c r="G107" s="38">
        <f t="shared" si="174"/>
        <v>0</v>
      </c>
      <c r="H107" s="38">
        <f>+H106/H103</f>
        <v>0</v>
      </c>
      <c r="I107" s="38">
        <f>+I106/I103</f>
        <v>5.1005783035680581E-6</v>
      </c>
      <c r="J107" s="38">
        <f>+J106/J103</f>
        <v>1.1940341895034398E-5</v>
      </c>
      <c r="K107" s="38">
        <f>+K106/K103</f>
        <v>1.6216216216216215E-5</v>
      </c>
    </row>
    <row r="108" spans="1:11" x14ac:dyDescent="0.3">
      <c r="B108" s="35" t="s">
        <v>656</v>
      </c>
      <c r="C108" s="142"/>
      <c r="D108" s="142"/>
      <c r="E108" s="142"/>
      <c r="F108" s="142"/>
      <c r="G108" s="142"/>
      <c r="H108" s="142"/>
      <c r="I108" s="142"/>
      <c r="J108" s="142"/>
      <c r="K108" s="142"/>
    </row>
    <row r="109" spans="1:11" x14ac:dyDescent="0.3">
      <c r="B109" s="35" t="s">
        <v>437</v>
      </c>
      <c r="C109" s="179">
        <f t="shared" ref="C109:D109" si="175">+C108/C103</f>
        <v>0</v>
      </c>
      <c r="D109" s="179">
        <f t="shared" si="175"/>
        <v>0</v>
      </c>
      <c r="E109" s="179">
        <f>+E108/E103</f>
        <v>0</v>
      </c>
      <c r="F109" s="179">
        <f t="shared" ref="F109:H109" si="176">+F108/F103</f>
        <v>0</v>
      </c>
      <c r="G109" s="179">
        <f t="shared" si="176"/>
        <v>0</v>
      </c>
      <c r="H109" s="179">
        <f t="shared" si="176"/>
        <v>0</v>
      </c>
      <c r="I109" s="179">
        <f t="shared" ref="I109:J109" si="177">+I108/I103</f>
        <v>0</v>
      </c>
      <c r="J109" s="179">
        <f t="shared" si="177"/>
        <v>0</v>
      </c>
      <c r="K109" s="179">
        <f t="shared" ref="K109" si="178">+K108/K103</f>
        <v>0</v>
      </c>
    </row>
    <row r="110" spans="1:11" x14ac:dyDescent="0.3">
      <c r="B110" s="35" t="s">
        <v>436</v>
      </c>
      <c r="C110" s="27"/>
      <c r="D110" s="27">
        <v>0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</row>
    <row r="111" spans="1:11" x14ac:dyDescent="0.3">
      <c r="B111" s="35" t="s">
        <v>437</v>
      </c>
      <c r="C111" s="38">
        <f t="shared" ref="C111:D111" si="179">+C110/C103</f>
        <v>0</v>
      </c>
      <c r="D111" s="38">
        <f t="shared" si="179"/>
        <v>0</v>
      </c>
      <c r="E111" s="38">
        <f>+E110/E103</f>
        <v>0</v>
      </c>
      <c r="F111" s="38">
        <f t="shared" ref="F111:H111" si="180">+F110/F103</f>
        <v>0</v>
      </c>
      <c r="G111" s="38">
        <f t="shared" si="180"/>
        <v>0</v>
      </c>
      <c r="H111" s="38">
        <f t="shared" si="180"/>
        <v>0</v>
      </c>
      <c r="I111" s="38">
        <f t="shared" ref="I111:J111" si="181">+I110/I103</f>
        <v>0</v>
      </c>
      <c r="J111" s="38">
        <f t="shared" si="181"/>
        <v>0</v>
      </c>
      <c r="K111" s="38">
        <f t="shared" ref="K111" si="182">+K110/K103</f>
        <v>0</v>
      </c>
    </row>
    <row r="112" spans="1:11" x14ac:dyDescent="0.3">
      <c r="B112" s="35" t="s">
        <v>719</v>
      </c>
      <c r="C112" s="27">
        <f t="shared" ref="C112:D112" si="183">+C103-C104-C106-C108-C110</f>
        <v>156231.35593220341</v>
      </c>
      <c r="D112" s="27">
        <f t="shared" si="183"/>
        <v>173355.08474576272</v>
      </c>
      <c r="E112" s="27">
        <f>+E103-E104-E106-E108-E110</f>
        <v>22950.002203389857</v>
      </c>
      <c r="F112" s="27">
        <f t="shared" ref="F112:H112" si="184">+F103-F104-F106-F108-F110</f>
        <v>57946.611186440685</v>
      </c>
      <c r="G112" s="27">
        <f t="shared" si="184"/>
        <v>54979.658983050875</v>
      </c>
      <c r="H112" s="27">
        <f t="shared" si="184"/>
        <v>29893.220338983054</v>
      </c>
      <c r="I112" s="27">
        <f t="shared" ref="I112:J112" si="185">+I103-I104-I106-I108-I110</f>
        <v>39715.894915254234</v>
      </c>
      <c r="J112" s="27">
        <f t="shared" si="185"/>
        <v>42235.526949152554</v>
      </c>
      <c r="K112" s="27">
        <f t="shared" ref="K112" si="186">+K103-K104-K106-K108-K110</f>
        <v>-7831.8135593220359</v>
      </c>
    </row>
    <row r="113" spans="1:11" x14ac:dyDescent="0.3">
      <c r="B113" s="35" t="s">
        <v>720</v>
      </c>
      <c r="C113" s="38">
        <f t="shared" ref="C113:D113" si="187">+C112/C103</f>
        <v>1</v>
      </c>
      <c r="D113" s="38">
        <f t="shared" si="187"/>
        <v>1</v>
      </c>
      <c r="E113" s="38">
        <f>+E112/E103</f>
        <v>0.13883350644157483</v>
      </c>
      <c r="F113" s="38">
        <f t="shared" ref="F113:H113" si="188">+F112/F103</f>
        <v>0.26498810717801258</v>
      </c>
      <c r="G113" s="38">
        <f t="shared" si="188"/>
        <v>0.23299393991632109</v>
      </c>
      <c r="H113" s="38">
        <f t="shared" si="188"/>
        <v>0.17326679175958581</v>
      </c>
      <c r="I113" s="38">
        <f t="shared" ref="I113:J113" si="189">+I112/I103</f>
        <v>0.2025740319115347</v>
      </c>
      <c r="J113" s="38">
        <f t="shared" si="189"/>
        <v>0.25215331594491031</v>
      </c>
      <c r="K113" s="38">
        <f t="shared" ref="K113" si="190">+K112/K103</f>
        <v>-4.2334127347686677E-2</v>
      </c>
    </row>
    <row r="114" spans="1:11" ht="14.5" thickBot="1" x14ac:dyDescent="0.3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spans="1:11" ht="14.5" thickTop="1" x14ac:dyDescent="0.3"/>
    <row r="116" spans="1:11" x14ac:dyDescent="0.3">
      <c r="B116" s="42" t="s">
        <v>491</v>
      </c>
      <c r="C116" s="37">
        <v>8.25</v>
      </c>
      <c r="D116" s="37">
        <v>9.25</v>
      </c>
      <c r="E116" s="37">
        <v>10.25</v>
      </c>
      <c r="F116" s="37">
        <v>11.25</v>
      </c>
      <c r="G116" s="37">
        <v>12.25</v>
      </c>
      <c r="H116" s="37">
        <v>1.26</v>
      </c>
      <c r="I116" s="37">
        <v>2.2599999999999998</v>
      </c>
      <c r="J116" s="37">
        <v>3.26</v>
      </c>
      <c r="K116" s="37">
        <v>4.26</v>
      </c>
    </row>
    <row r="117" spans="1:11" x14ac:dyDescent="0.3">
      <c r="B117" s="35" t="s">
        <v>433</v>
      </c>
      <c r="C117" s="27">
        <f>+'הכנסות - מרכז'!I85</f>
        <v>64957.627118644072</v>
      </c>
      <c r="D117" s="27">
        <f>+'הכנסות - מרכז'!J85</f>
        <v>46516.949152542373</v>
      </c>
      <c r="E117" s="27">
        <f>+'הכנסות - מרכז'!K85</f>
        <v>103983.05084745763</v>
      </c>
      <c r="F117" s="27">
        <f>+'הכנסות - מרכז'!L85</f>
        <v>133347.45762711865</v>
      </c>
      <c r="G117" s="27">
        <f>+'הכנסות - מרכז'!M85</f>
        <v>136186.44067796611</v>
      </c>
      <c r="H117" s="27">
        <f>+'הכנסות - מרכז'!N85</f>
        <v>125381.3559322034</v>
      </c>
      <c r="I117" s="27">
        <f>+'הכנסות - מרכז'!O85</f>
        <v>127245</v>
      </c>
      <c r="J117" s="27">
        <f>+'הכנסות - מרכז'!P85</f>
        <v>117228.27</v>
      </c>
      <c r="K117" s="27">
        <f>+'הכנסות - מרכז'!Q85</f>
        <v>125000</v>
      </c>
    </row>
    <row r="118" spans="1:11" x14ac:dyDescent="0.3">
      <c r="B118" s="35" t="s">
        <v>434</v>
      </c>
      <c r="C118" s="35"/>
      <c r="D118" s="27">
        <f>+'נתוני כ"ס - הרדמה'!G10</f>
        <v>35048</v>
      </c>
      <c r="E118" s="27">
        <f>+'נתוני כ"ס - הרדמה'!H10</f>
        <v>51466</v>
      </c>
      <c r="F118" s="27">
        <f>+'נתוני כ"ס - הרדמה'!I10</f>
        <v>59215</v>
      </c>
      <c r="G118" s="27">
        <f>+'נתוני כ"ס - הרדמה'!J10</f>
        <v>54094</v>
      </c>
      <c r="H118" s="27">
        <f>+'נתוני כ"ס - הרדמה'!K10</f>
        <v>51741.72</v>
      </c>
      <c r="I118" s="27">
        <f>+'נתוני כ"ס - הרדמה'!L10</f>
        <v>56467.869999999995</v>
      </c>
      <c r="J118" s="27">
        <f>+'נתוני כ"ס - הרדמה'!M10</f>
        <v>34799.14</v>
      </c>
      <c r="K118" s="27">
        <f>+'נתוני כ"ס - הרדמה'!N10</f>
        <v>56396.56</v>
      </c>
    </row>
    <row r="119" spans="1:11" x14ac:dyDescent="0.3">
      <c r="B119" s="36" t="s">
        <v>437</v>
      </c>
      <c r="C119" s="38">
        <f t="shared" ref="C119:D119" si="191">+C118/C117</f>
        <v>0</v>
      </c>
      <c r="D119" s="38">
        <f t="shared" si="191"/>
        <v>0.75344580069229372</v>
      </c>
      <c r="E119" s="38">
        <f>+E118/E117</f>
        <v>0.4949460472697636</v>
      </c>
      <c r="F119" s="38">
        <f t="shared" ref="F119:H119" si="192">+F118/F117</f>
        <v>0.44406545916746104</v>
      </c>
      <c r="G119" s="38">
        <f t="shared" si="192"/>
        <v>0.39720547604231488</v>
      </c>
      <c r="H119" s="38">
        <f t="shared" si="192"/>
        <v>0.41267475228117606</v>
      </c>
      <c r="I119" s="38">
        <f t="shared" ref="I119:J119" si="193">+I118/I117</f>
        <v>0.44377280050296669</v>
      </c>
      <c r="J119" s="38">
        <f t="shared" si="193"/>
        <v>0.29684938624446133</v>
      </c>
      <c r="K119" s="38">
        <f t="shared" ref="K119" si="194">+K118/K117</f>
        <v>0.45117247999999999</v>
      </c>
    </row>
    <row r="120" spans="1:11" x14ac:dyDescent="0.3">
      <c r="B120" s="35" t="s">
        <v>435</v>
      </c>
      <c r="C120" s="27"/>
      <c r="D120" s="27">
        <f>+'נתוני כ"ס - הרדמה'!G9</f>
        <v>3454</v>
      </c>
      <c r="E120" s="27">
        <f>+'נתוני כ"ס - הרדמה'!H9</f>
        <v>2313</v>
      </c>
      <c r="F120" s="27">
        <f>+'נתוני כ"ס - הרדמה'!I9</f>
        <v>4807</v>
      </c>
      <c r="G120" s="27">
        <f>+'נתוני כ"ס - הרדמה'!J9</f>
        <v>3773</v>
      </c>
      <c r="H120" s="27">
        <f>+'נתוני כ"ס - הרדמה'!K9</f>
        <v>5077.4700000000012</v>
      </c>
      <c r="I120" s="27">
        <f>+'נתוני כ"ס - הרדמה'!L9</f>
        <v>5196.8700000000026</v>
      </c>
      <c r="J120" s="27">
        <f>+'נתוני כ"ס - הרדמה'!M9</f>
        <v>4864.8399999999965</v>
      </c>
      <c r="K120" s="27">
        <f>+'נתוני כ"ס - הרדמה'!N9</f>
        <v>6383.3099999999977</v>
      </c>
    </row>
    <row r="121" spans="1:11" x14ac:dyDescent="0.3">
      <c r="B121" s="35" t="s">
        <v>437</v>
      </c>
      <c r="C121" s="38">
        <f t="shared" ref="C121:D121" si="195">+C120/C117</f>
        <v>0</v>
      </c>
      <c r="D121" s="38">
        <f t="shared" si="195"/>
        <v>7.4252505010020037E-2</v>
      </c>
      <c r="E121" s="38">
        <f>+E120/E117</f>
        <v>2.2244009779951099E-2</v>
      </c>
      <c r="F121" s="38">
        <f t="shared" ref="F121:H121" si="196">+F120/F117</f>
        <v>3.6048681283762311E-2</v>
      </c>
      <c r="G121" s="38">
        <f t="shared" si="196"/>
        <v>2.7704667081518357E-2</v>
      </c>
      <c r="H121" s="38">
        <f t="shared" si="196"/>
        <v>4.0496212233862801E-2</v>
      </c>
      <c r="I121" s="38">
        <f t="shared" ref="I121:J121" si="197">+I120/I117</f>
        <v>4.0841447601084539E-2</v>
      </c>
      <c r="J121" s="38">
        <f t="shared" si="197"/>
        <v>4.1498863712652219E-2</v>
      </c>
      <c r="K121" s="38">
        <f t="shared" ref="K121" si="198">+K120/K117</f>
        <v>5.1066479999999984E-2</v>
      </c>
    </row>
    <row r="122" spans="1:11" x14ac:dyDescent="0.3">
      <c r="B122" s="35" t="s">
        <v>656</v>
      </c>
      <c r="C122" s="142"/>
      <c r="D122" s="142"/>
      <c r="E122" s="142"/>
      <c r="F122" s="142"/>
      <c r="G122" s="142"/>
      <c r="H122" s="142"/>
      <c r="I122" s="142"/>
      <c r="J122" s="142"/>
      <c r="K122" s="142"/>
    </row>
    <row r="123" spans="1:11" x14ac:dyDescent="0.3">
      <c r="B123" s="35" t="s">
        <v>437</v>
      </c>
      <c r="C123" s="179">
        <f t="shared" ref="C123:D123" si="199">+C122/C117</f>
        <v>0</v>
      </c>
      <c r="D123" s="179">
        <f t="shared" si="199"/>
        <v>0</v>
      </c>
      <c r="E123" s="179">
        <f>+E122/E117</f>
        <v>0</v>
      </c>
      <c r="F123" s="179">
        <f t="shared" ref="F123:H123" si="200">+F122/F117</f>
        <v>0</v>
      </c>
      <c r="G123" s="179">
        <f t="shared" si="200"/>
        <v>0</v>
      </c>
      <c r="H123" s="179">
        <f t="shared" si="200"/>
        <v>0</v>
      </c>
      <c r="I123" s="179">
        <f t="shared" ref="I123:J123" si="201">+I122/I117</f>
        <v>0</v>
      </c>
      <c r="J123" s="179">
        <f t="shared" si="201"/>
        <v>0</v>
      </c>
      <c r="K123" s="179">
        <f t="shared" ref="K123" si="202">+K122/K117</f>
        <v>0</v>
      </c>
    </row>
    <row r="124" spans="1:11" x14ac:dyDescent="0.3">
      <c r="B124" s="35" t="s">
        <v>436</v>
      </c>
      <c r="C124" s="142"/>
      <c r="D124" s="142">
        <v>0</v>
      </c>
      <c r="E124" s="142">
        <v>0</v>
      </c>
      <c r="F124" s="142">
        <v>0</v>
      </c>
      <c r="G124" s="142">
        <v>0</v>
      </c>
      <c r="H124" s="142">
        <v>0</v>
      </c>
      <c r="I124" s="142">
        <v>0</v>
      </c>
      <c r="J124" s="27">
        <v>0</v>
      </c>
      <c r="K124" s="27">
        <v>0</v>
      </c>
    </row>
    <row r="125" spans="1:11" x14ac:dyDescent="0.3">
      <c r="B125" s="35" t="s">
        <v>437</v>
      </c>
      <c r="C125" s="38">
        <f t="shared" ref="C125:D125" si="203">+C124/C117</f>
        <v>0</v>
      </c>
      <c r="D125" s="38">
        <f t="shared" si="203"/>
        <v>0</v>
      </c>
      <c r="E125" s="38">
        <f>+E124/E117</f>
        <v>0</v>
      </c>
      <c r="F125" s="38">
        <f t="shared" ref="F125:H125" si="204">+F124/F117</f>
        <v>0</v>
      </c>
      <c r="G125" s="38">
        <f t="shared" si="204"/>
        <v>0</v>
      </c>
      <c r="H125" s="38">
        <f t="shared" si="204"/>
        <v>0</v>
      </c>
      <c r="I125" s="38">
        <f t="shared" ref="I125:J125" si="205">+I124/I117</f>
        <v>0</v>
      </c>
      <c r="J125" s="38">
        <f t="shared" si="205"/>
        <v>0</v>
      </c>
      <c r="K125" s="38">
        <f t="shared" ref="K125" si="206">+K124/K117</f>
        <v>0</v>
      </c>
    </row>
    <row r="126" spans="1:11" x14ac:dyDescent="0.3">
      <c r="B126" s="35" t="s">
        <v>719</v>
      </c>
      <c r="C126" s="27">
        <f t="shared" ref="C126:D126" si="207">+C117-C118-C120-C122-C124</f>
        <v>64957.627118644072</v>
      </c>
      <c r="D126" s="27">
        <f t="shared" si="207"/>
        <v>8014.9491525423728</v>
      </c>
      <c r="E126" s="27">
        <f>+E117-E118-E120-E122-E124</f>
        <v>50204.050847457635</v>
      </c>
      <c r="F126" s="27">
        <f t="shared" ref="F126:H126" si="208">+F117-F118-F120-F122-F124</f>
        <v>69325.457627118652</v>
      </c>
      <c r="G126" s="27">
        <f t="shared" si="208"/>
        <v>78319.440677966108</v>
      </c>
      <c r="H126" s="27">
        <f t="shared" si="208"/>
        <v>68562.165932203396</v>
      </c>
      <c r="I126" s="27">
        <f t="shared" ref="I126:J126" si="209">+I117-I118-I120-I122-I124</f>
        <v>65580.260000000009</v>
      </c>
      <c r="J126" s="27">
        <f t="shared" si="209"/>
        <v>77564.290000000008</v>
      </c>
      <c r="K126" s="27">
        <f t="shared" ref="K126" si="210">+K117-K118-K120-K122-K124</f>
        <v>62220.130000000005</v>
      </c>
    </row>
    <row r="127" spans="1:11" x14ac:dyDescent="0.3">
      <c r="B127" s="35" t="s">
        <v>720</v>
      </c>
      <c r="C127" s="38">
        <f t="shared" ref="C127:D127" si="211">+C126/C117</f>
        <v>1</v>
      </c>
      <c r="D127" s="38">
        <f t="shared" si="211"/>
        <v>0.17230169429768627</v>
      </c>
      <c r="E127" s="38">
        <f>+E126/E117</f>
        <v>0.48280994295028529</v>
      </c>
      <c r="F127" s="38">
        <f t="shared" ref="F127:H127" si="212">+F126/F117</f>
        <v>0.51988585954877664</v>
      </c>
      <c r="G127" s="38">
        <f t="shared" si="212"/>
        <v>0.57508985687616676</v>
      </c>
      <c r="H127" s="38">
        <f t="shared" si="212"/>
        <v>0.5468290354849612</v>
      </c>
      <c r="I127" s="38">
        <f t="shared" ref="I127:J127" si="213">+I126/I117</f>
        <v>0.51538575189594882</v>
      </c>
      <c r="J127" s="38">
        <f t="shared" si="213"/>
        <v>0.66165175004288646</v>
      </c>
      <c r="K127" s="38">
        <f t="shared" ref="K127" si="214">+K126/K117</f>
        <v>0.49776104000000004</v>
      </c>
    </row>
    <row r="128" spans="1:11" ht="14.5" thickBot="1" x14ac:dyDescent="0.3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spans="1:11" ht="14.5" thickTop="1" x14ac:dyDescent="0.3"/>
    <row r="130" spans="1:11" x14ac:dyDescent="0.3">
      <c r="B130" s="42" t="s">
        <v>446</v>
      </c>
      <c r="C130" s="37">
        <v>8.25</v>
      </c>
      <c r="D130" s="37">
        <v>9.25</v>
      </c>
      <c r="E130" s="37">
        <v>10.25</v>
      </c>
      <c r="F130" s="37">
        <v>11.25</v>
      </c>
      <c r="G130" s="37">
        <v>12.25</v>
      </c>
      <c r="H130" s="37">
        <v>1.26</v>
      </c>
      <c r="I130" s="37">
        <v>2.2599999999999998</v>
      </c>
      <c r="J130" s="37">
        <v>3.26</v>
      </c>
      <c r="K130" s="37">
        <v>4.26</v>
      </c>
    </row>
    <row r="131" spans="1:11" x14ac:dyDescent="0.3">
      <c r="B131" s="35" t="s">
        <v>433</v>
      </c>
      <c r="C131" s="45">
        <f>+'הכנסות - מרכז'!I82</f>
        <v>56615.47457627119</v>
      </c>
      <c r="D131" s="45">
        <f>+'הכנסות - מרכז'!J82</f>
        <v>63494.91525423729</v>
      </c>
      <c r="E131" s="45">
        <f>+'הכנסות - מרכז'!K82</f>
        <v>76955.08474576271</v>
      </c>
      <c r="F131" s="45">
        <f>+'הכנסות - מרכז'!L82</f>
        <v>62564.406779661018</v>
      </c>
      <c r="G131" s="45">
        <f>+'הכנסות - מרכז'!M82</f>
        <v>67330.508474576272</v>
      </c>
      <c r="H131" s="45">
        <f>+'הכנסות - מרכז'!N82</f>
        <v>52373.728813559326</v>
      </c>
      <c r="I131" s="45">
        <f>+'הכנסות - מרכז'!O82</f>
        <v>29542</v>
      </c>
      <c r="J131" s="45">
        <f>+'הכנסות - מרכז'!P82</f>
        <v>40885.638644067803</v>
      </c>
      <c r="K131" s="45">
        <f>+'הכנסות - מרכז'!Q82</f>
        <v>67000</v>
      </c>
    </row>
    <row r="132" spans="1:11" x14ac:dyDescent="0.3">
      <c r="B132" s="35" t="s">
        <v>434</v>
      </c>
      <c r="C132" s="35"/>
      <c r="D132" s="27">
        <v>0</v>
      </c>
      <c r="E132" s="27">
        <f>+'רופאים בחשבונית'!U6+'רופאים בחשבונית'!U7</f>
        <v>26233.05</v>
      </c>
      <c r="F132" s="27">
        <f>+'רופאים בחשבונית'!V6+'רופאים בחשבונית'!V7</f>
        <v>25593.22</v>
      </c>
      <c r="G132" s="27">
        <f>+'רופאים בחשבונית'!W6+'רופאים בחשבונית'!W7</f>
        <v>24500</v>
      </c>
      <c r="H132" s="27">
        <f>+'רופאים בחשבונית'!X6+'רופאים בחשבונית'!X7</f>
        <v>17076.271186440677</v>
      </c>
      <c r="I132" s="27">
        <f>+'רופאים בחשבונית'!Y6+'רופאים בחשבונית'!Y7</f>
        <v>26076.271186440681</v>
      </c>
      <c r="J132" s="27">
        <f>+'רופאים בחשבונית'!Z6+'רופאים בחשבונית'!Z7</f>
        <v>23377.966101694918</v>
      </c>
      <c r="K132" s="27">
        <f>+'רופאים בחשבונית'!AA6+'רופאים בחשבונית'!AA7</f>
        <v>27902.542372881355</v>
      </c>
    </row>
    <row r="133" spans="1:11" x14ac:dyDescent="0.3">
      <c r="B133" s="36" t="s">
        <v>437</v>
      </c>
      <c r="C133" s="38">
        <f t="shared" ref="C133:D133" si="215">+C132/C131</f>
        <v>0</v>
      </c>
      <c r="D133" s="38">
        <f t="shared" si="215"/>
        <v>0</v>
      </c>
      <c r="E133" s="38">
        <f>+E132/E131</f>
        <v>0.34088780600614488</v>
      </c>
      <c r="F133" s="38">
        <f t="shared" ref="F133:H133" si="216">+F132/F131</f>
        <v>0.40906996992929323</v>
      </c>
      <c r="G133" s="38">
        <f t="shared" si="216"/>
        <v>0.36387665198237884</v>
      </c>
      <c r="H133" s="38">
        <f t="shared" si="216"/>
        <v>0.32604650410187536</v>
      </c>
      <c r="I133" s="38">
        <f t="shared" ref="I133:J133" si="217">+I132/I131</f>
        <v>0.88268469252050241</v>
      </c>
      <c r="J133" s="38">
        <f t="shared" si="217"/>
        <v>0.57178918752408636</v>
      </c>
      <c r="K133" s="38">
        <f t="shared" ref="K133" si="218">+K132/K131</f>
        <v>0.41645585631166199</v>
      </c>
    </row>
    <row r="134" spans="1:11" x14ac:dyDescent="0.3">
      <c r="B134" s="35" t="s">
        <v>435</v>
      </c>
      <c r="C134" s="27"/>
      <c r="D134" s="27">
        <f>+'נתוני כ"ס - אחר'!G23</f>
        <v>185160.2</v>
      </c>
      <c r="E134" s="27">
        <f>+'נתוני כ"ס - אחר'!H23</f>
        <v>176248</v>
      </c>
      <c r="F134" s="27">
        <f>+'נתוני כ"ס - אחר'!I23</f>
        <v>187871</v>
      </c>
      <c r="G134" s="27">
        <f>+'נתוני כ"ס - אחר'!J23</f>
        <v>201582</v>
      </c>
      <c r="H134" s="27">
        <f>+'נתוני כ"ס - אחר'!K23</f>
        <v>270095.10299999994</v>
      </c>
      <c r="I134" s="27">
        <f>+'נתוני כ"ס - אחר'!L23</f>
        <v>324796.31800000003</v>
      </c>
      <c r="J134" s="27">
        <f>+'נתוני כ"ס - אחר'!M23</f>
        <v>330998.26299999998</v>
      </c>
      <c r="K134" s="27">
        <f>+'נתוני כ"ס - אחר'!N23</f>
        <v>333568.37300000002</v>
      </c>
    </row>
    <row r="135" spans="1:11" x14ac:dyDescent="0.3">
      <c r="B135" s="35" t="s">
        <v>437</v>
      </c>
      <c r="C135" s="38">
        <f t="shared" ref="C135:D135" si="219">+C134/C131</f>
        <v>0</v>
      </c>
      <c r="D135" s="38">
        <f t="shared" si="219"/>
        <v>2.9161421707330097</v>
      </c>
      <c r="E135" s="38">
        <f>+E134/E131</f>
        <v>2.2902710143491141</v>
      </c>
      <c r="F135" s="38">
        <f t="shared" ref="F135:H135" si="220">+F134/F131</f>
        <v>3.0028415463386882</v>
      </c>
      <c r="G135" s="38">
        <f t="shared" si="220"/>
        <v>2.9939176840780366</v>
      </c>
      <c r="H135" s="38">
        <f t="shared" si="220"/>
        <v>5.1570722405786302</v>
      </c>
      <c r="I135" s="38">
        <f t="shared" ref="I135:J135" si="221">+I134/I131</f>
        <v>10.994391645792431</v>
      </c>
      <c r="J135" s="38">
        <f t="shared" si="221"/>
        <v>8.0957097400758187</v>
      </c>
      <c r="K135" s="38">
        <f t="shared" ref="K135" si="222">+K134/K131</f>
        <v>4.9786324328358216</v>
      </c>
    </row>
    <row r="136" spans="1:11" x14ac:dyDescent="0.3">
      <c r="B136" s="35" t="s">
        <v>439</v>
      </c>
      <c r="C136" s="27"/>
      <c r="D136" s="27">
        <v>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</row>
    <row r="137" spans="1:11" x14ac:dyDescent="0.3">
      <c r="B137" s="35" t="s">
        <v>437</v>
      </c>
      <c r="C137" s="38">
        <f t="shared" ref="C137:D137" si="223">+C136/C131</f>
        <v>0</v>
      </c>
      <c r="D137" s="38">
        <f t="shared" si="223"/>
        <v>0</v>
      </c>
      <c r="E137" s="38">
        <f>+E136/E131</f>
        <v>0</v>
      </c>
      <c r="F137" s="38">
        <f t="shared" ref="F137:H137" si="224">+F136/F131</f>
        <v>0</v>
      </c>
      <c r="G137" s="38">
        <f t="shared" si="224"/>
        <v>0</v>
      </c>
      <c r="H137" s="38">
        <f t="shared" si="224"/>
        <v>0</v>
      </c>
      <c r="I137" s="38">
        <f t="shared" ref="I137:J137" si="225">+I136/I131</f>
        <v>0</v>
      </c>
      <c r="J137" s="38">
        <f t="shared" si="225"/>
        <v>0</v>
      </c>
      <c r="K137" s="38">
        <f t="shared" ref="K137" si="226">+K136/K131</f>
        <v>0</v>
      </c>
    </row>
    <row r="138" spans="1:11" x14ac:dyDescent="0.3">
      <c r="B138" s="35" t="s">
        <v>436</v>
      </c>
      <c r="C138" s="27"/>
      <c r="D138" s="27">
        <v>0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</row>
    <row r="139" spans="1:11" x14ac:dyDescent="0.3">
      <c r="B139" s="35" t="s">
        <v>437</v>
      </c>
      <c r="C139" s="38">
        <f t="shared" ref="C139:D139" si="227">+C138/C131</f>
        <v>0</v>
      </c>
      <c r="D139" s="38">
        <f t="shared" si="227"/>
        <v>0</v>
      </c>
      <c r="E139" s="38">
        <f>+E138/E131</f>
        <v>0</v>
      </c>
      <c r="F139" s="38">
        <f t="shared" ref="F139:H139" si="228">+F138/F131</f>
        <v>0</v>
      </c>
      <c r="G139" s="38">
        <f t="shared" si="228"/>
        <v>0</v>
      </c>
      <c r="H139" s="38">
        <f t="shared" si="228"/>
        <v>0</v>
      </c>
      <c r="I139" s="38">
        <f t="shared" ref="I139:J139" si="229">+I138/I131</f>
        <v>0</v>
      </c>
      <c r="J139" s="38">
        <f t="shared" si="229"/>
        <v>0</v>
      </c>
      <c r="K139" s="38">
        <f t="shared" ref="K139" si="230">+K138/K131</f>
        <v>0</v>
      </c>
    </row>
    <row r="140" spans="1:11" x14ac:dyDescent="0.3">
      <c r="B140" s="35" t="s">
        <v>719</v>
      </c>
      <c r="C140" s="27">
        <f t="shared" ref="C140:D140" si="231">+C131-C132-C134-C136-C138</f>
        <v>56615.47457627119</v>
      </c>
      <c r="D140" s="27">
        <f t="shared" si="231"/>
        <v>-121665.28474576272</v>
      </c>
      <c r="E140" s="27">
        <f>+E131-E132-E134-E136-E138</f>
        <v>-125525.96525423729</v>
      </c>
      <c r="F140" s="27">
        <f t="shared" ref="F140:H140" si="232">+F131-F132-F134-F136-F138</f>
        <v>-150899.81322033898</v>
      </c>
      <c r="G140" s="27">
        <f t="shared" si="232"/>
        <v>-158751.49152542371</v>
      </c>
      <c r="H140" s="27">
        <f t="shared" si="232"/>
        <v>-234797.64537288129</v>
      </c>
      <c r="I140" s="27">
        <f t="shared" ref="I140:J140" si="233">+I131-I132-I134-I136-I138</f>
        <v>-321330.58918644069</v>
      </c>
      <c r="J140" s="27">
        <f t="shared" si="233"/>
        <v>-313490.59045762708</v>
      </c>
      <c r="K140" s="27">
        <f t="shared" ref="K140" si="234">+K131-K132-K134-K136-K138</f>
        <v>-294470.9153728814</v>
      </c>
    </row>
    <row r="141" spans="1:11" x14ac:dyDescent="0.3">
      <c r="B141" s="35" t="s">
        <v>720</v>
      </c>
      <c r="C141" s="38">
        <f t="shared" ref="C141:D141" si="235">+C140/C131</f>
        <v>1</v>
      </c>
      <c r="D141" s="38">
        <f t="shared" si="235"/>
        <v>-1.9161421707330095</v>
      </c>
      <c r="E141" s="38">
        <f>+E140/E131</f>
        <v>-1.6311588203552592</v>
      </c>
      <c r="F141" s="38">
        <f t="shared" ref="F141:H141" si="236">+F140/F131</f>
        <v>-2.4119115162679816</v>
      </c>
      <c r="G141" s="38">
        <f t="shared" si="236"/>
        <v>-2.3577943360604152</v>
      </c>
      <c r="H141" s="38">
        <f t="shared" si="236"/>
        <v>-4.483118744680505</v>
      </c>
      <c r="I141" s="38">
        <f t="shared" ref="I141:J141" si="237">+I140/I131</f>
        <v>-10.877076338312934</v>
      </c>
      <c r="J141" s="38">
        <f t="shared" si="237"/>
        <v>-7.6674989275999046</v>
      </c>
      <c r="K141" s="38">
        <f t="shared" ref="K141" si="238">+K140/K131</f>
        <v>-4.3950882891474832</v>
      </c>
    </row>
    <row r="142" spans="1:11" ht="14.5" thickBot="1" x14ac:dyDescent="0.3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spans="1:11" ht="14.5" thickTop="1" x14ac:dyDescent="0.3"/>
    <row r="144" spans="1:11" x14ac:dyDescent="0.3">
      <c r="B144" s="42" t="s">
        <v>403</v>
      </c>
      <c r="C144" s="37">
        <v>8.25</v>
      </c>
      <c r="D144" s="37">
        <v>9.25</v>
      </c>
      <c r="E144" s="37">
        <v>10.25</v>
      </c>
      <c r="F144" s="37">
        <v>11.25</v>
      </c>
      <c r="G144" s="37">
        <v>12.25</v>
      </c>
      <c r="H144" s="37">
        <v>1.26</v>
      </c>
      <c r="I144" s="37">
        <v>2.2599999999999998</v>
      </c>
      <c r="J144" s="37">
        <v>3.26</v>
      </c>
      <c r="K144" s="37">
        <v>4.26</v>
      </c>
    </row>
    <row r="145" spans="1:11" x14ac:dyDescent="0.3">
      <c r="B145" s="35" t="s">
        <v>433</v>
      </c>
      <c r="C145" s="27">
        <f>+'הכנסות - מרכז'!I86</f>
        <v>0</v>
      </c>
      <c r="D145" s="27">
        <f>+'הכנסות - מרכז'!J86</f>
        <v>586378.81355932204</v>
      </c>
      <c r="E145" s="27">
        <f>+'הכנסות - מרכז'!K86</f>
        <v>870220.3389830509</v>
      </c>
      <c r="F145" s="27">
        <f>+'הכנסות - מרכז'!L86</f>
        <v>850422.88135593222</v>
      </c>
      <c r="G145" s="27">
        <f>+'הכנסות - מרכז'!M86</f>
        <v>820874.57627118647</v>
      </c>
      <c r="H145" s="27">
        <f>+'הכנסות - מרכז'!N86</f>
        <v>773179.66101694922</v>
      </c>
      <c r="I145" s="27">
        <f>+'הכנסות - מרכז'!O86</f>
        <v>776809</v>
      </c>
      <c r="J145" s="27">
        <f>+'הכנסות - מרכז'!P86</f>
        <v>778910</v>
      </c>
      <c r="K145" s="27">
        <f>+'הכנסות - מרכז'!Q86</f>
        <v>966035.59322033729</v>
      </c>
    </row>
    <row r="146" spans="1:11" x14ac:dyDescent="0.3">
      <c r="B146" s="35" t="s">
        <v>434</v>
      </c>
      <c r="C146" s="27">
        <f>+'נתוני רחובות'!C63</f>
        <v>425374.68000000005</v>
      </c>
      <c r="D146" s="27">
        <f>+'נתוני רחובות'!D63</f>
        <v>356716.17</v>
      </c>
      <c r="E146" s="27">
        <f>+'נתוני רחובות'!E63+'רופאים בחשבונית'!U10</f>
        <v>362125.21508474572</v>
      </c>
      <c r="F146" s="27">
        <f>+'נתוני רחובות'!F63+'רופאים בחשבונית'!V10</f>
        <v>356392.43406779662</v>
      </c>
      <c r="G146" s="27">
        <f>+'נתוני רחובות'!G63+'רופאים בחשבונית'!W10</f>
        <v>461399.69101694919</v>
      </c>
      <c r="H146" s="27">
        <f>+'נתוני רחובות'!H63+'רופאים בחשבונית'!X10</f>
        <v>365062.70237288141</v>
      </c>
      <c r="I146" s="27">
        <f>+'נתוני רחובות'!I63+'רופאים בחשבונית'!Y10</f>
        <v>329039.71033898304</v>
      </c>
      <c r="J146" s="27">
        <f>'נתוני רחובות'!J64+'רופאים בחשבונית'!Z10</f>
        <v>356076.65949152544</v>
      </c>
      <c r="K146" s="27">
        <f>+'נתוני רחובות'!K63+'רופאים בחשבונית'!AA10</f>
        <v>399399.24711864407</v>
      </c>
    </row>
    <row r="147" spans="1:11" x14ac:dyDescent="0.3">
      <c r="B147" s="36" t="s">
        <v>437</v>
      </c>
      <c r="C147" s="38" t="e">
        <f t="shared" ref="C147:D147" si="239">+C146/C145</f>
        <v>#DIV/0!</v>
      </c>
      <c r="D147" s="38">
        <f t="shared" si="239"/>
        <v>0.60833741218365522</v>
      </c>
      <c r="E147" s="38">
        <f>+E146/E145</f>
        <v>0.41613048886897913</v>
      </c>
      <c r="F147" s="38">
        <f t="shared" ref="F147:H147" si="240">+F146/F145</f>
        <v>0.41907672274710789</v>
      </c>
      <c r="G147" s="38">
        <f t="shared" si="240"/>
        <v>0.56208305672329639</v>
      </c>
      <c r="H147" s="38">
        <f t="shared" si="240"/>
        <v>0.47215766370874401</v>
      </c>
      <c r="I147" s="38">
        <f t="shared" ref="I147:J147" si="241">+I146/I145</f>
        <v>0.42357865361882141</v>
      </c>
      <c r="J147" s="38">
        <f t="shared" si="241"/>
        <v>0.4571473719576401</v>
      </c>
      <c r="K147" s="38">
        <f t="shared" ref="K147" si="242">+K146/K145</f>
        <v>0.41344154389510934</v>
      </c>
    </row>
    <row r="148" spans="1:11" x14ac:dyDescent="0.3">
      <c r="B148" s="35" t="s">
        <v>435</v>
      </c>
      <c r="C148" s="27">
        <f>+'נתוני רחובות'!C62</f>
        <v>231166.65999999992</v>
      </c>
      <c r="D148" s="27">
        <f>+'נתוני רחובות'!D62</f>
        <v>227729.85000000015</v>
      </c>
      <c r="E148" s="27">
        <f>+'נתוני רחובות'!E62</f>
        <v>241617.18000000023</v>
      </c>
      <c r="F148" s="27">
        <f>+'נתוני רחובות'!F62</f>
        <v>230396.33999999997</v>
      </c>
      <c r="G148" s="27">
        <f>+'נתוני רחובות'!G62</f>
        <v>250021.94000000029</v>
      </c>
      <c r="H148" s="27">
        <f>+'נתוני רחובות'!H62</f>
        <v>217251.76</v>
      </c>
      <c r="I148" s="27">
        <f>+'נתוני רחובות'!I62</f>
        <v>212696.52000000008</v>
      </c>
      <c r="J148" s="27">
        <f>+'נתוני רחובות'!J62</f>
        <v>213807.67000000004</v>
      </c>
      <c r="K148" s="27">
        <f>+'נתוני רחובות'!K62</f>
        <v>275050.90999999992</v>
      </c>
    </row>
    <row r="149" spans="1:11" x14ac:dyDescent="0.3">
      <c r="B149" s="35" t="s">
        <v>437</v>
      </c>
      <c r="C149" s="38" t="e">
        <f t="shared" ref="C149:D149" si="243">+C148/C145</f>
        <v>#DIV/0!</v>
      </c>
      <c r="D149" s="38">
        <f t="shared" si="243"/>
        <v>0.38836643605467075</v>
      </c>
      <c r="E149" s="38">
        <f>+E148/E145</f>
        <v>0.27765057787819203</v>
      </c>
      <c r="F149" s="38">
        <f t="shared" ref="F149:H149" si="244">+F148/F145</f>
        <v>0.27091973305404388</v>
      </c>
      <c r="G149" s="38">
        <f t="shared" si="244"/>
        <v>0.30457995317107045</v>
      </c>
      <c r="H149" s="38">
        <f t="shared" si="244"/>
        <v>0.2809848356774578</v>
      </c>
      <c r="I149" s="38">
        <f t="shared" ref="I149:J149" si="245">+I148/I145</f>
        <v>0.27380800170955805</v>
      </c>
      <c r="J149" s="38">
        <f t="shared" si="245"/>
        <v>0.27449598798320735</v>
      </c>
      <c r="K149" s="38">
        <f t="shared" ref="K149" si="246">+K148/K145</f>
        <v>0.28472130005386376</v>
      </c>
    </row>
    <row r="150" spans="1:11" x14ac:dyDescent="0.3">
      <c r="B150" s="35" t="s">
        <v>656</v>
      </c>
      <c r="C150" s="142"/>
      <c r="D150" s="142"/>
      <c r="E150" s="142"/>
      <c r="F150" s="142"/>
      <c r="G150" s="142"/>
      <c r="H150" s="142"/>
      <c r="I150" s="142"/>
      <c r="J150" s="142"/>
      <c r="K150" s="142"/>
    </row>
    <row r="151" spans="1:11" x14ac:dyDescent="0.3">
      <c r="B151" s="35" t="s">
        <v>437</v>
      </c>
      <c r="C151" s="38" t="e">
        <f t="shared" ref="C151:D151" si="247">+C150/C145</f>
        <v>#DIV/0!</v>
      </c>
      <c r="D151" s="38">
        <f t="shared" si="247"/>
        <v>0</v>
      </c>
      <c r="E151" s="38">
        <f>+E150/E145</f>
        <v>0</v>
      </c>
      <c r="F151" s="38">
        <f t="shared" ref="F151:H151" si="248">+F150/F145</f>
        <v>0</v>
      </c>
      <c r="G151" s="38">
        <f t="shared" si="248"/>
        <v>0</v>
      </c>
      <c r="H151" s="38">
        <f t="shared" si="248"/>
        <v>0</v>
      </c>
      <c r="I151" s="38">
        <f t="shared" ref="I151:J151" si="249">+I150/I145</f>
        <v>0</v>
      </c>
      <c r="J151" s="38">
        <f t="shared" si="249"/>
        <v>0</v>
      </c>
      <c r="K151" s="38">
        <f t="shared" ref="K151" si="250">+K150/K145</f>
        <v>0</v>
      </c>
    </row>
    <row r="152" spans="1:11" x14ac:dyDescent="0.3">
      <c r="B152" s="35" t="s">
        <v>436</v>
      </c>
      <c r="C152" s="27"/>
      <c r="D152" s="126"/>
      <c r="E152" s="142">
        <f>+'וטרמקט ואלסמד'!N85</f>
        <v>85373.728813559326</v>
      </c>
      <c r="F152" s="142">
        <f>+'וטרמקט ואלסמד'!O85</f>
        <v>86514.406779661018</v>
      </c>
      <c r="G152" s="142">
        <f>+'וטרמקט ואלסמד'!P85</f>
        <v>86480</v>
      </c>
      <c r="H152" s="142">
        <f>+'וטרמקט ואלסמד'!Q85</f>
        <v>86514.406779661018</v>
      </c>
      <c r="I152" s="142">
        <f>+'וטרמקט ואלסמד'!R85</f>
        <v>88555.08474576271</v>
      </c>
      <c r="J152" s="142">
        <f>+'וטמרקט ואלסמד 2-4.26'!L15</f>
        <v>73425.423728813563</v>
      </c>
      <c r="K152" s="142">
        <f>+'וטמרקט ואלסמד 2-4.26'!S16</f>
        <v>73425.423728813563</v>
      </c>
    </row>
    <row r="153" spans="1:11" x14ac:dyDescent="0.3">
      <c r="B153" s="35" t="s">
        <v>437</v>
      </c>
      <c r="C153" s="38" t="e">
        <f t="shared" ref="C153:D153" si="251">+C152/C145</f>
        <v>#DIV/0!</v>
      </c>
      <c r="D153" s="38">
        <f t="shared" si="251"/>
        <v>0</v>
      </c>
      <c r="E153" s="38">
        <f>+E152/E145</f>
        <v>9.8105876166176498E-2</v>
      </c>
      <c r="F153" s="38">
        <f t="shared" ref="F153:H153" si="252">+F152/F145</f>
        <v>0.10173104308026217</v>
      </c>
      <c r="G153" s="38">
        <f t="shared" si="252"/>
        <v>0.10535105179263125</v>
      </c>
      <c r="H153" s="38">
        <f t="shared" si="252"/>
        <v>0.11189431272140576</v>
      </c>
      <c r="I153" s="38">
        <f t="shared" ref="I153:J153" si="253">+I152/I145</f>
        <v>0.11399853084318373</v>
      </c>
      <c r="J153" s="38">
        <f t="shared" si="253"/>
        <v>9.4266890563497144E-2</v>
      </c>
      <c r="K153" s="38">
        <f t="shared" ref="K153" si="254">+K152/K145</f>
        <v>7.6006954861824017E-2</v>
      </c>
    </row>
    <row r="154" spans="1:11" x14ac:dyDescent="0.3">
      <c r="B154" s="35" t="s">
        <v>719</v>
      </c>
      <c r="C154" s="27">
        <f t="shared" ref="C154:D154" si="255">+C145-C146-C148-C150-C152</f>
        <v>-656541.34</v>
      </c>
      <c r="D154" s="27">
        <f t="shared" si="255"/>
        <v>1932.7935593219008</v>
      </c>
      <c r="E154" s="27">
        <f>+E145-E146-E148-E150-E152</f>
        <v>181104.21508474561</v>
      </c>
      <c r="F154" s="27">
        <f t="shared" ref="F154:H154" si="256">+F145-F146-F148-F150-F152</f>
        <v>177119.70050847461</v>
      </c>
      <c r="G154" s="27">
        <f t="shared" si="256"/>
        <v>22972.945254236984</v>
      </c>
      <c r="H154" s="27">
        <f t="shared" si="256"/>
        <v>104350.79186440678</v>
      </c>
      <c r="I154" s="27">
        <f t="shared" ref="I154:J154" si="257">+I145-I146-I148-I150-I152</f>
        <v>146517.68491525418</v>
      </c>
      <c r="J154" s="27">
        <f t="shared" si="257"/>
        <v>135600.24677966096</v>
      </c>
      <c r="K154" s="27">
        <f t="shared" ref="K154" si="258">+K145-K146-K148-K150-K152</f>
        <v>218160.01237287975</v>
      </c>
    </row>
    <row r="155" spans="1:11" x14ac:dyDescent="0.3">
      <c r="B155" s="35" t="s">
        <v>720</v>
      </c>
      <c r="C155" s="38" t="e">
        <f t="shared" ref="C155:D155" si="259">+C154/C145</f>
        <v>#DIV/0!</v>
      </c>
      <c r="D155" s="38">
        <f t="shared" si="259"/>
        <v>3.2961517616740539E-3</v>
      </c>
      <c r="E155" s="38">
        <f>+E154/E145</f>
        <v>0.20811305708665231</v>
      </c>
      <c r="F155" s="38">
        <f t="shared" ref="F155:H155" si="260">+F154/F145</f>
        <v>0.20827250111858611</v>
      </c>
      <c r="G155" s="38">
        <f t="shared" si="260"/>
        <v>2.7985938313001883E-2</v>
      </c>
      <c r="H155" s="38">
        <f t="shared" si="260"/>
        <v>0.13496318789239239</v>
      </c>
      <c r="I155" s="38">
        <f t="shared" ref="I155:J155" si="261">+I154/I145</f>
        <v>0.18861481382843684</v>
      </c>
      <c r="J155" s="38">
        <f t="shared" si="261"/>
        <v>0.17408974949565542</v>
      </c>
      <c r="K155" s="38">
        <f t="shared" ref="K155" si="262">+K154/K145</f>
        <v>0.22583020118920291</v>
      </c>
    </row>
    <row r="156" spans="1:11" ht="14.5" thickBot="1" x14ac:dyDescent="0.3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spans="1:11" ht="14.5" thickTop="1" x14ac:dyDescent="0.3"/>
    <row r="158" spans="1:11" x14ac:dyDescent="0.3">
      <c r="B158" s="42" t="s">
        <v>442</v>
      </c>
      <c r="C158" s="37">
        <v>8.25</v>
      </c>
      <c r="D158" s="37">
        <v>9.25</v>
      </c>
      <c r="E158" s="37">
        <v>10.25</v>
      </c>
      <c r="F158" s="37">
        <v>11.25</v>
      </c>
      <c r="G158" s="37">
        <v>12.25</v>
      </c>
      <c r="H158" s="37">
        <v>1.26</v>
      </c>
      <c r="I158" s="37">
        <v>2.2599999999999998</v>
      </c>
      <c r="J158" s="37">
        <v>3.26</v>
      </c>
      <c r="K158" s="37">
        <v>4.26</v>
      </c>
    </row>
    <row r="159" spans="1:11" x14ac:dyDescent="0.3">
      <c r="B159" s="35" t="s">
        <v>433</v>
      </c>
      <c r="C159" s="27">
        <f>+'הכנסות - מרכז'!I87</f>
        <v>423524.57627118647</v>
      </c>
      <c r="D159" s="27">
        <f>+'הכנסות - מרכז'!J87</f>
        <v>392874.57627118647</v>
      </c>
      <c r="E159" s="27">
        <f>+'הכנסות - מרכז'!K87</f>
        <v>375400</v>
      </c>
      <c r="F159" s="27">
        <f>+'הכנסות - מרכז'!L87</f>
        <v>421733.05084745766</v>
      </c>
      <c r="G159" s="27">
        <f>+'הכנסות - מרכז'!M87</f>
        <v>469620.3389830509</v>
      </c>
      <c r="H159" s="27">
        <f>+'הכנסות - מרכז'!N87</f>
        <v>439171.18644067796</v>
      </c>
      <c r="I159" s="27">
        <f>+'הכנסות - מרכז'!O87</f>
        <v>432954</v>
      </c>
      <c r="J159" s="27">
        <f>+'הכנסות - מרכז'!P87</f>
        <v>321474</v>
      </c>
      <c r="K159" s="27">
        <f>+'הכנסות - מרכז'!Q87</f>
        <v>390323.72881355905</v>
      </c>
    </row>
    <row r="160" spans="1:11" x14ac:dyDescent="0.3">
      <c r="B160" s="35" t="s">
        <v>434</v>
      </c>
      <c r="C160" s="27">
        <f>+'נתוני ב"ש'!J35</f>
        <v>117201.27</v>
      </c>
      <c r="D160" s="27">
        <f>+'נתוני ב"ש'!K35</f>
        <v>115677.18</v>
      </c>
      <c r="E160" s="27">
        <f>+'נתוני ב"ש'!L35+'רופאים בחשבונית'!U12</f>
        <v>107025.67</v>
      </c>
      <c r="F160" s="27">
        <f>+'נתוני ב"ש'!M35+'רופאים בחשבונית'!V12</f>
        <v>99366.079999999987</v>
      </c>
      <c r="G160" s="27">
        <f>+'נתוני ב"ש'!N35+'רופאים בחשבונית'!W12</f>
        <v>138178.65</v>
      </c>
      <c r="H160" s="27">
        <f>+'נתוני ב"ש'!O35+'רופאים בחשבונית'!X12</f>
        <v>145518.64000000001</v>
      </c>
      <c r="I160" s="27">
        <f>+'נתוני ב"ש'!P35+'רופאים בחשבונית'!Y12</f>
        <v>101072.11186440679</v>
      </c>
      <c r="J160" s="27">
        <f>'נתוני ב"ש'!Q36+'רופאים בחשבונית'!Z12</f>
        <v>77810.097118644073</v>
      </c>
      <c r="K160" s="27">
        <f>+'נתוני ב"ש'!R35+'רופאים בחשבונית'!AA12</f>
        <v>107934.81254237288</v>
      </c>
    </row>
    <row r="161" spans="1:11" x14ac:dyDescent="0.3">
      <c r="B161" s="36" t="s">
        <v>437</v>
      </c>
      <c r="C161" s="38">
        <f>+F160/C159</f>
        <v>0.23461703421048941</v>
      </c>
      <c r="D161" s="38">
        <f>+D160/D159</f>
        <v>0.29443793766932991</v>
      </c>
      <c r="E161" s="38">
        <f t="shared" ref="E161" si="263">+E160/E159</f>
        <v>0.28509768247202982</v>
      </c>
      <c r="F161" s="38">
        <f t="shared" ref="F161" si="264">+F160/F159</f>
        <v>0.23561368927649223</v>
      </c>
      <c r="G161" s="38">
        <f t="shared" ref="G161" si="265">+G160/G159</f>
        <v>0.29423480741745944</v>
      </c>
      <c r="H161" s="38">
        <f t="shared" ref="H161:I161" si="266">+H160/H159</f>
        <v>0.33134833179602569</v>
      </c>
      <c r="I161" s="38">
        <f t="shared" si="266"/>
        <v>0.23344769158942241</v>
      </c>
      <c r="J161" s="38">
        <f t="shared" ref="J161:K161" si="267">+J160/J159</f>
        <v>0.24204164914936846</v>
      </c>
      <c r="K161" s="38">
        <f t="shared" si="267"/>
        <v>0.27652639226022746</v>
      </c>
    </row>
    <row r="162" spans="1:11" x14ac:dyDescent="0.3">
      <c r="B162" s="35" t="s">
        <v>435</v>
      </c>
      <c r="C162" s="27">
        <f>+'נתוני ב"ש'!J34</f>
        <v>67982.290000000023</v>
      </c>
      <c r="D162" s="27">
        <f>+'נתוני ב"ש'!K34</f>
        <v>65735.179999999993</v>
      </c>
      <c r="E162" s="27">
        <f>+'נתוני ב"ש'!L34</f>
        <v>69338.910000000018</v>
      </c>
      <c r="F162" s="27">
        <f>+'נתוני ב"ש'!M34</f>
        <v>69931.63999999997</v>
      </c>
      <c r="G162" s="27">
        <f>+'נתוני ב"ש'!N34</f>
        <v>75317.770000000019</v>
      </c>
      <c r="H162" s="27">
        <f>+'נתוני ב"ש'!O34</f>
        <v>69939.420000000027</v>
      </c>
      <c r="I162" s="27">
        <f>+'נתוני ב"ש'!P34</f>
        <v>70583.349999999991</v>
      </c>
      <c r="J162" s="27">
        <f>+'נתוני ב"ש'!Q34</f>
        <v>66411.22</v>
      </c>
      <c r="K162" s="27">
        <f>+'נתוני ב"ש'!R34</f>
        <v>72680.740000000049</v>
      </c>
    </row>
    <row r="163" spans="1:11" x14ac:dyDescent="0.3">
      <c r="B163" s="35" t="s">
        <v>437</v>
      </c>
      <c r="C163" s="38">
        <f>+C162/C159</f>
        <v>0.1605155729061408</v>
      </c>
      <c r="D163" s="38">
        <f>+D162/D159</f>
        <v>0.16731848780824515</v>
      </c>
      <c r="E163" s="38">
        <f>+E162/E159</f>
        <v>0.18470673947789029</v>
      </c>
      <c r="F163" s="38">
        <f t="shared" ref="F163:H163" si="268">+F162/F159</f>
        <v>0.16581968109797135</v>
      </c>
      <c r="G163" s="38">
        <f t="shared" si="268"/>
        <v>0.16038012783496228</v>
      </c>
      <c r="H163" s="38">
        <f t="shared" si="268"/>
        <v>0.15925320731269615</v>
      </c>
      <c r="I163" s="38">
        <f t="shared" ref="I163:J163" si="269">+I162/I159</f>
        <v>0.16302736549379379</v>
      </c>
      <c r="J163" s="38">
        <f t="shared" si="269"/>
        <v>0.20658348731157108</v>
      </c>
      <c r="K163" s="38">
        <f t="shared" ref="K163" si="270">+K162/K159</f>
        <v>0.18620630680313194</v>
      </c>
    </row>
    <row r="164" spans="1:11" x14ac:dyDescent="0.3">
      <c r="B164" s="35" t="s">
        <v>656</v>
      </c>
      <c r="C164" s="142"/>
      <c r="D164" s="142"/>
      <c r="E164" s="142"/>
      <c r="F164" s="142"/>
      <c r="G164" s="142"/>
      <c r="H164" s="142"/>
      <c r="I164" s="142"/>
      <c r="J164" s="142"/>
      <c r="K164" s="142"/>
    </row>
    <row r="165" spans="1:11" x14ac:dyDescent="0.3">
      <c r="B165" s="35" t="s">
        <v>437</v>
      </c>
      <c r="C165" s="38">
        <f>+C164/C159</f>
        <v>0</v>
      </c>
      <c r="D165" s="38">
        <f>+D164/D159</f>
        <v>0</v>
      </c>
      <c r="E165" s="38">
        <f>+E164/E159</f>
        <v>0</v>
      </c>
      <c r="F165" s="38">
        <f t="shared" ref="F165:H165" si="271">+F164/F159</f>
        <v>0</v>
      </c>
      <c r="G165" s="38">
        <f t="shared" si="271"/>
        <v>0</v>
      </c>
      <c r="H165" s="38">
        <f t="shared" si="271"/>
        <v>0</v>
      </c>
      <c r="I165" s="38">
        <f t="shared" ref="I165:J165" si="272">+I164/I159</f>
        <v>0</v>
      </c>
      <c r="J165" s="38">
        <f t="shared" si="272"/>
        <v>0</v>
      </c>
      <c r="K165" s="38">
        <f t="shared" ref="K165" si="273">+K164/K159</f>
        <v>0</v>
      </c>
    </row>
    <row r="166" spans="1:11" x14ac:dyDescent="0.3">
      <c r="B166" s="35" t="s">
        <v>436</v>
      </c>
      <c r="C166" s="27"/>
      <c r="D166" s="27">
        <f>+'וטרמקט ואלסמד'!K15</f>
        <v>50127.118644067799</v>
      </c>
      <c r="E166" s="27">
        <f>+'וטרמקט ואלסמד'!L15</f>
        <v>85409.322033898308</v>
      </c>
      <c r="F166" s="27">
        <f>+'וטרמקט ואלסמד'!M15</f>
        <v>61106.779661016953</v>
      </c>
      <c r="G166" s="27">
        <f>+'וטרמקט ואלסמד'!N15</f>
        <v>83852.542372881362</v>
      </c>
      <c r="H166" s="27">
        <f>+'וטרמקט ואלסמד'!O15</f>
        <v>61106.779661016953</v>
      </c>
      <c r="I166" s="27">
        <f>+'וטרמקט ואלסמד'!P15</f>
        <v>77523.728813559326</v>
      </c>
      <c r="J166" s="27">
        <f>+'וטמרקט ואלסמד 2-4.26'!L14</f>
        <v>58714.406779661018</v>
      </c>
      <c r="K166" s="346">
        <f>+'וטמרקט ואלסמד 2-4.26'!S15</f>
        <v>107559.32203389831</v>
      </c>
    </row>
    <row r="167" spans="1:11" x14ac:dyDescent="0.3">
      <c r="B167" s="35" t="s">
        <v>437</v>
      </c>
      <c r="C167" s="38">
        <f>+C166/C159</f>
        <v>0</v>
      </c>
      <c r="D167" s="38">
        <f>+D166/D159</f>
        <v>0.12759064004555729</v>
      </c>
      <c r="E167" s="38">
        <f>+E166/E159</f>
        <v>0.22751550888092251</v>
      </c>
      <c r="F167" s="38">
        <f t="shared" ref="F167:H167" si="274">+F166/F159</f>
        <v>0.14489445287303199</v>
      </c>
      <c r="G167" s="38">
        <f t="shared" si="274"/>
        <v>0.17855389856934559</v>
      </c>
      <c r="H167" s="38">
        <f t="shared" si="274"/>
        <v>0.13914114028350785</v>
      </c>
      <c r="I167" s="38">
        <f t="shared" ref="I167:J167" si="275">+I166/I159</f>
        <v>0.17905765696484921</v>
      </c>
      <c r="J167" s="38">
        <f t="shared" si="275"/>
        <v>0.18264123002065802</v>
      </c>
      <c r="K167" s="38">
        <f t="shared" ref="K167" si="276">+K166/K159</f>
        <v>0.27556439461377147</v>
      </c>
    </row>
    <row r="168" spans="1:11" x14ac:dyDescent="0.3">
      <c r="B168" s="35" t="s">
        <v>719</v>
      </c>
      <c r="C168" s="27">
        <f>+C159-C160-C162-C164-C166</f>
        <v>238341.01627118641</v>
      </c>
      <c r="D168" s="27">
        <f>+D159-D160-D162-D164-D166</f>
        <v>161335.0976271187</v>
      </c>
      <c r="E168" s="27">
        <f>+E159-E160-E162-E164-E166</f>
        <v>113626.09796610168</v>
      </c>
      <c r="F168" s="27">
        <f t="shared" ref="F168:H168" si="277">+F159-F160-F162-F164-F166</f>
        <v>191328.55118644075</v>
      </c>
      <c r="G168" s="27">
        <f t="shared" si="277"/>
        <v>172271.37661016948</v>
      </c>
      <c r="H168" s="27">
        <f t="shared" si="277"/>
        <v>162606.34677966096</v>
      </c>
      <c r="I168" s="27">
        <f t="shared" ref="I168:J168" si="278">+I159-I160-I162-I164-I166</f>
        <v>183774.80932203389</v>
      </c>
      <c r="J168" s="27">
        <f t="shared" si="278"/>
        <v>118538.27610169491</v>
      </c>
      <c r="K168" s="27">
        <f t="shared" ref="K168" si="279">+K159-K160-K162-K164-K166</f>
        <v>102148.85423728784</v>
      </c>
    </row>
    <row r="169" spans="1:11" x14ac:dyDescent="0.3">
      <c r="B169" s="35" t="s">
        <v>720</v>
      </c>
      <c r="C169" s="38">
        <f>+C168/C159</f>
        <v>0.56275604681456448</v>
      </c>
      <c r="D169" s="38">
        <f>+D168/D159</f>
        <v>0.41065293447686768</v>
      </c>
      <c r="E169" s="38">
        <f>+E168/E159</f>
        <v>0.30268006916915735</v>
      </c>
      <c r="F169" s="38">
        <f t="shared" ref="F169:H169" si="280">+F168/F159</f>
        <v>0.45367217675250443</v>
      </c>
      <c r="G169" s="38">
        <f t="shared" si="280"/>
        <v>0.36683116617823264</v>
      </c>
      <c r="H169" s="38">
        <f t="shared" si="280"/>
        <v>0.37025732060777028</v>
      </c>
      <c r="I169" s="38">
        <f t="shared" ref="I169:J169" si="281">+I168/I159</f>
        <v>0.42446728595193461</v>
      </c>
      <c r="J169" s="38">
        <f t="shared" si="281"/>
        <v>0.36873363351840244</v>
      </c>
      <c r="K169" s="38">
        <f t="shared" ref="K169" si="282">+K168/K159</f>
        <v>0.26170290632286919</v>
      </c>
    </row>
    <row r="170" spans="1:11" ht="14.5" thickBot="1" x14ac:dyDescent="0.3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spans="1:11" ht="14.5" thickTop="1" x14ac:dyDescent="0.3"/>
    <row r="172" spans="1:11" x14ac:dyDescent="0.3">
      <c r="B172" s="42" t="s">
        <v>404</v>
      </c>
      <c r="C172" s="37">
        <v>8.25</v>
      </c>
      <c r="D172" s="37">
        <v>9.25</v>
      </c>
      <c r="E172" s="37">
        <v>10.25</v>
      </c>
      <c r="F172" s="37">
        <v>11.25</v>
      </c>
      <c r="G172" s="37">
        <v>12.25</v>
      </c>
      <c r="H172" s="37">
        <v>1.26</v>
      </c>
      <c r="I172" s="37">
        <v>2.2599999999999998</v>
      </c>
      <c r="J172" s="37">
        <v>3.26</v>
      </c>
      <c r="K172" s="37">
        <v>4.26</v>
      </c>
    </row>
    <row r="173" spans="1:11" x14ac:dyDescent="0.3">
      <c r="B173" s="35" t="s">
        <v>433</v>
      </c>
      <c r="C173" s="27">
        <f>+'הכנסות - מרכז'!I88</f>
        <v>432033.05084745766</v>
      </c>
      <c r="D173" s="27">
        <f>+'הכנסות - מרכז'!J88</f>
        <v>869411.86440677976</v>
      </c>
      <c r="E173" s="27">
        <f>+'הכנסות - מרכז'!K88</f>
        <v>886831.35593220347</v>
      </c>
      <c r="F173" s="27">
        <f>+'הכנסות - מרכז'!L88</f>
        <v>872897.45762711868</v>
      </c>
      <c r="G173" s="27">
        <f>+'הכנסות - מרכז'!M88</f>
        <v>880342.37288135593</v>
      </c>
      <c r="H173" s="27">
        <f>+'הכנסות - מרכז'!N88</f>
        <v>1007326.2711864407</v>
      </c>
      <c r="I173" s="27">
        <f>+'הכנסות - מרכז'!O88</f>
        <v>880429</v>
      </c>
      <c r="J173" s="27">
        <f>+'הכנסות - מרכז'!P88</f>
        <v>908246</v>
      </c>
      <c r="K173" s="27">
        <f>+'הכנסות - מרכז'!Q88</f>
        <v>1075829</v>
      </c>
    </row>
    <row r="174" spans="1:11" x14ac:dyDescent="0.3">
      <c r="B174" s="35" t="s">
        <v>434</v>
      </c>
      <c r="C174" s="45">
        <f>+'נתוני חיפה'!E57</f>
        <v>295955</v>
      </c>
      <c r="D174" s="45">
        <f>+'נתוני חיפה'!F57</f>
        <v>304381</v>
      </c>
      <c r="E174" s="45">
        <f>+'נתוני חיפה'!G57+'רופאים בחשבונית'!U11</f>
        <v>448146.28</v>
      </c>
      <c r="F174" s="45">
        <f>+'נתוני חיפה'!H57+'רופאים בחשבונית'!V11</f>
        <v>429847.33999999997</v>
      </c>
      <c r="G174" s="45">
        <f>+'נתוני חיפה'!I57+'רופאים בחשבונית'!W11</f>
        <v>455671.66000000003</v>
      </c>
      <c r="H174" s="45">
        <f>+'נתוני חיפה'!J57+'רופאים בחשבונית'!X11</f>
        <v>384510.49186440679</v>
      </c>
      <c r="I174" s="45">
        <f>+'נתוני חיפה'!K57+'רופאים בחשבונית'!Y11</f>
        <v>374188.64254237292</v>
      </c>
      <c r="J174" s="45">
        <f>+'נתוני חיפה'!L57+'רופאים בחשבונית'!Z11</f>
        <v>342598.72118644067</v>
      </c>
      <c r="K174" s="45">
        <f>+'נתוני חיפה'!M57+'רופאים בחשבונית'!AA11</f>
        <v>356334.37677966105</v>
      </c>
    </row>
    <row r="175" spans="1:11" x14ac:dyDescent="0.3">
      <c r="B175" s="36" t="s">
        <v>437</v>
      </c>
      <c r="C175" s="38">
        <f t="shared" ref="C175" si="283">+C174/C173</f>
        <v>0.68502860931465137</v>
      </c>
      <c r="D175" s="38">
        <f>+D174/D173</f>
        <v>0.35009989219285192</v>
      </c>
      <c r="E175" s="38">
        <f>+E174/E173</f>
        <v>0.50533427466479874</v>
      </c>
      <c r="F175" s="38">
        <f t="shared" ref="F175" si="284">+F174/F173</f>
        <v>0.49243738338807336</v>
      </c>
      <c r="G175" s="38">
        <f t="shared" ref="G175" si="285">+G174/G173</f>
        <v>0.51760732419205169</v>
      </c>
      <c r="H175" s="38">
        <f t="shared" ref="H175:I175" si="286">+H174/H173</f>
        <v>0.3817139519368693</v>
      </c>
      <c r="I175" s="38">
        <f t="shared" si="286"/>
        <v>0.42500717552735418</v>
      </c>
      <c r="J175" s="38">
        <f t="shared" ref="J175:K175" si="287">+J174/J173</f>
        <v>0.37720917150908528</v>
      </c>
      <c r="K175" s="38">
        <f t="shared" si="287"/>
        <v>0.33121841554713716</v>
      </c>
    </row>
    <row r="176" spans="1:11" x14ac:dyDescent="0.3">
      <c r="B176" s="35" t="s">
        <v>435</v>
      </c>
      <c r="C176" s="27">
        <f>+'נתוני חיפה'!E56</f>
        <v>149925</v>
      </c>
      <c r="D176" s="27">
        <f>+'נתוני חיפה'!F56</f>
        <v>160972</v>
      </c>
      <c r="E176" s="27">
        <f>+'נתוני חיפה'!G56</f>
        <v>210698</v>
      </c>
      <c r="F176" s="27">
        <f>+'נתוני חיפה'!H56</f>
        <v>153073</v>
      </c>
      <c r="G176" s="27">
        <f>+'נתוני חיפה'!I56</f>
        <v>169438</v>
      </c>
      <c r="H176" s="27">
        <f>+'נתוני חיפה'!J56</f>
        <v>153759.08999999997</v>
      </c>
      <c r="I176" s="27">
        <f>+'נתוני חיפה'!K56</f>
        <v>152347.02999999997</v>
      </c>
      <c r="J176" s="27">
        <f>+'נתוני חיפה'!L56</f>
        <v>166724.86000000004</v>
      </c>
      <c r="K176" s="27">
        <f>+'נתוני חיפה'!M56</f>
        <v>173950.54999999993</v>
      </c>
    </row>
    <row r="177" spans="1:11" x14ac:dyDescent="0.3">
      <c r="B177" s="35" t="s">
        <v>437</v>
      </c>
      <c r="C177" s="179">
        <f t="shared" ref="C177:D177" si="288">+C176/C173</f>
        <v>0.34702206163605653</v>
      </c>
      <c r="D177" s="179">
        <f t="shared" si="288"/>
        <v>0.18515045238062744</v>
      </c>
      <c r="E177" s="179">
        <f>+E176/E173</f>
        <v>0.23758519428817698</v>
      </c>
      <c r="F177" s="179">
        <f t="shared" ref="F177:H177" si="289">+F176/F173</f>
        <v>0.17536194963393878</v>
      </c>
      <c r="G177" s="179">
        <f t="shared" si="289"/>
        <v>0.19246830008355764</v>
      </c>
      <c r="H177" s="179">
        <f t="shared" si="289"/>
        <v>0.15264080208977446</v>
      </c>
      <c r="I177" s="179">
        <f t="shared" ref="I177:J177" si="290">+I176/I173</f>
        <v>0.173037269331201</v>
      </c>
      <c r="J177" s="179">
        <f t="shared" si="290"/>
        <v>0.18356795405650017</v>
      </c>
      <c r="K177" s="179">
        <f t="shared" ref="K177" si="291">+K176/K173</f>
        <v>0.16168977597740899</v>
      </c>
    </row>
    <row r="178" spans="1:11" x14ac:dyDescent="0.3">
      <c r="B178" s="35" t="s">
        <v>656</v>
      </c>
      <c r="C178" s="142"/>
      <c r="D178" s="142"/>
      <c r="E178" s="142"/>
      <c r="F178" s="142"/>
      <c r="G178" s="142"/>
      <c r="H178" s="142"/>
      <c r="I178" s="142"/>
      <c r="J178" s="142"/>
      <c r="K178" s="142"/>
    </row>
    <row r="179" spans="1:11" x14ac:dyDescent="0.3">
      <c r="B179" s="35" t="s">
        <v>437</v>
      </c>
      <c r="C179" s="38">
        <f t="shared" ref="C179:D179" si="292">+C178/C173</f>
        <v>0</v>
      </c>
      <c r="D179" s="38">
        <f t="shared" si="292"/>
        <v>0</v>
      </c>
      <c r="E179" s="38">
        <f>+E178/E173</f>
        <v>0</v>
      </c>
      <c r="F179" s="38">
        <f t="shared" ref="F179" si="293">+F178/F173</f>
        <v>0</v>
      </c>
      <c r="G179" s="38">
        <f t="shared" ref="G179" si="294">+G178/G173</f>
        <v>0</v>
      </c>
      <c r="H179" s="38">
        <f t="shared" ref="H179:I179" si="295">+H178/H173</f>
        <v>0</v>
      </c>
      <c r="I179" s="38">
        <f t="shared" si="295"/>
        <v>0</v>
      </c>
      <c r="J179" s="38">
        <f t="shared" ref="J179:K179" si="296">+J178/J173</f>
        <v>0</v>
      </c>
      <c r="K179" s="38">
        <f t="shared" si="296"/>
        <v>0</v>
      </c>
    </row>
    <row r="180" spans="1:11" x14ac:dyDescent="0.3">
      <c r="B180" s="35" t="s">
        <v>436</v>
      </c>
      <c r="C180" s="27"/>
      <c r="D180" s="126"/>
      <c r="E180" s="142">
        <f>+'וטרמקט ואלסמד'!M63</f>
        <v>113035.59322033898</v>
      </c>
      <c r="F180" s="142">
        <f>+'וטרמקט ואלסמד'!N63</f>
        <v>133788.13559322036</v>
      </c>
      <c r="G180" s="142">
        <f>+'וטרמקט ואלסמד'!O63</f>
        <v>115114.40677966102</v>
      </c>
      <c r="H180" s="142">
        <f>+'וטרמקט ואלסמד'!P63</f>
        <v>113035.59322033898</v>
      </c>
      <c r="I180" s="142">
        <f>+'וטרמקט ואלסמד'!Q63</f>
        <v>123813.55932203391</v>
      </c>
      <c r="J180" s="142">
        <f>+'וטמרקט ואלסמד 2-4.26'!L12</f>
        <v>143272.03389830509</v>
      </c>
      <c r="K180" s="142">
        <f>+'וטמרקט ואלסמד 2-4.26'!S13</f>
        <v>96490.677966101706</v>
      </c>
    </row>
    <row r="181" spans="1:11" x14ac:dyDescent="0.3">
      <c r="B181" s="35" t="s">
        <v>437</v>
      </c>
      <c r="C181" s="38">
        <f t="shared" ref="C181:D181" si="297">+C180/C173</f>
        <v>0</v>
      </c>
      <c r="D181" s="38">
        <f t="shared" si="297"/>
        <v>0</v>
      </c>
      <c r="E181" s="38">
        <f>+E180/E173</f>
        <v>0.12746007734640849</v>
      </c>
      <c r="F181" s="38">
        <f t="shared" ref="F181:H181" si="298">+F180/F173</f>
        <v>0.15326901736764081</v>
      </c>
      <c r="G181" s="38">
        <f t="shared" si="298"/>
        <v>0.1307609520178975</v>
      </c>
      <c r="H181" s="38">
        <f t="shared" si="298"/>
        <v>0.11221348678537325</v>
      </c>
      <c r="I181" s="38">
        <f t="shared" ref="I181:J181" si="299">+I180/I173</f>
        <v>0.14062867002567375</v>
      </c>
      <c r="J181" s="38">
        <f t="shared" si="299"/>
        <v>0.15774584627766605</v>
      </c>
      <c r="K181" s="38">
        <f t="shared" ref="K181" si="300">+K180/K173</f>
        <v>8.9689604915002025E-2</v>
      </c>
    </row>
    <row r="182" spans="1:11" x14ac:dyDescent="0.3">
      <c r="B182" s="35" t="s">
        <v>719</v>
      </c>
      <c r="C182" s="27">
        <f t="shared" ref="C182:D182" si="301">+C173-C174-C176-C178-C180</f>
        <v>-13846.949152542336</v>
      </c>
      <c r="D182" s="27">
        <f t="shared" si="301"/>
        <v>404058.86440677976</v>
      </c>
      <c r="E182" s="27">
        <f>+E173-E174-E176-E178-E180</f>
        <v>114951.48271186446</v>
      </c>
      <c r="F182" s="27">
        <f t="shared" ref="F182:H182" si="302">+F173-F174-F176-F178-F180</f>
        <v>156188.98203389836</v>
      </c>
      <c r="G182" s="27">
        <f t="shared" si="302"/>
        <v>140118.30610169488</v>
      </c>
      <c r="H182" s="27">
        <f t="shared" si="302"/>
        <v>356021.09610169503</v>
      </c>
      <c r="I182" s="27">
        <f t="shared" ref="I182:J182" si="303">+I173-I174-I176-I178-I180</f>
        <v>230079.76813559321</v>
      </c>
      <c r="J182" s="27">
        <f t="shared" si="303"/>
        <v>255650.3849152542</v>
      </c>
      <c r="K182" s="27">
        <f t="shared" ref="K182" si="304">+K173-K174-K176-K178-K180</f>
        <v>449053.39525423734</v>
      </c>
    </row>
    <row r="183" spans="1:11" x14ac:dyDescent="0.3">
      <c r="B183" s="35" t="s">
        <v>720</v>
      </c>
      <c r="C183" s="38">
        <f t="shared" ref="C183:D183" si="305">+C182/C173</f>
        <v>-3.2050670950707939E-2</v>
      </c>
      <c r="D183" s="38">
        <f t="shared" si="305"/>
        <v>0.46474965542652064</v>
      </c>
      <c r="E183" s="38">
        <f>+E182/E173</f>
        <v>0.12962045370061576</v>
      </c>
      <c r="F183" s="38">
        <f t="shared" ref="F183:H183" si="306">+F182/F173</f>
        <v>0.17893164961034705</v>
      </c>
      <c r="G183" s="38">
        <f t="shared" si="306"/>
        <v>0.1591634237064932</v>
      </c>
      <c r="H183" s="38">
        <f t="shared" si="306"/>
        <v>0.35343175918798303</v>
      </c>
      <c r="I183" s="38">
        <f t="shared" ref="I183:J183" si="307">+I182/I173</f>
        <v>0.26132688511577107</v>
      </c>
      <c r="J183" s="38">
        <f t="shared" si="307"/>
        <v>0.28147702815674852</v>
      </c>
      <c r="K183" s="38">
        <f t="shared" ref="K183" si="308">+K182/K173</f>
        <v>0.41740220356045182</v>
      </c>
    </row>
    <row r="184" spans="1:11" ht="14.5" thickBot="1" x14ac:dyDescent="0.3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spans="1:11" ht="14.5" thickTop="1" x14ac:dyDescent="0.3">
      <c r="C185" s="37"/>
      <c r="D185" s="37"/>
    </row>
    <row r="186" spans="1:11" x14ac:dyDescent="0.3">
      <c r="B186" s="42" t="s">
        <v>405</v>
      </c>
      <c r="C186" s="37">
        <v>8.25</v>
      </c>
      <c r="D186" s="37">
        <v>9.25</v>
      </c>
      <c r="E186" s="37">
        <v>10.25</v>
      </c>
      <c r="F186" s="37">
        <v>11.25</v>
      </c>
      <c r="G186" s="37">
        <v>12.25</v>
      </c>
      <c r="H186" s="37">
        <v>1.26</v>
      </c>
      <c r="I186" s="37">
        <v>2.2599999999999998</v>
      </c>
      <c r="J186" s="37">
        <v>3.26</v>
      </c>
      <c r="K186" s="37">
        <v>4.26</v>
      </c>
    </row>
    <row r="187" spans="1:11" x14ac:dyDescent="0.3">
      <c r="B187" s="35" t="s">
        <v>433</v>
      </c>
      <c r="C187" s="27">
        <f>+'הכנסות - מרכז'!I89</f>
        <v>49908.47457627119</v>
      </c>
      <c r="D187" s="27">
        <f>+'הכנסות - מרכז'!J89</f>
        <v>94245.762711864416</v>
      </c>
      <c r="E187" s="27">
        <f>+'הכנסות - מרכז'!K89</f>
        <v>108672.88135593222</v>
      </c>
      <c r="F187" s="27">
        <f>+'הכנסות - מרכז'!L89</f>
        <v>129999.15254237289</v>
      </c>
      <c r="G187" s="27">
        <f>+'הכנסות - מרכז'!M89</f>
        <v>85021.186440677964</v>
      </c>
      <c r="H187" s="27">
        <f>+'הכנסות - מרכז'!N89</f>
        <v>127703.38983050849</v>
      </c>
      <c r="I187" s="27">
        <f>+'הכנסות - מרכז'!O89</f>
        <v>134377</v>
      </c>
      <c r="J187" s="27">
        <f>+'הכנסות - מרכז'!P89</f>
        <v>97514</v>
      </c>
      <c r="K187" s="27">
        <f>+'הכנסות - מרכז'!Q89</f>
        <v>108245</v>
      </c>
    </row>
    <row r="188" spans="1:11" x14ac:dyDescent="0.3">
      <c r="B188" s="35" t="s">
        <v>434</v>
      </c>
      <c r="C188" s="45">
        <f>+'נתוני מוצקין'!E22</f>
        <v>14949</v>
      </c>
      <c r="D188" s="45">
        <f>+'נתוני מוצקין'!F22</f>
        <v>10496</v>
      </c>
      <c r="E188" s="45">
        <f>+'נתוני מוצקין'!G22</f>
        <v>15968</v>
      </c>
      <c r="F188" s="45">
        <f>+'נתוני מוצקין'!H22</f>
        <v>16105</v>
      </c>
      <c r="G188" s="45">
        <f>+'נתוני מוצקין'!I22</f>
        <v>19462</v>
      </c>
      <c r="H188" s="45">
        <f>+'נתוני מוצקין'!J22</f>
        <v>13573.83</v>
      </c>
      <c r="I188" s="45">
        <f>+'נתוני מוצקין'!K22</f>
        <v>6101.08</v>
      </c>
      <c r="J188" s="45">
        <f>+'נתוני מוצקין'!L22</f>
        <v>36615.58</v>
      </c>
      <c r="K188" s="45">
        <f>+'נתוני מוצקין'!M22</f>
        <v>31111.11</v>
      </c>
    </row>
    <row r="189" spans="1:11" x14ac:dyDescent="0.3">
      <c r="B189" s="36" t="s">
        <v>437</v>
      </c>
      <c r="C189" s="38">
        <f t="shared" ref="C189:D189" si="309">+C188/C187</f>
        <v>0.29952828907152074</v>
      </c>
      <c r="D189" s="38">
        <f t="shared" si="309"/>
        <v>0.11136840212211131</v>
      </c>
      <c r="E189" s="38">
        <f>+E188/E187</f>
        <v>0.14693638192679007</v>
      </c>
      <c r="F189" s="38">
        <f t="shared" ref="F189:H189" si="310">+F188/F187</f>
        <v>0.12388542298189688</v>
      </c>
      <c r="G189" s="38">
        <f t="shared" si="310"/>
        <v>0.22890765013705458</v>
      </c>
      <c r="H189" s="38">
        <f t="shared" si="310"/>
        <v>0.1062918534740195</v>
      </c>
      <c r="I189" s="38">
        <f t="shared" ref="I189:J189" si="311">+I188/I187</f>
        <v>4.5402710285242266E-2</v>
      </c>
      <c r="J189" s="38">
        <f t="shared" si="311"/>
        <v>0.37549049367270343</v>
      </c>
      <c r="K189" s="38">
        <f t="shared" ref="K189" si="312">+K188/K187</f>
        <v>0.28741382973809415</v>
      </c>
    </row>
    <row r="190" spans="1:11" x14ac:dyDescent="0.3">
      <c r="B190" s="35" t="s">
        <v>435</v>
      </c>
      <c r="C190" s="45">
        <f>+'נתוני מוצקין'!E21</f>
        <v>38651</v>
      </c>
      <c r="D190" s="45">
        <f>+'נתוני מוצקין'!F21</f>
        <v>32583</v>
      </c>
      <c r="E190" s="45">
        <f>+'נתוני מוצקין'!G21</f>
        <v>35213</v>
      </c>
      <c r="F190" s="45">
        <f>+'נתוני מוצקין'!H21</f>
        <v>38324</v>
      </c>
      <c r="G190" s="45">
        <f>+'נתוני מוצקין'!I21</f>
        <v>74417</v>
      </c>
      <c r="H190" s="45">
        <f>+'נתוני מוצקין'!J21</f>
        <v>53007.45</v>
      </c>
      <c r="I190" s="45">
        <f>+'נתוני מוצקין'!K21</f>
        <v>39567.079999999994</v>
      </c>
      <c r="J190" s="45">
        <f>+'נתוני מוצקין'!L21</f>
        <v>37775.729999999996</v>
      </c>
      <c r="K190" s="45">
        <f>+'נתוני מוצקין'!M21</f>
        <v>31121.590000000004</v>
      </c>
    </row>
    <row r="191" spans="1:11" x14ac:dyDescent="0.3">
      <c r="B191" s="35" t="s">
        <v>437</v>
      </c>
      <c r="C191" s="38">
        <f t="shared" ref="C191:D191" si="313">+C190/C187</f>
        <v>0.77443761461658622</v>
      </c>
      <c r="D191" s="38">
        <f t="shared" si="313"/>
        <v>0.34572376584839487</v>
      </c>
      <c r="E191" s="38">
        <f>+E190/E187</f>
        <v>0.32402748101127621</v>
      </c>
      <c r="F191" s="38">
        <f t="shared" ref="F191:H191" si="314">+F190/F187</f>
        <v>0.29480192178567005</v>
      </c>
      <c r="G191" s="38">
        <f t="shared" si="314"/>
        <v>0.87527595315225515</v>
      </c>
      <c r="H191" s="38">
        <f t="shared" si="314"/>
        <v>0.41508256022297424</v>
      </c>
      <c r="I191" s="38">
        <f t="shared" ref="I191:J191" si="315">+I190/I187</f>
        <v>0.29444830588567977</v>
      </c>
      <c r="J191" s="38">
        <f t="shared" si="315"/>
        <v>0.38738775970629852</v>
      </c>
      <c r="K191" s="38">
        <f t="shared" ref="K191" si="316">+K190/K187</f>
        <v>0.28751064714305513</v>
      </c>
    </row>
    <row r="192" spans="1:11" x14ac:dyDescent="0.3">
      <c r="B192" s="35" t="s">
        <v>656</v>
      </c>
      <c r="C192" s="142"/>
      <c r="D192" s="142"/>
      <c r="E192" s="142"/>
      <c r="F192" s="142"/>
      <c r="G192" s="142"/>
      <c r="H192" s="142"/>
      <c r="I192" s="142"/>
      <c r="J192" s="142"/>
      <c r="K192" s="142"/>
    </row>
    <row r="193" spans="1:11" x14ac:dyDescent="0.3">
      <c r="B193" s="35" t="s">
        <v>437</v>
      </c>
      <c r="C193" s="38">
        <f t="shared" ref="C193:D193" si="317">+C192/C187</f>
        <v>0</v>
      </c>
      <c r="D193" s="38">
        <f t="shared" si="317"/>
        <v>0</v>
      </c>
      <c r="E193" s="38">
        <f>+E192/E187</f>
        <v>0</v>
      </c>
      <c r="F193" s="38">
        <f t="shared" ref="F193:H193" si="318">+F192/F187</f>
        <v>0</v>
      </c>
      <c r="G193" s="38">
        <f t="shared" si="318"/>
        <v>0</v>
      </c>
      <c r="H193" s="38">
        <f t="shared" si="318"/>
        <v>0</v>
      </c>
      <c r="I193" s="38">
        <f t="shared" ref="I193:J193" si="319">+I192/I187</f>
        <v>0</v>
      </c>
      <c r="J193" s="38">
        <f t="shared" si="319"/>
        <v>0</v>
      </c>
      <c r="K193" s="38">
        <f t="shared" ref="K193" si="320">+K192/K187</f>
        <v>0</v>
      </c>
    </row>
    <row r="194" spans="1:11" x14ac:dyDescent="0.3">
      <c r="B194" s="35" t="s">
        <v>436</v>
      </c>
      <c r="C194" s="27"/>
      <c r="D194" s="27">
        <f>+'וטרמקט ואלסמד'!K43</f>
        <v>9011.8644067796613</v>
      </c>
      <c r="E194" s="27">
        <f>+'וטרמקט ואלסמד'!L43</f>
        <v>9685.5932203389839</v>
      </c>
      <c r="F194" s="27">
        <f>+'וטרמקט ואלסמד'!M43</f>
        <v>11928.813559322034</v>
      </c>
      <c r="G194" s="27">
        <f>+'וטרמקט ואלסמד'!N43</f>
        <v>14978.813559322034</v>
      </c>
      <c r="H194" s="27">
        <f>+'וטרמקט ואלסמד'!O43</f>
        <v>9685.5932203389839</v>
      </c>
      <c r="I194" s="27">
        <f>+'וטרמקט ואלסמד'!P43</f>
        <v>18967.796610169491</v>
      </c>
      <c r="J194" s="27">
        <f>+'וטמרקט ואלסמד 2-4.26'!L13</f>
        <v>13292.372881355934</v>
      </c>
      <c r="K194" s="27">
        <f>+'וטמרקט ואלסמד 2-4.26'!S14</f>
        <v>6177.9661016949158</v>
      </c>
    </row>
    <row r="195" spans="1:11" x14ac:dyDescent="0.3">
      <c r="B195" s="35" t="s">
        <v>437</v>
      </c>
      <c r="C195" s="38">
        <f t="shared" ref="C195:D195" si="321">+C194/C187</f>
        <v>0</v>
      </c>
      <c r="D195" s="38">
        <f t="shared" si="321"/>
        <v>9.5620897401312827E-2</v>
      </c>
      <c r="E195" s="38">
        <f>+E194/E187</f>
        <v>8.9126128795795179E-2</v>
      </c>
      <c r="F195" s="38">
        <f t="shared" ref="F195:H195" si="322">+F194/F187</f>
        <v>9.176070248176324E-2</v>
      </c>
      <c r="G195" s="38">
        <f t="shared" si="322"/>
        <v>0.17617742337403439</v>
      </c>
      <c r="H195" s="38">
        <f t="shared" si="322"/>
        <v>7.5844448868538056E-2</v>
      </c>
      <c r="I195" s="38">
        <f t="shared" ref="I195:J195" si="323">+I194/I187</f>
        <v>0.14115359481287343</v>
      </c>
      <c r="J195" s="38">
        <f t="shared" si="323"/>
        <v>0.13631245648169427</v>
      </c>
      <c r="K195" s="38">
        <f t="shared" ref="K195" si="324">+K194/K187</f>
        <v>5.7073916593791081E-2</v>
      </c>
    </row>
    <row r="196" spans="1:11" x14ac:dyDescent="0.3">
      <c r="B196" s="35" t="s">
        <v>719</v>
      </c>
      <c r="C196" s="27">
        <f t="shared" ref="C196:D196" si="325">+C187-C188-C190-C192-C194</f>
        <v>-3691.52542372881</v>
      </c>
      <c r="D196" s="27">
        <f t="shared" si="325"/>
        <v>42154.898305084753</v>
      </c>
      <c r="E196" s="27">
        <f>+E187-E188-E190-E192-E194</f>
        <v>47806.288135593233</v>
      </c>
      <c r="F196" s="27">
        <f t="shared" ref="F196:H196" si="326">+F187-F188-F190-F192-F194</f>
        <v>63641.338983050853</v>
      </c>
      <c r="G196" s="27">
        <f t="shared" si="326"/>
        <v>-23836.627118644072</v>
      </c>
      <c r="H196" s="27">
        <f t="shared" si="326"/>
        <v>51436.516610169507</v>
      </c>
      <c r="I196" s="27">
        <f t="shared" ref="I196:J196" si="327">+I187-I188-I190-I192-I194</f>
        <v>69741.043389830505</v>
      </c>
      <c r="J196" s="27">
        <f t="shared" si="327"/>
        <v>9830.3171186440686</v>
      </c>
      <c r="K196" s="27">
        <f t="shared" ref="K196" si="328">+K187-K188-K190-K192-K194</f>
        <v>39834.333898305078</v>
      </c>
    </row>
    <row r="197" spans="1:11" x14ac:dyDescent="0.3">
      <c r="B197" s="35" t="s">
        <v>720</v>
      </c>
      <c r="C197" s="38">
        <f t="shared" ref="C197:D197" si="329">+C196/C187</f>
        <v>-7.396590368810696E-2</v>
      </c>
      <c r="D197" s="38">
        <f t="shared" si="329"/>
        <v>0.44728693462818098</v>
      </c>
      <c r="E197" s="38">
        <f>+E196/E187</f>
        <v>0.43991000826613852</v>
      </c>
      <c r="F197" s="38">
        <f t="shared" ref="F197:H197" si="330">+F196/F187</f>
        <v>0.48955195275066982</v>
      </c>
      <c r="G197" s="38">
        <f t="shared" si="330"/>
        <v>-0.28036102666334417</v>
      </c>
      <c r="H197" s="38">
        <f t="shared" si="330"/>
        <v>0.40278113743446819</v>
      </c>
      <c r="I197" s="38">
        <f t="shared" ref="I197:J197" si="331">+I196/I187</f>
        <v>0.51899538901620446</v>
      </c>
      <c r="J197" s="38">
        <f t="shared" si="331"/>
        <v>0.10080929013930377</v>
      </c>
      <c r="K197" s="38">
        <f t="shared" ref="K197" si="332">+K196/K187</f>
        <v>0.36800160652505959</v>
      </c>
    </row>
    <row r="198" spans="1:11" ht="14.5" thickBot="1" x14ac:dyDescent="0.3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spans="1:11" ht="14.5" thickTop="1" x14ac:dyDescent="0.3"/>
  </sheetData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0CAA-FE19-4376-B138-BA3C9556E981}">
  <sheetPr>
    <tabColor rgb="FF00B050"/>
  </sheetPr>
  <dimension ref="A1:T103"/>
  <sheetViews>
    <sheetView rightToLeft="1" topLeftCell="A64" workbookViewId="0">
      <selection activeCell="Q82" sqref="Q82"/>
    </sheetView>
  </sheetViews>
  <sheetFormatPr defaultColWidth="8.75" defaultRowHeight="14.5" x14ac:dyDescent="0.35"/>
  <cols>
    <col min="1" max="1" width="26.08203125" style="46" bestFit="1" customWidth="1"/>
    <col min="2" max="9" width="13" style="46" bestFit="1" customWidth="1"/>
    <col min="10" max="10" width="13.75" style="46" bestFit="1" customWidth="1"/>
    <col min="11" max="11" width="13" style="46" bestFit="1" customWidth="1"/>
    <col min="12" max="12" width="13.33203125" style="46" bestFit="1" customWidth="1"/>
    <col min="13" max="13" width="13.25" style="46" bestFit="1" customWidth="1"/>
    <col min="14" max="14" width="13" style="46" bestFit="1" customWidth="1"/>
    <col min="15" max="15" width="13.58203125" style="46" bestFit="1" customWidth="1"/>
    <col min="16" max="19" width="8.75" style="46"/>
    <col min="20" max="20" width="9.83203125" style="46" bestFit="1" customWidth="1"/>
    <col min="21" max="16384" width="8.75" style="46"/>
  </cols>
  <sheetData>
    <row r="1" spans="1:14" x14ac:dyDescent="0.35">
      <c r="A1" s="46" t="s">
        <v>449</v>
      </c>
      <c r="B1" s="46" t="s">
        <v>450</v>
      </c>
      <c r="C1" s="46" t="s">
        <v>451</v>
      </c>
      <c r="D1" s="46" t="s">
        <v>452</v>
      </c>
      <c r="E1" s="46" t="s">
        <v>453</v>
      </c>
      <c r="F1" s="46" t="s">
        <v>454</v>
      </c>
      <c r="G1" s="46" t="s">
        <v>455</v>
      </c>
      <c r="H1" s="46" t="s">
        <v>456</v>
      </c>
      <c r="I1" s="46" t="s">
        <v>457</v>
      </c>
      <c r="J1" s="46" t="s">
        <v>458</v>
      </c>
      <c r="K1" s="46" t="s">
        <v>459</v>
      </c>
      <c r="L1" s="46" t="s">
        <v>460</v>
      </c>
      <c r="M1" s="46" t="s">
        <v>461</v>
      </c>
      <c r="N1" s="46" t="s">
        <v>462</v>
      </c>
    </row>
    <row r="2" spans="1:14" x14ac:dyDescent="0.35">
      <c r="A2" s="46" t="s">
        <v>463</v>
      </c>
      <c r="B2" s="47">
        <v>569301</v>
      </c>
      <c r="C2" s="47">
        <v>580164</v>
      </c>
      <c r="D2" s="47">
        <v>548784</v>
      </c>
      <c r="E2" s="47">
        <v>454387</v>
      </c>
      <c r="F2" s="47">
        <v>620222</v>
      </c>
      <c r="G2" s="47">
        <v>488256</v>
      </c>
      <c r="H2" s="47">
        <v>714094</v>
      </c>
      <c r="I2" s="47">
        <v>582825</v>
      </c>
      <c r="J2" s="47">
        <v>513067</v>
      </c>
      <c r="K2" s="47">
        <v>561378</v>
      </c>
      <c r="L2" s="47">
        <v>611153</v>
      </c>
      <c r="M2" s="47">
        <v>649318</v>
      </c>
      <c r="N2" s="47">
        <v>570847</v>
      </c>
    </row>
    <row r="3" spans="1:14" x14ac:dyDescent="0.35">
      <c r="A3" s="46" t="s">
        <v>464</v>
      </c>
      <c r="B3" s="47">
        <v>693761</v>
      </c>
      <c r="C3" s="47">
        <v>647050</v>
      </c>
      <c r="D3" s="47">
        <v>717708</v>
      </c>
      <c r="E3" s="47">
        <v>680549</v>
      </c>
      <c r="F3" s="47">
        <v>663041</v>
      </c>
      <c r="G3" s="47">
        <v>503824</v>
      </c>
      <c r="H3" s="47">
        <v>748574</v>
      </c>
      <c r="I3" s="47">
        <v>662520</v>
      </c>
      <c r="J3" s="47">
        <v>523189</v>
      </c>
      <c r="K3" s="47">
        <v>659774</v>
      </c>
      <c r="L3" s="47">
        <v>754708</v>
      </c>
      <c r="M3" s="47">
        <v>731890</v>
      </c>
      <c r="N3" s="47">
        <v>773891</v>
      </c>
    </row>
    <row r="4" spans="1:14" x14ac:dyDescent="0.35">
      <c r="A4" s="46" t="s">
        <v>465</v>
      </c>
      <c r="B4" s="47">
        <v>602179</v>
      </c>
      <c r="C4" s="47">
        <v>577282</v>
      </c>
      <c r="D4" s="47">
        <v>609174</v>
      </c>
      <c r="E4" s="47">
        <v>586706</v>
      </c>
      <c r="F4" s="47">
        <v>671100</v>
      </c>
      <c r="G4" s="47">
        <v>485303</v>
      </c>
      <c r="H4" s="47">
        <v>666377</v>
      </c>
      <c r="I4" s="47">
        <v>559190</v>
      </c>
      <c r="J4" s="47">
        <v>564709</v>
      </c>
      <c r="K4" s="47">
        <v>548550</v>
      </c>
      <c r="L4" s="47">
        <v>627537</v>
      </c>
      <c r="M4" s="47">
        <v>660803</v>
      </c>
      <c r="N4" s="47">
        <v>622191</v>
      </c>
    </row>
    <row r="5" spans="1:14" x14ac:dyDescent="0.35">
      <c r="A5" s="46" t="s">
        <v>466</v>
      </c>
      <c r="B5" s="48">
        <v>188639</v>
      </c>
      <c r="C5" s="47">
        <v>164542</v>
      </c>
      <c r="D5" s="47">
        <v>171352</v>
      </c>
      <c r="E5" s="47">
        <v>177061</v>
      </c>
      <c r="F5" s="47">
        <v>177210</v>
      </c>
      <c r="G5" s="47">
        <v>179565</v>
      </c>
      <c r="H5" s="47">
        <v>154349</v>
      </c>
      <c r="I5" s="47">
        <v>167853</v>
      </c>
      <c r="J5" s="47">
        <v>159759</v>
      </c>
      <c r="K5" s="47">
        <v>171061</v>
      </c>
      <c r="L5" s="47">
        <v>216038</v>
      </c>
      <c r="M5" s="47">
        <v>236445</v>
      </c>
      <c r="N5" s="47">
        <v>185582</v>
      </c>
    </row>
    <row r="6" spans="1:14" x14ac:dyDescent="0.35">
      <c r="A6" s="46" t="s">
        <v>467</v>
      </c>
      <c r="B6" s="48">
        <v>5702</v>
      </c>
      <c r="C6" s="47">
        <v>200</v>
      </c>
      <c r="D6" s="47">
        <v>-690</v>
      </c>
      <c r="E6" s="47">
        <v>0</v>
      </c>
      <c r="F6" s="47">
        <v>0</v>
      </c>
      <c r="G6" s="47">
        <v>120</v>
      </c>
      <c r="H6" s="47">
        <v>0</v>
      </c>
      <c r="I6" s="47">
        <v>0</v>
      </c>
      <c r="J6" s="47">
        <v>-31</v>
      </c>
      <c r="K6" s="47">
        <v>0</v>
      </c>
      <c r="L6" s="47">
        <v>100</v>
      </c>
      <c r="M6" s="47">
        <v>39</v>
      </c>
      <c r="N6" s="47">
        <v>120</v>
      </c>
    </row>
    <row r="7" spans="1:14" x14ac:dyDescent="0.35">
      <c r="A7" s="46" t="s">
        <v>468</v>
      </c>
      <c r="B7" s="48">
        <v>159408</v>
      </c>
      <c r="C7" s="47">
        <v>90128</v>
      </c>
      <c r="D7" s="47">
        <v>99018</v>
      </c>
      <c r="E7" s="47">
        <v>103794</v>
      </c>
      <c r="F7" s="47">
        <v>101507</v>
      </c>
      <c r="G7" s="47">
        <v>85631</v>
      </c>
      <c r="H7" s="47">
        <v>135121</v>
      </c>
      <c r="I7" s="47">
        <v>119123</v>
      </c>
      <c r="J7" s="47">
        <v>55950</v>
      </c>
      <c r="K7" s="47">
        <v>82439</v>
      </c>
      <c r="L7" s="47">
        <v>122953</v>
      </c>
      <c r="M7" s="47">
        <v>131272</v>
      </c>
      <c r="N7" s="47">
        <v>134213</v>
      </c>
    </row>
    <row r="8" spans="1:14" x14ac:dyDescent="0.35">
      <c r="A8" s="46" t="s">
        <v>469</v>
      </c>
      <c r="B8" s="49">
        <v>21602</v>
      </c>
      <c r="C8" s="47">
        <v>10230</v>
      </c>
      <c r="D8" s="47">
        <v>9360</v>
      </c>
      <c r="E8" s="47">
        <v>10690</v>
      </c>
      <c r="F8" s="47">
        <v>20150</v>
      </c>
      <c r="G8" s="47">
        <v>10525</v>
      </c>
      <c r="H8" s="47">
        <v>14452</v>
      </c>
      <c r="I8" s="47">
        <v>7050</v>
      </c>
      <c r="J8" s="47">
        <v>14700</v>
      </c>
      <c r="K8" s="47">
        <v>15950</v>
      </c>
      <c r="L8" s="47">
        <v>15990</v>
      </c>
      <c r="M8" s="47">
        <v>16925</v>
      </c>
      <c r="N8" s="47">
        <v>5900</v>
      </c>
    </row>
    <row r="9" spans="1:14" x14ac:dyDescent="0.35">
      <c r="A9" s="46" t="s">
        <v>470</v>
      </c>
      <c r="B9" s="48">
        <v>56750</v>
      </c>
      <c r="C9" s="47">
        <v>80950</v>
      </c>
      <c r="D9" s="47">
        <v>101350</v>
      </c>
      <c r="E9" s="47">
        <v>84710</v>
      </c>
      <c r="F9" s="47">
        <v>104300</v>
      </c>
      <c r="G9" s="47">
        <v>78400</v>
      </c>
      <c r="H9" s="47">
        <v>117645</v>
      </c>
      <c r="I9" s="47">
        <v>76650</v>
      </c>
      <c r="J9" s="47">
        <v>54890</v>
      </c>
      <c r="K9" s="47">
        <v>122700</v>
      </c>
      <c r="L9" s="47">
        <v>157350</v>
      </c>
      <c r="M9" s="47">
        <v>160700</v>
      </c>
      <c r="N9" s="47">
        <v>147950</v>
      </c>
    </row>
    <row r="10" spans="1:14" x14ac:dyDescent="0.35">
      <c r="A10" s="46" t="s">
        <v>471</v>
      </c>
      <c r="B10" s="49">
        <v>0</v>
      </c>
      <c r="C10" s="47">
        <v>0</v>
      </c>
      <c r="D10" s="47">
        <v>1600</v>
      </c>
      <c r="E10" s="47">
        <v>1600</v>
      </c>
      <c r="F10" s="47">
        <v>0</v>
      </c>
      <c r="G10" s="47">
        <v>0</v>
      </c>
      <c r="H10" s="47">
        <v>0</v>
      </c>
      <c r="I10" s="47">
        <v>-32</v>
      </c>
      <c r="J10" s="47">
        <v>0</v>
      </c>
      <c r="K10" s="47">
        <v>1600</v>
      </c>
      <c r="L10" s="47">
        <v>0</v>
      </c>
      <c r="M10" s="47">
        <v>0</v>
      </c>
      <c r="N10" s="47">
        <v>0</v>
      </c>
    </row>
    <row r="11" spans="1:14" x14ac:dyDescent="0.35">
      <c r="A11" s="46" t="s">
        <v>472</v>
      </c>
      <c r="B11" s="47">
        <v>2732</v>
      </c>
      <c r="C11" s="47">
        <v>2281</v>
      </c>
      <c r="D11" s="47">
        <v>2172</v>
      </c>
      <c r="E11" s="47">
        <v>1890</v>
      </c>
      <c r="F11" s="47">
        <v>3494</v>
      </c>
      <c r="G11" s="47">
        <v>2834</v>
      </c>
      <c r="H11" s="47">
        <v>2135</v>
      </c>
      <c r="I11" s="47">
        <v>4660</v>
      </c>
      <c r="J11" s="47">
        <v>1215</v>
      </c>
      <c r="K11" s="47">
        <v>2437</v>
      </c>
      <c r="L11" s="47">
        <v>-146</v>
      </c>
      <c r="M11" s="47">
        <v>1133</v>
      </c>
      <c r="N11" s="47">
        <v>4337</v>
      </c>
    </row>
    <row r="12" spans="1:14" x14ac:dyDescent="0.35">
      <c r="A12" s="50" t="s">
        <v>473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58892</v>
      </c>
      <c r="J12" s="47">
        <v>111210</v>
      </c>
      <c r="K12" s="47">
        <v>128234</v>
      </c>
      <c r="L12" s="47">
        <v>153399</v>
      </c>
      <c r="M12" s="47">
        <v>100325</v>
      </c>
      <c r="N12" s="51">
        <v>150690</v>
      </c>
    </row>
    <row r="13" spans="1:14" x14ac:dyDescent="0.35">
      <c r="A13" s="52"/>
      <c r="B13" s="49">
        <v>0</v>
      </c>
      <c r="C13" s="53">
        <v>0</v>
      </c>
      <c r="D13" s="53">
        <v>170</v>
      </c>
      <c r="E13" s="53">
        <v>69523</v>
      </c>
      <c r="F13" s="53">
        <v>0</v>
      </c>
      <c r="G13" s="53">
        <v>0</v>
      </c>
      <c r="H13" s="53">
        <v>0</v>
      </c>
      <c r="I13" s="53">
        <v>370</v>
      </c>
      <c r="J13" s="53">
        <v>44</v>
      </c>
      <c r="K13" s="53">
        <v>0</v>
      </c>
      <c r="L13" s="53">
        <v>0</v>
      </c>
      <c r="M13" s="53">
        <v>0</v>
      </c>
      <c r="N13" s="53">
        <v>175</v>
      </c>
    </row>
    <row r="14" spans="1:14" x14ac:dyDescent="0.35">
      <c r="A14" s="46" t="s">
        <v>474</v>
      </c>
      <c r="B14" s="47">
        <v>1625076</v>
      </c>
      <c r="C14" s="47">
        <v>1405897</v>
      </c>
      <c r="D14" s="47">
        <v>1666255</v>
      </c>
      <c r="E14" s="47">
        <v>1716943</v>
      </c>
      <c r="F14" s="47">
        <v>1846048</v>
      </c>
      <c r="G14" s="47">
        <v>1526353</v>
      </c>
      <c r="H14" s="47">
        <v>1815506</v>
      </c>
      <c r="I14" s="47">
        <v>1796376</v>
      </c>
      <c r="J14" s="47">
        <v>1717665</v>
      </c>
      <c r="K14" s="47">
        <v>1884350</v>
      </c>
      <c r="L14" s="47">
        <v>1823407</v>
      </c>
      <c r="M14" s="47">
        <v>1685095</v>
      </c>
      <c r="N14" s="47">
        <v>1845907</v>
      </c>
    </row>
    <row r="15" spans="1:14" x14ac:dyDescent="0.35">
      <c r="A15" s="46" t="s">
        <v>475</v>
      </c>
      <c r="B15" s="49">
        <v>2760</v>
      </c>
      <c r="C15" s="47">
        <v>2210</v>
      </c>
      <c r="D15" s="47">
        <v>4590</v>
      </c>
      <c r="E15" s="47">
        <v>2236</v>
      </c>
      <c r="F15" s="47">
        <v>3385</v>
      </c>
      <c r="G15" s="47">
        <v>17979</v>
      </c>
      <c r="H15" s="47">
        <v>42560</v>
      </c>
      <c r="I15" s="47">
        <v>42070</v>
      </c>
      <c r="J15" s="47">
        <v>37500</v>
      </c>
      <c r="K15" s="47">
        <v>52801</v>
      </c>
      <c r="L15" s="47">
        <v>37766</v>
      </c>
      <c r="M15" s="47">
        <v>40825</v>
      </c>
      <c r="N15" s="47">
        <v>37479</v>
      </c>
    </row>
    <row r="16" spans="1:14" x14ac:dyDescent="0.35">
      <c r="A16" s="46" t="s">
        <v>476</v>
      </c>
      <c r="B16" s="49">
        <v>15700</v>
      </c>
      <c r="C16" s="47">
        <v>15950</v>
      </c>
      <c r="D16" s="47">
        <v>9665</v>
      </c>
      <c r="E16" s="47">
        <v>17178</v>
      </c>
      <c r="F16" s="47">
        <v>18580</v>
      </c>
      <c r="G16" s="47">
        <v>20830</v>
      </c>
      <c r="H16" s="47">
        <v>30080</v>
      </c>
      <c r="I16" s="47">
        <v>13210</v>
      </c>
      <c r="J16" s="47">
        <v>22680</v>
      </c>
      <c r="K16" s="47">
        <v>20456</v>
      </c>
      <c r="L16" s="47">
        <v>20070</v>
      </c>
      <c r="M16" s="47">
        <v>21700</v>
      </c>
      <c r="N16" s="47">
        <v>18247</v>
      </c>
    </row>
    <row r="17" spans="1:14" x14ac:dyDescent="0.35">
      <c r="A17" s="46" t="s">
        <v>477</v>
      </c>
      <c r="B17" s="49">
        <v>0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</row>
    <row r="18" spans="1:14" x14ac:dyDescent="0.35">
      <c r="A18" s="46" t="s">
        <v>478</v>
      </c>
      <c r="B18" s="49">
        <v>2750</v>
      </c>
      <c r="C18" s="47">
        <v>1080</v>
      </c>
      <c r="D18" s="47">
        <v>1740</v>
      </c>
      <c r="E18" s="47">
        <v>3650</v>
      </c>
      <c r="F18" s="47">
        <v>0</v>
      </c>
      <c r="G18" s="47">
        <v>-170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</row>
    <row r="19" spans="1:14" x14ac:dyDescent="0.35">
      <c r="A19" s="46" t="s">
        <v>479</v>
      </c>
      <c r="B19" s="48">
        <v>0</v>
      </c>
      <c r="C19" s="47">
        <v>0</v>
      </c>
      <c r="D19" s="47">
        <v>0</v>
      </c>
      <c r="E19" s="47">
        <v>0</v>
      </c>
      <c r="F19" s="47">
        <v>250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</row>
    <row r="20" spans="1:14" x14ac:dyDescent="0.35">
      <c r="A20" s="46" t="s">
        <v>480</v>
      </c>
      <c r="B20" s="48">
        <v>81480</v>
      </c>
      <c r="C20" s="47">
        <v>9000</v>
      </c>
      <c r="D20" s="47">
        <v>9000</v>
      </c>
      <c r="E20" s="47">
        <v>9000</v>
      </c>
      <c r="F20" s="47">
        <v>4400</v>
      </c>
      <c r="G20" s="47">
        <v>24000</v>
      </c>
      <c r="H20" s="47">
        <v>6000</v>
      </c>
      <c r="I20" s="47">
        <v>16500</v>
      </c>
      <c r="J20" s="47">
        <v>44800</v>
      </c>
      <c r="K20" s="47">
        <v>24000</v>
      </c>
      <c r="L20" s="47">
        <v>42000</v>
      </c>
      <c r="M20" s="47">
        <v>42000</v>
      </c>
      <c r="N20" s="47">
        <v>18000</v>
      </c>
    </row>
    <row r="21" spans="1:14" x14ac:dyDescent="0.35">
      <c r="A21" s="46" t="s">
        <v>481</v>
      </c>
      <c r="B21" s="48">
        <v>23620</v>
      </c>
      <c r="C21" s="47">
        <v>53860</v>
      </c>
      <c r="D21" s="47">
        <v>77302</v>
      </c>
      <c r="E21" s="47">
        <v>64288</v>
      </c>
      <c r="F21" s="47">
        <v>78397</v>
      </c>
      <c r="G21" s="47">
        <v>37490</v>
      </c>
      <c r="H21" s="47">
        <v>77185</v>
      </c>
      <c r="I21" s="47">
        <v>78781</v>
      </c>
      <c r="J21" s="47">
        <v>54916</v>
      </c>
      <c r="K21" s="47">
        <v>48819</v>
      </c>
      <c r="L21" s="47">
        <v>70903</v>
      </c>
      <c r="M21" s="47">
        <v>78500</v>
      </c>
      <c r="N21" s="47">
        <v>82358</v>
      </c>
    </row>
    <row r="22" spans="1:14" x14ac:dyDescent="0.35">
      <c r="A22" s="50" t="s">
        <v>482</v>
      </c>
      <c r="B22" s="47">
        <v>0</v>
      </c>
      <c r="C22" s="47">
        <v>0</v>
      </c>
      <c r="D22" s="47">
        <v>0</v>
      </c>
      <c r="E22" s="47">
        <v>174921</v>
      </c>
      <c r="F22" s="47">
        <v>458319</v>
      </c>
      <c r="G22" s="47">
        <v>477634</v>
      </c>
      <c r="H22" s="47">
        <v>568629</v>
      </c>
      <c r="I22" s="47">
        <v>499759</v>
      </c>
      <c r="J22" s="47">
        <v>463592</v>
      </c>
      <c r="K22" s="47">
        <v>442972</v>
      </c>
      <c r="L22" s="47">
        <v>497645</v>
      </c>
      <c r="M22" s="47">
        <v>554152</v>
      </c>
      <c r="N22" s="51">
        <v>518222</v>
      </c>
    </row>
    <row r="23" spans="1:14" x14ac:dyDescent="0.35">
      <c r="A23" s="50" t="s">
        <v>483</v>
      </c>
      <c r="B23" s="47">
        <v>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509799</v>
      </c>
      <c r="J23" s="47">
        <v>1025906</v>
      </c>
      <c r="K23" s="47">
        <v>1046461</v>
      </c>
      <c r="L23" s="47">
        <v>1030019</v>
      </c>
      <c r="M23" s="47">
        <v>1038804</v>
      </c>
      <c r="N23" s="51">
        <v>1188645</v>
      </c>
    </row>
    <row r="24" spans="1:14" x14ac:dyDescent="0.35">
      <c r="A24" s="50" t="s">
        <v>484</v>
      </c>
      <c r="B24" s="47">
        <v>0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691927</v>
      </c>
      <c r="K24" s="47">
        <v>1026860</v>
      </c>
      <c r="L24" s="47">
        <v>1003499</v>
      </c>
      <c r="M24" s="47">
        <v>968632</v>
      </c>
      <c r="N24" s="51">
        <v>912352</v>
      </c>
    </row>
    <row r="25" spans="1:14" x14ac:dyDescent="0.35">
      <c r="A25" s="46" t="s">
        <v>485</v>
      </c>
      <c r="B25" s="47">
        <f>SUM(B2:B24)</f>
        <v>4051460</v>
      </c>
      <c r="C25" s="47">
        <f t="shared" ref="C25:N25" si="0">SUM(C2:C24)</f>
        <v>3640824</v>
      </c>
      <c r="D25" s="47">
        <f t="shared" si="0"/>
        <v>4028550</v>
      </c>
      <c r="E25" s="47">
        <f t="shared" si="0"/>
        <v>4159126</v>
      </c>
      <c r="F25" s="47">
        <f t="shared" si="0"/>
        <v>4770403</v>
      </c>
      <c r="G25" s="47">
        <f t="shared" si="0"/>
        <v>3938574</v>
      </c>
      <c r="H25" s="47">
        <f t="shared" si="0"/>
        <v>5092707</v>
      </c>
      <c r="I25" s="47">
        <f t="shared" si="0"/>
        <v>5195596</v>
      </c>
      <c r="J25" s="47">
        <f t="shared" si="0"/>
        <v>6057688</v>
      </c>
      <c r="K25" s="47">
        <f t="shared" si="0"/>
        <v>6840842</v>
      </c>
      <c r="L25" s="47">
        <f t="shared" si="0"/>
        <v>7184391</v>
      </c>
      <c r="M25" s="47">
        <f t="shared" si="0"/>
        <v>7118558</v>
      </c>
      <c r="N25" s="49">
        <f t="shared" si="0"/>
        <v>7217106</v>
      </c>
    </row>
    <row r="26" spans="1:14" x14ac:dyDescent="0.35"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</row>
    <row r="27" spans="1:14" x14ac:dyDescent="0.35">
      <c r="A27" s="50" t="s">
        <v>486</v>
      </c>
      <c r="B27" s="47">
        <f>B25-SUM(B22:B24,B12)</f>
        <v>4051460</v>
      </c>
      <c r="C27" s="47">
        <f t="shared" ref="C27:N27" si="1">C25-SUM(C22:C24,C12)</f>
        <v>3640824</v>
      </c>
      <c r="D27" s="47">
        <f t="shared" si="1"/>
        <v>4028550</v>
      </c>
      <c r="E27" s="47">
        <f t="shared" si="1"/>
        <v>3984205</v>
      </c>
      <c r="F27" s="47">
        <f t="shared" si="1"/>
        <v>4312084</v>
      </c>
      <c r="G27" s="47">
        <f t="shared" si="1"/>
        <v>3460940</v>
      </c>
      <c r="H27" s="47">
        <f t="shared" si="1"/>
        <v>4524078</v>
      </c>
      <c r="I27" s="47">
        <f t="shared" si="1"/>
        <v>4127146</v>
      </c>
      <c r="J27" s="47">
        <f t="shared" si="1"/>
        <v>3765053</v>
      </c>
      <c r="K27" s="47">
        <f t="shared" si="1"/>
        <v>4196315</v>
      </c>
      <c r="L27" s="47">
        <f t="shared" si="1"/>
        <v>4499829</v>
      </c>
      <c r="M27" s="47">
        <f t="shared" si="1"/>
        <v>4456645</v>
      </c>
      <c r="N27" s="51">
        <f t="shared" si="1"/>
        <v>4447197</v>
      </c>
    </row>
    <row r="30" spans="1:14" x14ac:dyDescent="0.35">
      <c r="A30" s="54" t="s">
        <v>487</v>
      </c>
    </row>
    <row r="31" spans="1:14" x14ac:dyDescent="0.35">
      <c r="A31" s="46" t="s">
        <v>429</v>
      </c>
      <c r="B31" s="55">
        <f>+B11+B14</f>
        <v>1627808</v>
      </c>
      <c r="C31" s="55">
        <f t="shared" ref="C31:N31" si="2">+C11+C14</f>
        <v>1408178</v>
      </c>
      <c r="D31" s="55">
        <f t="shared" si="2"/>
        <v>1668427</v>
      </c>
      <c r="E31" s="55">
        <f t="shared" si="2"/>
        <v>1718833</v>
      </c>
      <c r="F31" s="55">
        <f t="shared" si="2"/>
        <v>1849542</v>
      </c>
      <c r="G31" s="55">
        <f t="shared" si="2"/>
        <v>1529187</v>
      </c>
      <c r="H31" s="55">
        <f t="shared" si="2"/>
        <v>1817641</v>
      </c>
      <c r="I31" s="55">
        <f t="shared" si="2"/>
        <v>1801036</v>
      </c>
      <c r="J31" s="55">
        <f t="shared" si="2"/>
        <v>1718880</v>
      </c>
      <c r="K31" s="55">
        <f t="shared" si="2"/>
        <v>1886787</v>
      </c>
      <c r="L31" s="55">
        <f t="shared" si="2"/>
        <v>1823261</v>
      </c>
      <c r="M31" s="55">
        <f t="shared" si="2"/>
        <v>1686228</v>
      </c>
      <c r="N31" s="55">
        <f t="shared" si="2"/>
        <v>1850244</v>
      </c>
    </row>
    <row r="32" spans="1:14" x14ac:dyDescent="0.35">
      <c r="A32" s="46" t="s">
        <v>443</v>
      </c>
      <c r="B32" s="55">
        <f>+B2+B19</f>
        <v>569301</v>
      </c>
      <c r="C32" s="55">
        <f t="shared" ref="C32:N32" si="3">+C2+C19</f>
        <v>580164</v>
      </c>
      <c r="D32" s="55">
        <f t="shared" si="3"/>
        <v>548784</v>
      </c>
      <c r="E32" s="55">
        <f t="shared" si="3"/>
        <v>454387</v>
      </c>
      <c r="F32" s="55">
        <f t="shared" si="3"/>
        <v>620472</v>
      </c>
      <c r="G32" s="55">
        <f t="shared" si="3"/>
        <v>488256</v>
      </c>
      <c r="H32" s="55">
        <f t="shared" si="3"/>
        <v>714094</v>
      </c>
      <c r="I32" s="55">
        <f t="shared" si="3"/>
        <v>582825</v>
      </c>
      <c r="J32" s="55">
        <f t="shared" si="3"/>
        <v>513067</v>
      </c>
      <c r="K32" s="55">
        <f t="shared" si="3"/>
        <v>561378</v>
      </c>
      <c r="L32" s="55">
        <f t="shared" si="3"/>
        <v>611153</v>
      </c>
      <c r="M32" s="55">
        <f t="shared" si="3"/>
        <v>649318</v>
      </c>
      <c r="N32" s="55">
        <f t="shared" si="3"/>
        <v>570847</v>
      </c>
    </row>
    <row r="33" spans="1:14" x14ac:dyDescent="0.35">
      <c r="A33" s="46" t="s">
        <v>444</v>
      </c>
      <c r="B33" s="55">
        <f>+B4</f>
        <v>602179</v>
      </c>
      <c r="C33" s="55">
        <f t="shared" ref="C33:N33" si="4">+C4</f>
        <v>577282</v>
      </c>
      <c r="D33" s="55">
        <f t="shared" si="4"/>
        <v>609174</v>
      </c>
      <c r="E33" s="55">
        <f t="shared" si="4"/>
        <v>586706</v>
      </c>
      <c r="F33" s="55">
        <f t="shared" si="4"/>
        <v>671100</v>
      </c>
      <c r="G33" s="55">
        <f t="shared" si="4"/>
        <v>485303</v>
      </c>
      <c r="H33" s="55">
        <f t="shared" si="4"/>
        <v>666377</v>
      </c>
      <c r="I33" s="55">
        <f t="shared" si="4"/>
        <v>559190</v>
      </c>
      <c r="J33" s="55">
        <f t="shared" si="4"/>
        <v>564709</v>
      </c>
      <c r="K33" s="55">
        <f t="shared" si="4"/>
        <v>548550</v>
      </c>
      <c r="L33" s="55">
        <f t="shared" si="4"/>
        <v>627537</v>
      </c>
      <c r="M33" s="55">
        <f t="shared" si="4"/>
        <v>660803</v>
      </c>
      <c r="N33" s="55">
        <f t="shared" si="4"/>
        <v>622191</v>
      </c>
    </row>
    <row r="34" spans="1:14" x14ac:dyDescent="0.35">
      <c r="A34" s="46" t="s">
        <v>445</v>
      </c>
      <c r="B34" s="55">
        <f>+B3</f>
        <v>693761</v>
      </c>
      <c r="C34" s="55">
        <f t="shared" ref="C34:N34" si="5">+C3</f>
        <v>647050</v>
      </c>
      <c r="D34" s="55">
        <f t="shared" si="5"/>
        <v>717708</v>
      </c>
      <c r="E34" s="55">
        <f t="shared" si="5"/>
        <v>680549</v>
      </c>
      <c r="F34" s="55">
        <f t="shared" si="5"/>
        <v>663041</v>
      </c>
      <c r="G34" s="55">
        <f t="shared" si="5"/>
        <v>503824</v>
      </c>
      <c r="H34" s="55">
        <f t="shared" si="5"/>
        <v>748574</v>
      </c>
      <c r="I34" s="55">
        <f t="shared" si="5"/>
        <v>662520</v>
      </c>
      <c r="J34" s="55">
        <f t="shared" si="5"/>
        <v>523189</v>
      </c>
      <c r="K34" s="55">
        <f t="shared" si="5"/>
        <v>659774</v>
      </c>
      <c r="L34" s="55">
        <f t="shared" si="5"/>
        <v>754708</v>
      </c>
      <c r="M34" s="55">
        <f t="shared" si="5"/>
        <v>731890</v>
      </c>
      <c r="N34" s="55">
        <f t="shared" si="5"/>
        <v>773891</v>
      </c>
    </row>
    <row r="35" spans="1:14" x14ac:dyDescent="0.35">
      <c r="A35" s="52" t="s">
        <v>488</v>
      </c>
      <c r="B35" s="56">
        <f>+B18+B17+B16+B15+B10+B8+B13</f>
        <v>42812</v>
      </c>
      <c r="C35" s="56">
        <f t="shared" ref="C35:N35" si="6">+C18+C17+C16+C15+C10+C8+C13</f>
        <v>29470</v>
      </c>
      <c r="D35" s="56">
        <f t="shared" si="6"/>
        <v>27125</v>
      </c>
      <c r="E35" s="56">
        <f t="shared" si="6"/>
        <v>104877</v>
      </c>
      <c r="F35" s="56">
        <f t="shared" si="6"/>
        <v>42115</v>
      </c>
      <c r="G35" s="56">
        <f t="shared" si="6"/>
        <v>49164</v>
      </c>
      <c r="H35" s="56">
        <f t="shared" si="6"/>
        <v>87092</v>
      </c>
      <c r="I35" s="56">
        <f t="shared" si="6"/>
        <v>62668</v>
      </c>
      <c r="J35" s="56">
        <f t="shared" si="6"/>
        <v>74924</v>
      </c>
      <c r="K35" s="56">
        <f t="shared" si="6"/>
        <v>90807</v>
      </c>
      <c r="L35" s="56">
        <f t="shared" si="6"/>
        <v>73826</v>
      </c>
      <c r="M35" s="56">
        <f t="shared" si="6"/>
        <v>79450</v>
      </c>
      <c r="N35" s="56">
        <f t="shared" si="6"/>
        <v>61801</v>
      </c>
    </row>
    <row r="36" spans="1:14" x14ac:dyDescent="0.35">
      <c r="A36" s="52" t="s">
        <v>489</v>
      </c>
      <c r="B36" s="55">
        <f>+B6+B7+B21</f>
        <v>188730</v>
      </c>
      <c r="C36" s="55">
        <f t="shared" ref="C36:N36" si="7">+C6+C7+C21</f>
        <v>144188</v>
      </c>
      <c r="D36" s="55">
        <f t="shared" si="7"/>
        <v>175630</v>
      </c>
      <c r="E36" s="55">
        <f t="shared" si="7"/>
        <v>168082</v>
      </c>
      <c r="F36" s="55">
        <f t="shared" si="7"/>
        <v>179904</v>
      </c>
      <c r="G36" s="55">
        <f t="shared" si="7"/>
        <v>123241</v>
      </c>
      <c r="H36" s="55">
        <f t="shared" si="7"/>
        <v>212306</v>
      </c>
      <c r="I36" s="55">
        <f t="shared" si="7"/>
        <v>197904</v>
      </c>
      <c r="J36" s="55">
        <f t="shared" si="7"/>
        <v>110835</v>
      </c>
      <c r="K36" s="55">
        <f t="shared" si="7"/>
        <v>131258</v>
      </c>
      <c r="L36" s="55">
        <f t="shared" si="7"/>
        <v>193956</v>
      </c>
      <c r="M36" s="55">
        <f t="shared" si="7"/>
        <v>209811</v>
      </c>
      <c r="N36" s="55">
        <f t="shared" si="7"/>
        <v>216691</v>
      </c>
    </row>
    <row r="37" spans="1:14" x14ac:dyDescent="0.35">
      <c r="A37" s="52" t="s">
        <v>490</v>
      </c>
      <c r="B37" s="55">
        <f>+B5+B20</f>
        <v>270119</v>
      </c>
      <c r="C37" s="55">
        <f t="shared" ref="C37:N37" si="8">+C5+C20</f>
        <v>173542</v>
      </c>
      <c r="D37" s="55">
        <f t="shared" si="8"/>
        <v>180352</v>
      </c>
      <c r="E37" s="55">
        <f t="shared" si="8"/>
        <v>186061</v>
      </c>
      <c r="F37" s="55">
        <f t="shared" si="8"/>
        <v>181610</v>
      </c>
      <c r="G37" s="55">
        <f t="shared" si="8"/>
        <v>203565</v>
      </c>
      <c r="H37" s="55">
        <f t="shared" si="8"/>
        <v>160349</v>
      </c>
      <c r="I37" s="55">
        <f t="shared" si="8"/>
        <v>184353</v>
      </c>
      <c r="J37" s="55">
        <f t="shared" si="8"/>
        <v>204559</v>
      </c>
      <c r="K37" s="55">
        <f t="shared" si="8"/>
        <v>195061</v>
      </c>
      <c r="L37" s="55">
        <f t="shared" si="8"/>
        <v>258038</v>
      </c>
      <c r="M37" s="55">
        <f t="shared" si="8"/>
        <v>278445</v>
      </c>
      <c r="N37" s="55">
        <f t="shared" si="8"/>
        <v>203582</v>
      </c>
    </row>
    <row r="38" spans="1:14" x14ac:dyDescent="0.35">
      <c r="A38" s="52" t="s">
        <v>491</v>
      </c>
      <c r="B38" s="55">
        <f>+B9</f>
        <v>56750</v>
      </c>
      <c r="C38" s="55">
        <f t="shared" ref="C38:N38" si="9">+C9</f>
        <v>80950</v>
      </c>
      <c r="D38" s="55">
        <f t="shared" si="9"/>
        <v>101350</v>
      </c>
      <c r="E38" s="55">
        <f t="shared" si="9"/>
        <v>84710</v>
      </c>
      <c r="F38" s="55">
        <f t="shared" si="9"/>
        <v>104300</v>
      </c>
      <c r="G38" s="55">
        <f t="shared" si="9"/>
        <v>78400</v>
      </c>
      <c r="H38" s="55">
        <f t="shared" si="9"/>
        <v>117645</v>
      </c>
      <c r="I38" s="55">
        <f t="shared" si="9"/>
        <v>76650</v>
      </c>
      <c r="J38" s="55">
        <f t="shared" si="9"/>
        <v>54890</v>
      </c>
      <c r="K38" s="55">
        <f t="shared" si="9"/>
        <v>122700</v>
      </c>
      <c r="L38" s="55">
        <f t="shared" si="9"/>
        <v>157350</v>
      </c>
      <c r="M38" s="55">
        <f t="shared" si="9"/>
        <v>160700</v>
      </c>
      <c r="N38" s="55">
        <f t="shared" si="9"/>
        <v>147950</v>
      </c>
    </row>
    <row r="39" spans="1:14" x14ac:dyDescent="0.35">
      <c r="A39" s="46" t="s">
        <v>403</v>
      </c>
      <c r="B39" s="55">
        <f>+B24</f>
        <v>0</v>
      </c>
      <c r="C39" s="55">
        <f t="shared" ref="C39:N39" si="10">+C24</f>
        <v>0</v>
      </c>
      <c r="D39" s="55">
        <f t="shared" si="10"/>
        <v>0</v>
      </c>
      <c r="E39" s="55">
        <f t="shared" si="10"/>
        <v>0</v>
      </c>
      <c r="F39" s="55">
        <f t="shared" si="10"/>
        <v>0</v>
      </c>
      <c r="G39" s="55">
        <f t="shared" si="10"/>
        <v>0</v>
      </c>
      <c r="H39" s="55">
        <f t="shared" si="10"/>
        <v>0</v>
      </c>
      <c r="I39" s="55">
        <f t="shared" si="10"/>
        <v>0</v>
      </c>
      <c r="J39" s="55">
        <f t="shared" si="10"/>
        <v>691927</v>
      </c>
      <c r="K39" s="55">
        <f t="shared" si="10"/>
        <v>1026860</v>
      </c>
      <c r="L39" s="55">
        <f t="shared" si="10"/>
        <v>1003499</v>
      </c>
      <c r="M39" s="55">
        <f t="shared" si="10"/>
        <v>968632</v>
      </c>
      <c r="N39" s="55">
        <f t="shared" si="10"/>
        <v>912352</v>
      </c>
    </row>
    <row r="40" spans="1:14" x14ac:dyDescent="0.35">
      <c r="A40" s="46" t="s">
        <v>492</v>
      </c>
      <c r="B40" s="55">
        <f>+B22</f>
        <v>0</v>
      </c>
      <c r="C40" s="55">
        <f t="shared" ref="C40:N41" si="11">+C22</f>
        <v>0</v>
      </c>
      <c r="D40" s="55">
        <f t="shared" si="11"/>
        <v>0</v>
      </c>
      <c r="E40" s="55">
        <f t="shared" si="11"/>
        <v>174921</v>
      </c>
      <c r="F40" s="55">
        <f t="shared" si="11"/>
        <v>458319</v>
      </c>
      <c r="G40" s="55">
        <f t="shared" si="11"/>
        <v>477634</v>
      </c>
      <c r="H40" s="55">
        <f t="shared" si="11"/>
        <v>568629</v>
      </c>
      <c r="I40" s="55">
        <f t="shared" si="11"/>
        <v>499759</v>
      </c>
      <c r="J40" s="55">
        <f t="shared" si="11"/>
        <v>463592</v>
      </c>
      <c r="K40" s="55">
        <f t="shared" si="11"/>
        <v>442972</v>
      </c>
      <c r="L40" s="55">
        <f t="shared" si="11"/>
        <v>497645</v>
      </c>
      <c r="M40" s="55">
        <f t="shared" si="11"/>
        <v>554152</v>
      </c>
      <c r="N40" s="55">
        <f t="shared" si="11"/>
        <v>518222</v>
      </c>
    </row>
    <row r="41" spans="1:14" x14ac:dyDescent="0.35">
      <c r="A41" s="46" t="s">
        <v>404</v>
      </c>
      <c r="B41" s="55">
        <f>+B23</f>
        <v>0</v>
      </c>
      <c r="C41" s="55">
        <f t="shared" si="11"/>
        <v>0</v>
      </c>
      <c r="D41" s="55">
        <f t="shared" si="11"/>
        <v>0</v>
      </c>
      <c r="E41" s="55">
        <f t="shared" si="11"/>
        <v>0</v>
      </c>
      <c r="F41" s="55">
        <f t="shared" si="11"/>
        <v>0</v>
      </c>
      <c r="G41" s="55">
        <f t="shared" si="11"/>
        <v>0</v>
      </c>
      <c r="H41" s="55">
        <f t="shared" si="11"/>
        <v>0</v>
      </c>
      <c r="I41" s="55">
        <f t="shared" si="11"/>
        <v>509799</v>
      </c>
      <c r="J41" s="55">
        <f t="shared" si="11"/>
        <v>1025906</v>
      </c>
      <c r="K41" s="55">
        <f t="shared" si="11"/>
        <v>1046461</v>
      </c>
      <c r="L41" s="55">
        <f t="shared" si="11"/>
        <v>1030019</v>
      </c>
      <c r="M41" s="55">
        <f t="shared" si="11"/>
        <v>1038804</v>
      </c>
      <c r="N41" s="55">
        <f t="shared" si="11"/>
        <v>1188645</v>
      </c>
    </row>
    <row r="42" spans="1:14" x14ac:dyDescent="0.35">
      <c r="A42" s="46" t="s">
        <v>405</v>
      </c>
      <c r="B42" s="55">
        <f>+B12</f>
        <v>0</v>
      </c>
      <c r="C42" s="55">
        <f t="shared" ref="C42:N42" si="12">+C12</f>
        <v>0</v>
      </c>
      <c r="D42" s="55">
        <f t="shared" si="12"/>
        <v>0</v>
      </c>
      <c r="E42" s="55">
        <f t="shared" si="12"/>
        <v>0</v>
      </c>
      <c r="F42" s="55">
        <f t="shared" si="12"/>
        <v>0</v>
      </c>
      <c r="G42" s="55">
        <f t="shared" si="12"/>
        <v>0</v>
      </c>
      <c r="H42" s="55">
        <f t="shared" si="12"/>
        <v>0</v>
      </c>
      <c r="I42" s="55">
        <f t="shared" si="12"/>
        <v>58892</v>
      </c>
      <c r="J42" s="55">
        <f t="shared" si="12"/>
        <v>111210</v>
      </c>
      <c r="K42" s="55">
        <f t="shared" si="12"/>
        <v>128234</v>
      </c>
      <c r="L42" s="55">
        <f t="shared" si="12"/>
        <v>153399</v>
      </c>
      <c r="M42" s="55">
        <f t="shared" si="12"/>
        <v>100325</v>
      </c>
      <c r="N42" s="55">
        <f t="shared" si="12"/>
        <v>150690</v>
      </c>
    </row>
    <row r="43" spans="1:14" x14ac:dyDescent="0.35">
      <c r="B43" s="55">
        <f>SUM(B31:B42)</f>
        <v>4051460</v>
      </c>
      <c r="C43" s="55">
        <f t="shared" ref="C43:N43" si="13">SUM(C31:C42)</f>
        <v>3640824</v>
      </c>
      <c r="D43" s="55">
        <f t="shared" si="13"/>
        <v>4028550</v>
      </c>
      <c r="E43" s="55">
        <f t="shared" si="13"/>
        <v>4159126</v>
      </c>
      <c r="F43" s="55">
        <f t="shared" si="13"/>
        <v>4770403</v>
      </c>
      <c r="G43" s="55">
        <f t="shared" si="13"/>
        <v>3938574</v>
      </c>
      <c r="H43" s="55">
        <f t="shared" si="13"/>
        <v>5092707</v>
      </c>
      <c r="I43" s="55">
        <f t="shared" si="13"/>
        <v>5195596</v>
      </c>
      <c r="J43" s="55">
        <f t="shared" si="13"/>
        <v>6057688</v>
      </c>
      <c r="K43" s="55">
        <f t="shared" si="13"/>
        <v>6840842</v>
      </c>
      <c r="L43" s="55">
        <f t="shared" si="13"/>
        <v>7184391</v>
      </c>
      <c r="M43" s="55">
        <f t="shared" si="13"/>
        <v>7118558</v>
      </c>
      <c r="N43" s="55">
        <f t="shared" si="13"/>
        <v>7217106</v>
      </c>
    </row>
    <row r="44" spans="1:14" x14ac:dyDescent="0.35">
      <c r="A44" s="46" t="s">
        <v>493</v>
      </c>
      <c r="B44" s="55">
        <f>+B43-B25</f>
        <v>0</v>
      </c>
      <c r="C44" s="55">
        <f t="shared" ref="C44:N44" si="14">+C43-C25</f>
        <v>0</v>
      </c>
      <c r="D44" s="57">
        <f t="shared" si="14"/>
        <v>0</v>
      </c>
      <c r="E44" s="57">
        <f t="shared" si="14"/>
        <v>0</v>
      </c>
      <c r="F44" s="55">
        <f t="shared" si="14"/>
        <v>0</v>
      </c>
      <c r="G44" s="55">
        <f t="shared" si="14"/>
        <v>0</v>
      </c>
      <c r="H44" s="55">
        <f t="shared" si="14"/>
        <v>0</v>
      </c>
      <c r="I44" s="57">
        <f t="shared" si="14"/>
        <v>0</v>
      </c>
      <c r="J44" s="57">
        <f t="shared" si="14"/>
        <v>0</v>
      </c>
      <c r="K44" s="55">
        <f t="shared" si="14"/>
        <v>0</v>
      </c>
      <c r="L44" s="55">
        <f t="shared" si="14"/>
        <v>0</v>
      </c>
      <c r="M44" s="55">
        <f t="shared" si="14"/>
        <v>0</v>
      </c>
      <c r="N44" s="55">
        <f t="shared" si="14"/>
        <v>0</v>
      </c>
    </row>
    <row r="47" spans="1:14" x14ac:dyDescent="0.35">
      <c r="A47" s="58" t="s">
        <v>487</v>
      </c>
      <c r="B47" s="58" t="s">
        <v>494</v>
      </c>
    </row>
    <row r="48" spans="1:14" x14ac:dyDescent="0.35">
      <c r="A48" s="46" t="s">
        <v>429</v>
      </c>
      <c r="B48" s="55">
        <f>+B31/1.18</f>
        <v>1379498.3050847459</v>
      </c>
      <c r="C48" s="55">
        <f t="shared" ref="C48:N48" si="15">+C31/1.18</f>
        <v>1193371.1864406781</v>
      </c>
      <c r="D48" s="55">
        <f t="shared" si="15"/>
        <v>1413921.1864406781</v>
      </c>
      <c r="E48" s="55">
        <f t="shared" si="15"/>
        <v>1456638.1355932204</v>
      </c>
      <c r="F48" s="55">
        <f t="shared" si="15"/>
        <v>1567408.4745762714</v>
      </c>
      <c r="G48" s="55">
        <f t="shared" si="15"/>
        <v>1295921.1864406781</v>
      </c>
      <c r="H48" s="55">
        <f t="shared" si="15"/>
        <v>1540373.7288135595</v>
      </c>
      <c r="I48" s="55">
        <f t="shared" si="15"/>
        <v>1526301.6949152544</v>
      </c>
      <c r="J48" s="55">
        <f t="shared" si="15"/>
        <v>1456677.9661016951</v>
      </c>
      <c r="K48" s="55">
        <f t="shared" si="15"/>
        <v>1598972.0338983051</v>
      </c>
      <c r="L48" s="55">
        <f t="shared" si="15"/>
        <v>1545136.4406779662</v>
      </c>
      <c r="M48" s="55">
        <f t="shared" si="15"/>
        <v>1429006.779661017</v>
      </c>
      <c r="N48" s="55">
        <f t="shared" si="15"/>
        <v>1568003.3898305085</v>
      </c>
    </row>
    <row r="49" spans="1:14" x14ac:dyDescent="0.35">
      <c r="A49" s="46" t="s">
        <v>443</v>
      </c>
      <c r="B49" s="55">
        <f t="shared" ref="B49:N59" si="16">+B32/1.18</f>
        <v>482458.4745762712</v>
      </c>
      <c r="C49" s="55">
        <f t="shared" si="16"/>
        <v>491664.40677966102</v>
      </c>
      <c r="D49" s="55">
        <f t="shared" si="16"/>
        <v>465071.18644067796</v>
      </c>
      <c r="E49" s="55">
        <f t="shared" si="16"/>
        <v>385073.72881355934</v>
      </c>
      <c r="F49" s="55">
        <f t="shared" si="16"/>
        <v>525823.7288135594</v>
      </c>
      <c r="G49" s="55">
        <f t="shared" si="16"/>
        <v>413776.27118644072</v>
      </c>
      <c r="H49" s="55">
        <f t="shared" si="16"/>
        <v>605164.40677966108</v>
      </c>
      <c r="I49" s="55">
        <f t="shared" si="16"/>
        <v>493919.49152542377</v>
      </c>
      <c r="J49" s="55">
        <f t="shared" si="16"/>
        <v>434802.54237288138</v>
      </c>
      <c r="K49" s="55">
        <f t="shared" si="16"/>
        <v>475744.06779661018</v>
      </c>
      <c r="L49" s="55">
        <f t="shared" si="16"/>
        <v>517926.27118644072</v>
      </c>
      <c r="M49" s="55">
        <f t="shared" si="16"/>
        <v>550269.49152542371</v>
      </c>
      <c r="N49" s="55">
        <f t="shared" si="16"/>
        <v>483768.64406779665</v>
      </c>
    </row>
    <row r="50" spans="1:14" x14ac:dyDescent="0.35">
      <c r="A50" s="46" t="s">
        <v>444</v>
      </c>
      <c r="B50" s="55">
        <f t="shared" si="16"/>
        <v>510321.18644067796</v>
      </c>
      <c r="C50" s="55">
        <f t="shared" si="16"/>
        <v>489222.03389830509</v>
      </c>
      <c r="D50" s="55">
        <f t="shared" si="16"/>
        <v>516249.15254237293</v>
      </c>
      <c r="E50" s="55">
        <f t="shared" si="16"/>
        <v>497208.4745762712</v>
      </c>
      <c r="F50" s="55">
        <f t="shared" si="16"/>
        <v>568728.81355932204</v>
      </c>
      <c r="G50" s="55">
        <f t="shared" si="16"/>
        <v>411273.72881355934</v>
      </c>
      <c r="H50" s="55">
        <f t="shared" si="16"/>
        <v>564726.27118644072</v>
      </c>
      <c r="I50" s="55">
        <f t="shared" si="16"/>
        <v>473889.83050847461</v>
      </c>
      <c r="J50" s="55">
        <f t="shared" si="16"/>
        <v>478566.94915254239</v>
      </c>
      <c r="K50" s="55">
        <f t="shared" si="16"/>
        <v>464872.88135593222</v>
      </c>
      <c r="L50" s="55">
        <f t="shared" si="16"/>
        <v>531811.01694915257</v>
      </c>
      <c r="M50" s="55">
        <f t="shared" si="16"/>
        <v>560002.54237288143</v>
      </c>
      <c r="N50" s="55">
        <f t="shared" si="16"/>
        <v>527280.50847457629</v>
      </c>
    </row>
    <row r="51" spans="1:14" x14ac:dyDescent="0.35">
      <c r="A51" s="46" t="s">
        <v>445</v>
      </c>
      <c r="B51" s="55">
        <f t="shared" si="16"/>
        <v>587933.05084745761</v>
      </c>
      <c r="C51" s="55">
        <f t="shared" si="16"/>
        <v>548347.45762711868</v>
      </c>
      <c r="D51" s="55">
        <f t="shared" si="16"/>
        <v>608227.11864406778</v>
      </c>
      <c r="E51" s="55">
        <f t="shared" si="16"/>
        <v>576736.44067796611</v>
      </c>
      <c r="F51" s="55">
        <f t="shared" si="16"/>
        <v>561899.15254237293</v>
      </c>
      <c r="G51" s="55">
        <f t="shared" si="16"/>
        <v>426969.49152542377</v>
      </c>
      <c r="H51" s="55">
        <f t="shared" si="16"/>
        <v>634384.74576271186</v>
      </c>
      <c r="I51" s="55">
        <f t="shared" si="16"/>
        <v>561457.62711864407</v>
      </c>
      <c r="J51" s="55">
        <f t="shared" si="16"/>
        <v>443380.50847457629</v>
      </c>
      <c r="K51" s="55">
        <f t="shared" si="16"/>
        <v>559130.50847457629</v>
      </c>
      <c r="L51" s="55">
        <f t="shared" si="16"/>
        <v>639583.05084745761</v>
      </c>
      <c r="M51" s="55">
        <f t="shared" si="16"/>
        <v>620245.76271186443</v>
      </c>
      <c r="N51" s="55">
        <f t="shared" si="16"/>
        <v>655839.83050847461</v>
      </c>
    </row>
    <row r="52" spans="1:14" x14ac:dyDescent="0.35">
      <c r="A52" s="52" t="s">
        <v>488</v>
      </c>
      <c r="B52" s="55">
        <f t="shared" si="16"/>
        <v>36281.355932203391</v>
      </c>
      <c r="C52" s="55">
        <f t="shared" si="16"/>
        <v>24974.576271186441</v>
      </c>
      <c r="D52" s="55">
        <f t="shared" si="16"/>
        <v>22987.288135593222</v>
      </c>
      <c r="E52" s="55">
        <f t="shared" si="16"/>
        <v>88878.813559322036</v>
      </c>
      <c r="F52" s="55">
        <f t="shared" si="16"/>
        <v>35690.677966101699</v>
      </c>
      <c r="G52" s="55">
        <f t="shared" si="16"/>
        <v>41664.406779661018</v>
      </c>
      <c r="H52" s="55">
        <f t="shared" si="16"/>
        <v>73806.779661016946</v>
      </c>
      <c r="I52" s="55">
        <f t="shared" si="16"/>
        <v>53108.47457627119</v>
      </c>
      <c r="J52" s="55">
        <f t="shared" si="16"/>
        <v>63494.91525423729</v>
      </c>
      <c r="K52" s="55">
        <f t="shared" si="16"/>
        <v>76955.08474576271</v>
      </c>
      <c r="L52" s="55">
        <f t="shared" si="16"/>
        <v>62564.406779661018</v>
      </c>
      <c r="M52" s="55">
        <f t="shared" si="16"/>
        <v>67330.508474576272</v>
      </c>
      <c r="N52" s="55">
        <f t="shared" si="16"/>
        <v>52373.728813559326</v>
      </c>
    </row>
    <row r="53" spans="1:14" x14ac:dyDescent="0.35">
      <c r="A53" s="52" t="s">
        <v>489</v>
      </c>
      <c r="B53" s="55">
        <f t="shared" si="16"/>
        <v>159940.67796610171</v>
      </c>
      <c r="C53" s="55">
        <f t="shared" si="16"/>
        <v>122193.22033898305</v>
      </c>
      <c r="D53" s="55">
        <f t="shared" si="16"/>
        <v>148838.98305084746</v>
      </c>
      <c r="E53" s="55">
        <f t="shared" si="16"/>
        <v>142442.37288135593</v>
      </c>
      <c r="F53" s="55">
        <f t="shared" si="16"/>
        <v>152461.01694915254</v>
      </c>
      <c r="G53" s="55">
        <f t="shared" si="16"/>
        <v>104441.52542372882</v>
      </c>
      <c r="H53" s="55">
        <f t="shared" si="16"/>
        <v>179920.33898305087</v>
      </c>
      <c r="I53" s="55">
        <f t="shared" si="16"/>
        <v>167715.25423728814</v>
      </c>
      <c r="J53" s="55">
        <f t="shared" si="16"/>
        <v>93927.966101694925</v>
      </c>
      <c r="K53" s="55">
        <f t="shared" si="16"/>
        <v>111235.59322033898</v>
      </c>
      <c r="L53" s="55">
        <f t="shared" si="16"/>
        <v>164369.49152542374</v>
      </c>
      <c r="M53" s="55">
        <f t="shared" si="16"/>
        <v>177805.93220338985</v>
      </c>
      <c r="N53" s="55">
        <f t="shared" si="16"/>
        <v>183636.44067796611</v>
      </c>
    </row>
    <row r="54" spans="1:14" x14ac:dyDescent="0.35">
      <c r="A54" s="52" t="s">
        <v>490</v>
      </c>
      <c r="B54" s="55">
        <f t="shared" si="16"/>
        <v>228914.40677966102</v>
      </c>
      <c r="C54" s="55">
        <f t="shared" si="16"/>
        <v>147069.49152542374</v>
      </c>
      <c r="D54" s="55">
        <f t="shared" si="16"/>
        <v>152840.67796610171</v>
      </c>
      <c r="E54" s="55">
        <f t="shared" si="16"/>
        <v>157678.81355932204</v>
      </c>
      <c r="F54" s="55">
        <f t="shared" si="16"/>
        <v>153906.77966101695</v>
      </c>
      <c r="G54" s="55">
        <f t="shared" si="16"/>
        <v>172512.7118644068</v>
      </c>
      <c r="H54" s="55">
        <f t="shared" si="16"/>
        <v>135888.98305084746</v>
      </c>
      <c r="I54" s="55">
        <f t="shared" si="16"/>
        <v>156231.35593220341</v>
      </c>
      <c r="J54" s="55">
        <f t="shared" si="16"/>
        <v>173355.08474576272</v>
      </c>
      <c r="K54" s="55">
        <f t="shared" si="16"/>
        <v>165305.93220338985</v>
      </c>
      <c r="L54" s="55">
        <f t="shared" si="16"/>
        <v>218676.27118644069</v>
      </c>
      <c r="M54" s="55">
        <f t="shared" si="16"/>
        <v>235970.33898305087</v>
      </c>
      <c r="N54" s="55">
        <f t="shared" si="16"/>
        <v>172527.11864406781</v>
      </c>
    </row>
    <row r="55" spans="1:14" x14ac:dyDescent="0.35">
      <c r="A55" s="52" t="s">
        <v>491</v>
      </c>
      <c r="B55" s="55">
        <f t="shared" si="16"/>
        <v>48093.220338983054</v>
      </c>
      <c r="C55" s="55">
        <f t="shared" si="16"/>
        <v>68601.694915254237</v>
      </c>
      <c r="D55" s="55">
        <f t="shared" si="16"/>
        <v>85889.830508474581</v>
      </c>
      <c r="E55" s="55">
        <f t="shared" si="16"/>
        <v>71788.135593220344</v>
      </c>
      <c r="F55" s="55">
        <f t="shared" si="16"/>
        <v>88389.830508474581</v>
      </c>
      <c r="G55" s="55">
        <f t="shared" si="16"/>
        <v>66440.677966101692</v>
      </c>
      <c r="H55" s="55">
        <f t="shared" si="16"/>
        <v>99699.152542372889</v>
      </c>
      <c r="I55" s="55">
        <f t="shared" si="16"/>
        <v>64957.627118644072</v>
      </c>
      <c r="J55" s="55">
        <f t="shared" si="16"/>
        <v>46516.949152542373</v>
      </c>
      <c r="K55" s="55">
        <f t="shared" si="16"/>
        <v>103983.05084745763</v>
      </c>
      <c r="L55" s="55">
        <f t="shared" si="16"/>
        <v>133347.45762711865</v>
      </c>
      <c r="M55" s="55">
        <f t="shared" si="16"/>
        <v>136186.44067796611</v>
      </c>
      <c r="N55" s="55">
        <f t="shared" si="16"/>
        <v>125381.3559322034</v>
      </c>
    </row>
    <row r="56" spans="1:14" x14ac:dyDescent="0.35">
      <c r="A56" s="46" t="s">
        <v>403</v>
      </c>
      <c r="B56" s="55">
        <f t="shared" si="16"/>
        <v>0</v>
      </c>
      <c r="C56" s="55">
        <f t="shared" si="16"/>
        <v>0</v>
      </c>
      <c r="D56" s="55">
        <f t="shared" si="16"/>
        <v>0</v>
      </c>
      <c r="E56" s="55">
        <f t="shared" si="16"/>
        <v>0</v>
      </c>
      <c r="F56" s="55">
        <f t="shared" si="16"/>
        <v>0</v>
      </c>
      <c r="G56" s="55">
        <f t="shared" si="16"/>
        <v>0</v>
      </c>
      <c r="H56" s="55">
        <f t="shared" si="16"/>
        <v>0</v>
      </c>
      <c r="I56" s="55">
        <f t="shared" si="16"/>
        <v>0</v>
      </c>
      <c r="J56" s="55">
        <f t="shared" si="16"/>
        <v>586378.81355932204</v>
      </c>
      <c r="K56" s="55">
        <f t="shared" si="16"/>
        <v>870220.3389830509</v>
      </c>
      <c r="L56" s="55">
        <f t="shared" si="16"/>
        <v>850422.88135593222</v>
      </c>
      <c r="M56" s="55">
        <f t="shared" si="16"/>
        <v>820874.57627118647</v>
      </c>
      <c r="N56" s="55">
        <f t="shared" si="16"/>
        <v>773179.66101694922</v>
      </c>
    </row>
    <row r="57" spans="1:14" x14ac:dyDescent="0.35">
      <c r="A57" s="46" t="s">
        <v>492</v>
      </c>
      <c r="B57" s="55">
        <f t="shared" si="16"/>
        <v>0</v>
      </c>
      <c r="C57" s="55">
        <f t="shared" si="16"/>
        <v>0</v>
      </c>
      <c r="D57" s="55">
        <f t="shared" si="16"/>
        <v>0</v>
      </c>
      <c r="E57" s="55">
        <f t="shared" si="16"/>
        <v>148238.13559322036</v>
      </c>
      <c r="F57" s="55">
        <f t="shared" si="16"/>
        <v>388405.93220338988</v>
      </c>
      <c r="G57" s="55">
        <f t="shared" si="16"/>
        <v>404774.57627118647</v>
      </c>
      <c r="H57" s="55">
        <f t="shared" si="16"/>
        <v>481888.98305084748</v>
      </c>
      <c r="I57" s="55">
        <f t="shared" si="16"/>
        <v>423524.57627118647</v>
      </c>
      <c r="J57" s="55">
        <f t="shared" si="16"/>
        <v>392874.57627118647</v>
      </c>
      <c r="K57" s="55">
        <f t="shared" si="16"/>
        <v>375400</v>
      </c>
      <c r="L57" s="55">
        <f t="shared" si="16"/>
        <v>421733.05084745766</v>
      </c>
      <c r="M57" s="55">
        <f t="shared" si="16"/>
        <v>469620.3389830509</v>
      </c>
      <c r="N57" s="55">
        <f t="shared" si="16"/>
        <v>439171.18644067796</v>
      </c>
    </row>
    <row r="58" spans="1:14" x14ac:dyDescent="0.35">
      <c r="A58" s="46" t="s">
        <v>404</v>
      </c>
      <c r="B58" s="55">
        <f t="shared" si="16"/>
        <v>0</v>
      </c>
      <c r="C58" s="55">
        <f t="shared" si="16"/>
        <v>0</v>
      </c>
      <c r="D58" s="55">
        <f t="shared" si="16"/>
        <v>0</v>
      </c>
      <c r="E58" s="55">
        <f t="shared" si="16"/>
        <v>0</v>
      </c>
      <c r="F58" s="55">
        <f t="shared" si="16"/>
        <v>0</v>
      </c>
      <c r="G58" s="55">
        <f t="shared" si="16"/>
        <v>0</v>
      </c>
      <c r="H58" s="55">
        <f t="shared" si="16"/>
        <v>0</v>
      </c>
      <c r="I58" s="55">
        <f t="shared" si="16"/>
        <v>432033.05084745766</v>
      </c>
      <c r="J58" s="55">
        <f t="shared" si="16"/>
        <v>869411.86440677976</v>
      </c>
      <c r="K58" s="55">
        <f t="shared" si="16"/>
        <v>886831.35593220347</v>
      </c>
      <c r="L58" s="55">
        <f t="shared" si="16"/>
        <v>872897.45762711868</v>
      </c>
      <c r="M58" s="55">
        <f t="shared" si="16"/>
        <v>880342.37288135593</v>
      </c>
      <c r="N58" s="55">
        <f t="shared" si="16"/>
        <v>1007326.2711864407</v>
      </c>
    </row>
    <row r="59" spans="1:14" x14ac:dyDescent="0.35">
      <c r="A59" s="46" t="s">
        <v>405</v>
      </c>
      <c r="B59" s="55">
        <f t="shared" si="16"/>
        <v>0</v>
      </c>
      <c r="C59" s="55">
        <f t="shared" si="16"/>
        <v>0</v>
      </c>
      <c r="D59" s="55">
        <f t="shared" si="16"/>
        <v>0</v>
      </c>
      <c r="E59" s="55">
        <f t="shared" si="16"/>
        <v>0</v>
      </c>
      <c r="F59" s="55">
        <f t="shared" si="16"/>
        <v>0</v>
      </c>
      <c r="G59" s="55">
        <f t="shared" si="16"/>
        <v>0</v>
      </c>
      <c r="H59" s="55">
        <f t="shared" si="16"/>
        <v>0</v>
      </c>
      <c r="I59" s="55">
        <f t="shared" si="16"/>
        <v>49908.47457627119</v>
      </c>
      <c r="J59" s="55">
        <f t="shared" si="16"/>
        <v>94245.762711864416</v>
      </c>
      <c r="K59" s="55">
        <f t="shared" si="16"/>
        <v>108672.88135593222</v>
      </c>
      <c r="L59" s="55">
        <f t="shared" si="16"/>
        <v>129999.15254237289</v>
      </c>
      <c r="M59" s="55">
        <f t="shared" si="16"/>
        <v>85021.186440677964</v>
      </c>
      <c r="N59" s="55">
        <f t="shared" si="16"/>
        <v>127703.38983050849</v>
      </c>
    </row>
    <row r="60" spans="1:14" x14ac:dyDescent="0.35">
      <c r="B60" s="55">
        <f>SUM(B48:B59)</f>
        <v>3433440.6779661016</v>
      </c>
      <c r="C60" s="55">
        <f t="shared" ref="C60:N60" si="17">SUM(C48:C59)</f>
        <v>3085444.0677966103</v>
      </c>
      <c r="D60" s="55">
        <f t="shared" si="17"/>
        <v>3414025.4237288139</v>
      </c>
      <c r="E60" s="55">
        <f t="shared" si="17"/>
        <v>3524683.0508474577</v>
      </c>
      <c r="F60" s="55">
        <f t="shared" si="17"/>
        <v>4042714.4067796613</v>
      </c>
      <c r="G60" s="55">
        <f t="shared" si="17"/>
        <v>3337774.5762711866</v>
      </c>
      <c r="H60" s="55">
        <f t="shared" si="17"/>
        <v>4315853.3898305092</v>
      </c>
      <c r="I60" s="55">
        <f t="shared" si="17"/>
        <v>4403047.4576271195</v>
      </c>
      <c r="J60" s="55">
        <f t="shared" si="17"/>
        <v>5133633.8983050846</v>
      </c>
      <c r="K60" s="55">
        <f t="shared" si="17"/>
        <v>5797323.7288135588</v>
      </c>
      <c r="L60" s="55">
        <f t="shared" si="17"/>
        <v>6088466.9491525432</v>
      </c>
      <c r="M60" s="55">
        <f t="shared" si="17"/>
        <v>6032676.2711864403</v>
      </c>
      <c r="N60" s="55">
        <f t="shared" si="17"/>
        <v>6116191.5254237289</v>
      </c>
    </row>
    <row r="61" spans="1:14" x14ac:dyDescent="0.35">
      <c r="A61" s="46" t="s">
        <v>493</v>
      </c>
      <c r="B61" s="55">
        <f>+B43/1.18-B60</f>
        <v>0</v>
      </c>
      <c r="C61" s="55">
        <f t="shared" ref="C61:N61" si="18">+C43/1.18-C60</f>
        <v>0</v>
      </c>
      <c r="D61" s="55">
        <f t="shared" si="18"/>
        <v>0</v>
      </c>
      <c r="E61" s="55">
        <f t="shared" si="18"/>
        <v>0</v>
      </c>
      <c r="F61" s="55">
        <f t="shared" si="18"/>
        <v>0</v>
      </c>
      <c r="G61" s="55">
        <f t="shared" si="18"/>
        <v>0</v>
      </c>
      <c r="H61" s="55">
        <f t="shared" si="18"/>
        <v>0</v>
      </c>
      <c r="I61" s="55">
        <f t="shared" si="18"/>
        <v>0</v>
      </c>
      <c r="J61" s="55">
        <f t="shared" si="18"/>
        <v>0</v>
      </c>
      <c r="K61" s="55">
        <f t="shared" si="18"/>
        <v>0</v>
      </c>
      <c r="L61" s="55">
        <f t="shared" si="18"/>
        <v>0</v>
      </c>
      <c r="M61" s="55">
        <f t="shared" si="18"/>
        <v>0</v>
      </c>
      <c r="N61" s="55">
        <f t="shared" si="18"/>
        <v>0</v>
      </c>
    </row>
    <row r="63" spans="1:14" x14ac:dyDescent="0.35">
      <c r="A63" s="54" t="s">
        <v>495</v>
      </c>
    </row>
    <row r="64" spans="1:14" x14ac:dyDescent="0.35">
      <c r="A64" s="46" t="s">
        <v>429</v>
      </c>
      <c r="B64"/>
      <c r="C64" s="59"/>
      <c r="D64"/>
      <c r="E64"/>
      <c r="F64"/>
      <c r="G64"/>
      <c r="H64"/>
      <c r="I64"/>
      <c r="J64"/>
      <c r="K64"/>
      <c r="L64"/>
    </row>
    <row r="65" spans="1:17" x14ac:dyDescent="0.35">
      <c r="A65" s="46" t="s">
        <v>443</v>
      </c>
      <c r="B65"/>
      <c r="C65"/>
      <c r="D65" s="60">
        <v>151018.64000000001</v>
      </c>
      <c r="E65"/>
      <c r="F65"/>
      <c r="G65" s="60">
        <v>338983.05</v>
      </c>
      <c r="H65"/>
      <c r="I65" s="60">
        <v>270338.98</v>
      </c>
      <c r="J65"/>
      <c r="K65"/>
      <c r="L65" s="60">
        <v>287800</v>
      </c>
      <c r="O65" s="61"/>
    </row>
    <row r="66" spans="1:17" x14ac:dyDescent="0.35">
      <c r="A66" s="46" t="s">
        <v>444</v>
      </c>
      <c r="B66"/>
      <c r="C66" s="59">
        <v>36700.85</v>
      </c>
      <c r="D66"/>
      <c r="E66" s="59">
        <v>3000</v>
      </c>
      <c r="F66" s="59"/>
      <c r="G66"/>
      <c r="H66"/>
      <c r="I66" s="59"/>
      <c r="J66"/>
      <c r="K66" s="59"/>
      <c r="L66"/>
    </row>
    <row r="67" spans="1:17" x14ac:dyDescent="0.35">
      <c r="A67" s="46" t="s">
        <v>445</v>
      </c>
      <c r="B67"/>
      <c r="C67"/>
      <c r="D67"/>
      <c r="E67"/>
      <c r="F67" s="59">
        <v>12800</v>
      </c>
      <c r="G67"/>
      <c r="H67"/>
      <c r="I67"/>
      <c r="J67"/>
      <c r="K67" s="59">
        <v>33800</v>
      </c>
      <c r="L67"/>
    </row>
    <row r="68" spans="1:17" x14ac:dyDescent="0.35">
      <c r="A68" s="46" t="s">
        <v>488</v>
      </c>
      <c r="B68"/>
      <c r="C68" s="59">
        <v>59228.81</v>
      </c>
      <c r="D68"/>
      <c r="E68" s="62"/>
      <c r="F68"/>
      <c r="G68"/>
      <c r="H68"/>
      <c r="I68" s="62">
        <v>3507</v>
      </c>
      <c r="J68"/>
      <c r="K68"/>
      <c r="L68"/>
    </row>
    <row r="69" spans="1:17" x14ac:dyDescent="0.35">
      <c r="A69" s="46" t="s">
        <v>489</v>
      </c>
      <c r="B69"/>
      <c r="C69"/>
      <c r="D69"/>
      <c r="E69"/>
      <c r="F69"/>
      <c r="G69"/>
      <c r="H69"/>
      <c r="I69"/>
      <c r="J69"/>
      <c r="K69"/>
      <c r="L69"/>
    </row>
    <row r="70" spans="1:17" x14ac:dyDescent="0.35">
      <c r="A70" s="46" t="s">
        <v>490</v>
      </c>
      <c r="B70"/>
      <c r="C70"/>
      <c r="D70"/>
      <c r="E70"/>
      <c r="F70"/>
      <c r="G70"/>
      <c r="H70"/>
      <c r="I70"/>
      <c r="J70"/>
      <c r="K70"/>
      <c r="L70"/>
    </row>
    <row r="71" spans="1:17" x14ac:dyDescent="0.35">
      <c r="A71" s="46" t="s">
        <v>491</v>
      </c>
      <c r="B71"/>
      <c r="C71"/>
      <c r="D71"/>
      <c r="E71"/>
      <c r="F71"/>
      <c r="G71"/>
      <c r="H71"/>
      <c r="I71"/>
      <c r="J71"/>
      <c r="K71"/>
      <c r="L71"/>
    </row>
    <row r="72" spans="1:17" x14ac:dyDescent="0.35">
      <c r="A72" s="46" t="s">
        <v>496</v>
      </c>
      <c r="B72" s="47">
        <f>SUM(B64:B71)</f>
        <v>0</v>
      </c>
      <c r="C72" s="47">
        <f t="shared" ref="C72:N72" si="19">SUM(C64:C71)</f>
        <v>95929.66</v>
      </c>
      <c r="D72" s="47">
        <f t="shared" si="19"/>
        <v>151018.64000000001</v>
      </c>
      <c r="E72" s="47">
        <f t="shared" si="19"/>
        <v>3000</v>
      </c>
      <c r="F72" s="47">
        <f t="shared" si="19"/>
        <v>12800</v>
      </c>
      <c r="G72" s="47">
        <f t="shared" si="19"/>
        <v>338983.05</v>
      </c>
      <c r="H72" s="47">
        <f t="shared" si="19"/>
        <v>0</v>
      </c>
      <c r="I72" s="47">
        <f t="shared" si="19"/>
        <v>273845.98</v>
      </c>
      <c r="J72" s="47">
        <f t="shared" si="19"/>
        <v>0</v>
      </c>
      <c r="K72" s="47">
        <f t="shared" si="19"/>
        <v>33800</v>
      </c>
      <c r="L72" s="47">
        <f t="shared" si="19"/>
        <v>287800</v>
      </c>
      <c r="M72" s="47">
        <f t="shared" si="19"/>
        <v>0</v>
      </c>
      <c r="N72" s="47">
        <f t="shared" si="19"/>
        <v>0</v>
      </c>
    </row>
    <row r="76" spans="1:17" x14ac:dyDescent="0.35">
      <c r="A76" s="58" t="s">
        <v>497</v>
      </c>
      <c r="B76" s="58"/>
    </row>
    <row r="77" spans="1:17" x14ac:dyDescent="0.35">
      <c r="B77" s="46">
        <v>1.25</v>
      </c>
      <c r="C77" s="46">
        <v>2.25</v>
      </c>
      <c r="D77" s="46">
        <v>3.25</v>
      </c>
      <c r="E77" s="46">
        <v>4.25</v>
      </c>
      <c r="F77" s="46">
        <v>5.25</v>
      </c>
      <c r="G77" s="46">
        <v>6.25</v>
      </c>
      <c r="H77" s="46">
        <v>7.25</v>
      </c>
      <c r="I77" s="46">
        <v>8.25</v>
      </c>
      <c r="J77" s="46">
        <v>9.25</v>
      </c>
      <c r="K77" s="46">
        <v>10.25</v>
      </c>
      <c r="L77" s="46">
        <v>11.25</v>
      </c>
      <c r="M77" s="46">
        <v>12.25</v>
      </c>
      <c r="N77" s="46">
        <v>1.26</v>
      </c>
      <c r="O77" s="46">
        <v>2.2599999999999998</v>
      </c>
      <c r="P77" s="46">
        <v>3.26</v>
      </c>
      <c r="Q77" s="46">
        <v>4.26</v>
      </c>
    </row>
    <row r="78" spans="1:17" x14ac:dyDescent="0.35">
      <c r="A78" s="46" t="s">
        <v>429</v>
      </c>
      <c r="B78" s="55">
        <f>+B48+B64</f>
        <v>1379498.3050847459</v>
      </c>
      <c r="C78" s="55">
        <f t="shared" ref="C78:N79" si="20">+C48+C64</f>
        <v>1193371.1864406781</v>
      </c>
      <c r="D78" s="55">
        <f t="shared" si="20"/>
        <v>1413921.1864406781</v>
      </c>
      <c r="E78" s="55">
        <f t="shared" si="20"/>
        <v>1456638.1355932204</v>
      </c>
      <c r="F78" s="55">
        <f t="shared" si="20"/>
        <v>1567408.4745762714</v>
      </c>
      <c r="G78" s="55">
        <f t="shared" si="20"/>
        <v>1295921.1864406781</v>
      </c>
      <c r="H78" s="55">
        <f t="shared" si="20"/>
        <v>1540373.7288135595</v>
      </c>
      <c r="I78" s="55">
        <f t="shared" si="20"/>
        <v>1526301.6949152544</v>
      </c>
      <c r="J78" s="55">
        <f t="shared" si="20"/>
        <v>1456677.9661016951</v>
      </c>
      <c r="K78" s="55">
        <f t="shared" si="20"/>
        <v>1598972.0338983051</v>
      </c>
      <c r="L78" s="55">
        <f t="shared" si="20"/>
        <v>1545136.4406779662</v>
      </c>
      <c r="M78" s="55">
        <f t="shared" si="20"/>
        <v>1429006.779661017</v>
      </c>
      <c r="N78" s="55">
        <f t="shared" si="20"/>
        <v>1568003.3898305085</v>
      </c>
      <c r="O78" s="55">
        <v>1465456.4456</v>
      </c>
      <c r="P78" s="55">
        <v>1360763.7382</v>
      </c>
      <c r="Q78" s="55">
        <v>1495000</v>
      </c>
    </row>
    <row r="79" spans="1:17" x14ac:dyDescent="0.35">
      <c r="A79" s="46" t="s">
        <v>443</v>
      </c>
      <c r="B79" s="55">
        <f t="shared" ref="B79:N85" si="21">+B49+B65</f>
        <v>482458.4745762712</v>
      </c>
      <c r="C79" s="55">
        <f t="shared" si="20"/>
        <v>491664.40677966102</v>
      </c>
      <c r="D79" s="55">
        <f t="shared" si="21"/>
        <v>616089.82644067798</v>
      </c>
      <c r="E79" s="55">
        <f t="shared" si="21"/>
        <v>385073.72881355934</v>
      </c>
      <c r="F79" s="55">
        <f t="shared" si="21"/>
        <v>525823.7288135594</v>
      </c>
      <c r="G79" s="55">
        <f t="shared" si="21"/>
        <v>752759.32118644076</v>
      </c>
      <c r="H79" s="55">
        <f t="shared" si="21"/>
        <v>605164.40677966108</v>
      </c>
      <c r="I79" s="55">
        <f t="shared" si="21"/>
        <v>764258.47152542369</v>
      </c>
      <c r="J79" s="55">
        <f t="shared" si="21"/>
        <v>434802.54237288138</v>
      </c>
      <c r="K79" s="55">
        <f t="shared" si="21"/>
        <v>475744.06779661018</v>
      </c>
      <c r="L79" s="55">
        <f t="shared" si="21"/>
        <v>805726.27118644072</v>
      </c>
      <c r="M79" s="55">
        <f t="shared" si="21"/>
        <v>550269.49152542371</v>
      </c>
      <c r="N79" s="55">
        <f t="shared" si="21"/>
        <v>483768.64406779665</v>
      </c>
      <c r="O79" s="55">
        <f>454606.2632-42415</f>
        <v>412191.26319999999</v>
      </c>
      <c r="P79" s="55">
        <v>488269.97039999999</v>
      </c>
      <c r="Q79" s="55">
        <v>518000</v>
      </c>
    </row>
    <row r="80" spans="1:17" x14ac:dyDescent="0.35">
      <c r="A80" s="46" t="s">
        <v>444</v>
      </c>
      <c r="B80" s="55">
        <f t="shared" si="21"/>
        <v>510321.18644067796</v>
      </c>
      <c r="C80" s="55">
        <f t="shared" si="21"/>
        <v>525922.88389830512</v>
      </c>
      <c r="D80" s="55">
        <f t="shared" si="21"/>
        <v>516249.15254237293</v>
      </c>
      <c r="E80" s="55">
        <f t="shared" si="21"/>
        <v>500208.4745762712</v>
      </c>
      <c r="F80" s="55">
        <f t="shared" si="21"/>
        <v>568728.81355932204</v>
      </c>
      <c r="G80" s="55">
        <f t="shared" si="21"/>
        <v>411273.72881355934</v>
      </c>
      <c r="H80" s="55">
        <f t="shared" si="21"/>
        <v>564726.27118644072</v>
      </c>
      <c r="I80" s="55">
        <f t="shared" si="21"/>
        <v>473889.83050847461</v>
      </c>
      <c r="J80" s="55">
        <f t="shared" si="21"/>
        <v>478566.94915254239</v>
      </c>
      <c r="K80" s="55">
        <f t="shared" si="21"/>
        <v>464872.88135593222</v>
      </c>
      <c r="L80" s="55">
        <f t="shared" si="21"/>
        <v>531811.01694915257</v>
      </c>
      <c r="M80" s="55">
        <f t="shared" si="21"/>
        <v>560002.54237288143</v>
      </c>
      <c r="N80" s="55">
        <f t="shared" si="21"/>
        <v>527280.50847457629</v>
      </c>
      <c r="O80" s="55">
        <f>609319.6302-42415</f>
        <v>566904.63020000001</v>
      </c>
      <c r="P80" s="55">
        <v>434486.94689999998</v>
      </c>
      <c r="Q80" s="55">
        <v>573000</v>
      </c>
    </row>
    <row r="81" spans="1:17" x14ac:dyDescent="0.35">
      <c r="A81" s="46" t="s">
        <v>445</v>
      </c>
      <c r="B81" s="55">
        <f t="shared" si="21"/>
        <v>587933.05084745761</v>
      </c>
      <c r="C81" s="55">
        <f t="shared" si="21"/>
        <v>548347.45762711868</v>
      </c>
      <c r="D81" s="55">
        <f t="shared" si="21"/>
        <v>608227.11864406778</v>
      </c>
      <c r="E81" s="55">
        <f t="shared" si="21"/>
        <v>576736.44067796611</v>
      </c>
      <c r="F81" s="55">
        <f t="shared" si="21"/>
        <v>574699.15254237293</v>
      </c>
      <c r="G81" s="55">
        <f t="shared" si="21"/>
        <v>426969.49152542377</v>
      </c>
      <c r="H81" s="55">
        <f t="shared" si="21"/>
        <v>634384.74576271186</v>
      </c>
      <c r="I81" s="55">
        <f t="shared" si="21"/>
        <v>561457.62711864407</v>
      </c>
      <c r="J81" s="55">
        <f t="shared" si="21"/>
        <v>443380.50847457629</v>
      </c>
      <c r="K81" s="55">
        <f t="shared" si="21"/>
        <v>592930.50847457629</v>
      </c>
      <c r="L81" s="55">
        <f t="shared" si="21"/>
        <v>639583.05084745761</v>
      </c>
      <c r="M81" s="55">
        <f t="shared" si="21"/>
        <v>620245.76271186443</v>
      </c>
      <c r="N81" s="55">
        <f t="shared" si="21"/>
        <v>655839.83050847461</v>
      </c>
      <c r="O81" s="55">
        <f>645109.771-42415</f>
        <v>602694.77099999995</v>
      </c>
      <c r="P81" s="55">
        <v>612690.80449999997</v>
      </c>
      <c r="Q81" s="55">
        <v>565000</v>
      </c>
    </row>
    <row r="82" spans="1:17" x14ac:dyDescent="0.35">
      <c r="A82" s="52" t="s">
        <v>488</v>
      </c>
      <c r="B82" s="55">
        <f t="shared" si="21"/>
        <v>36281.355932203391</v>
      </c>
      <c r="C82" s="55">
        <f t="shared" si="21"/>
        <v>84203.386271186435</v>
      </c>
      <c r="D82" s="55">
        <f t="shared" si="21"/>
        <v>22987.288135593222</v>
      </c>
      <c r="E82" s="55">
        <f t="shared" si="21"/>
        <v>88878.813559322036</v>
      </c>
      <c r="F82" s="55">
        <f t="shared" si="21"/>
        <v>35690.677966101699</v>
      </c>
      <c r="G82" s="55">
        <f t="shared" si="21"/>
        <v>41664.406779661018</v>
      </c>
      <c r="H82" s="55">
        <f t="shared" si="21"/>
        <v>73806.779661016946</v>
      </c>
      <c r="I82" s="55">
        <f t="shared" si="21"/>
        <v>56615.47457627119</v>
      </c>
      <c r="J82" s="55">
        <f t="shared" si="21"/>
        <v>63494.91525423729</v>
      </c>
      <c r="K82" s="55">
        <f t="shared" si="21"/>
        <v>76955.08474576271</v>
      </c>
      <c r="L82" s="55">
        <f t="shared" si="21"/>
        <v>62564.406779661018</v>
      </c>
      <c r="M82" s="55">
        <f t="shared" si="21"/>
        <v>67330.508474576272</v>
      </c>
      <c r="N82" s="55">
        <f t="shared" si="21"/>
        <v>52373.728813559326</v>
      </c>
      <c r="O82" s="55">
        <v>29542</v>
      </c>
      <c r="P82" s="55">
        <f>+P90+P91+P92</f>
        <v>40885.638644067803</v>
      </c>
      <c r="Q82" s="55">
        <f>+Q98</f>
        <v>67000</v>
      </c>
    </row>
    <row r="83" spans="1:17" x14ac:dyDescent="0.35">
      <c r="A83" s="52" t="s">
        <v>489</v>
      </c>
      <c r="B83" s="55">
        <f t="shared" si="21"/>
        <v>159940.67796610171</v>
      </c>
      <c r="C83" s="55">
        <f t="shared" si="21"/>
        <v>122193.22033898305</v>
      </c>
      <c r="D83" s="55">
        <f t="shared" si="21"/>
        <v>148838.98305084746</v>
      </c>
      <c r="E83" s="55">
        <f t="shared" si="21"/>
        <v>142442.37288135593</v>
      </c>
      <c r="F83" s="55">
        <f t="shared" si="21"/>
        <v>152461.01694915254</v>
      </c>
      <c r="G83" s="55">
        <f t="shared" si="21"/>
        <v>104441.52542372882</v>
      </c>
      <c r="H83" s="55">
        <f t="shared" si="21"/>
        <v>179920.33898305087</v>
      </c>
      <c r="I83" s="55">
        <f t="shared" si="21"/>
        <v>167715.25423728814</v>
      </c>
      <c r="J83" s="55">
        <f t="shared" si="21"/>
        <v>93927.966101694925</v>
      </c>
      <c r="K83" s="55">
        <f t="shared" si="21"/>
        <v>111235.59322033898</v>
      </c>
      <c r="L83" s="55">
        <f t="shared" si="21"/>
        <v>164369.49152542374</v>
      </c>
      <c r="M83" s="55">
        <f t="shared" si="21"/>
        <v>177805.93220338985</v>
      </c>
      <c r="N83" s="55">
        <f t="shared" si="21"/>
        <v>183636.44067796611</v>
      </c>
      <c r="O83" s="55">
        <v>164691.97</v>
      </c>
      <c r="P83" s="55">
        <v>133941.22</v>
      </c>
      <c r="Q83" s="55">
        <v>141000</v>
      </c>
    </row>
    <row r="84" spans="1:17" x14ac:dyDescent="0.35">
      <c r="A84" s="52" t="s">
        <v>490</v>
      </c>
      <c r="B84" s="55">
        <f t="shared" si="21"/>
        <v>228914.40677966102</v>
      </c>
      <c r="C84" s="55">
        <f t="shared" si="21"/>
        <v>147069.49152542374</v>
      </c>
      <c r="D84" s="55">
        <f t="shared" si="21"/>
        <v>152840.67796610171</v>
      </c>
      <c r="E84" s="55">
        <f t="shared" si="21"/>
        <v>157678.81355932204</v>
      </c>
      <c r="F84" s="55">
        <f t="shared" si="21"/>
        <v>153906.77966101695</v>
      </c>
      <c r="G84" s="55">
        <f t="shared" si="21"/>
        <v>172512.7118644068</v>
      </c>
      <c r="H84" s="55">
        <f t="shared" si="21"/>
        <v>135888.98305084746</v>
      </c>
      <c r="I84" s="55">
        <f t="shared" si="21"/>
        <v>156231.35593220341</v>
      </c>
      <c r="J84" s="55">
        <f t="shared" si="21"/>
        <v>173355.08474576272</v>
      </c>
      <c r="K84" s="55">
        <f t="shared" si="21"/>
        <v>165305.93220338985</v>
      </c>
      <c r="L84" s="55">
        <f t="shared" si="21"/>
        <v>218676.27118644069</v>
      </c>
      <c r="M84" s="55">
        <f t="shared" si="21"/>
        <v>235970.33898305087</v>
      </c>
      <c r="N84" s="55">
        <f t="shared" si="21"/>
        <v>172527.11864406781</v>
      </c>
      <c r="O84" s="55">
        <v>196056.2</v>
      </c>
      <c r="P84" s="55">
        <v>167499.39135593222</v>
      </c>
      <c r="Q84" s="55">
        <v>185000</v>
      </c>
    </row>
    <row r="85" spans="1:17" x14ac:dyDescent="0.35">
      <c r="A85" s="52" t="s">
        <v>491</v>
      </c>
      <c r="B85" s="55">
        <f t="shared" si="21"/>
        <v>48093.220338983054</v>
      </c>
      <c r="C85" s="55">
        <f t="shared" si="21"/>
        <v>68601.694915254237</v>
      </c>
      <c r="D85" s="55">
        <f t="shared" si="21"/>
        <v>85889.830508474581</v>
      </c>
      <c r="E85" s="55">
        <f t="shared" si="21"/>
        <v>71788.135593220344</v>
      </c>
      <c r="F85" s="55">
        <f t="shared" si="21"/>
        <v>88389.830508474581</v>
      </c>
      <c r="G85" s="55">
        <f t="shared" si="21"/>
        <v>66440.677966101692</v>
      </c>
      <c r="H85" s="55">
        <f t="shared" si="21"/>
        <v>99699.152542372889</v>
      </c>
      <c r="I85" s="55">
        <f t="shared" si="21"/>
        <v>64957.627118644072</v>
      </c>
      <c r="J85" s="55">
        <f t="shared" si="21"/>
        <v>46516.949152542373</v>
      </c>
      <c r="K85" s="55">
        <f t="shared" si="21"/>
        <v>103983.05084745763</v>
      </c>
      <c r="L85" s="55">
        <f t="shared" si="21"/>
        <v>133347.45762711865</v>
      </c>
      <c r="M85" s="55">
        <f t="shared" si="21"/>
        <v>136186.44067796611</v>
      </c>
      <c r="N85" s="55">
        <f t="shared" si="21"/>
        <v>125381.3559322034</v>
      </c>
      <c r="O85" s="55">
        <v>127245</v>
      </c>
      <c r="P85" s="55">
        <v>117228.27</v>
      </c>
      <c r="Q85" s="55">
        <v>125000</v>
      </c>
    </row>
    <row r="86" spans="1:17" x14ac:dyDescent="0.35">
      <c r="A86" s="46" t="s">
        <v>403</v>
      </c>
      <c r="B86" s="55">
        <f>+B56</f>
        <v>0</v>
      </c>
      <c r="C86" s="55">
        <f t="shared" ref="C86:N86" si="22">+C56</f>
        <v>0</v>
      </c>
      <c r="D86" s="55">
        <f t="shared" si="22"/>
        <v>0</v>
      </c>
      <c r="E86" s="55">
        <f t="shared" si="22"/>
        <v>0</v>
      </c>
      <c r="F86" s="55">
        <f t="shared" si="22"/>
        <v>0</v>
      </c>
      <c r="G86" s="55">
        <f t="shared" si="22"/>
        <v>0</v>
      </c>
      <c r="H86" s="55">
        <f t="shared" si="22"/>
        <v>0</v>
      </c>
      <c r="I86" s="55">
        <f t="shared" si="22"/>
        <v>0</v>
      </c>
      <c r="J86" s="55">
        <f t="shared" si="22"/>
        <v>586378.81355932204</v>
      </c>
      <c r="K86" s="55">
        <f t="shared" si="22"/>
        <v>870220.3389830509</v>
      </c>
      <c r="L86" s="55">
        <f t="shared" si="22"/>
        <v>850422.88135593222</v>
      </c>
      <c r="M86" s="55">
        <f t="shared" si="22"/>
        <v>820874.57627118647</v>
      </c>
      <c r="N86" s="55">
        <f t="shared" si="22"/>
        <v>773179.66101694922</v>
      </c>
      <c r="O86" s="55">
        <v>776809</v>
      </c>
      <c r="P86" s="55">
        <v>778910</v>
      </c>
      <c r="Q86" s="55">
        <v>966035.59322033729</v>
      </c>
    </row>
    <row r="87" spans="1:17" x14ac:dyDescent="0.35">
      <c r="A87" s="46" t="s">
        <v>492</v>
      </c>
      <c r="B87" s="55">
        <f t="shared" ref="B87:N89" si="23">+B57</f>
        <v>0</v>
      </c>
      <c r="C87" s="55">
        <f t="shared" si="23"/>
        <v>0</v>
      </c>
      <c r="D87" s="55">
        <f t="shared" si="23"/>
        <v>0</v>
      </c>
      <c r="E87" s="55">
        <f t="shared" si="23"/>
        <v>148238.13559322036</v>
      </c>
      <c r="F87" s="55">
        <f t="shared" si="23"/>
        <v>388405.93220338988</v>
      </c>
      <c r="G87" s="55">
        <f t="shared" si="23"/>
        <v>404774.57627118647</v>
      </c>
      <c r="H87" s="55">
        <f t="shared" si="23"/>
        <v>481888.98305084748</v>
      </c>
      <c r="I87" s="55">
        <f t="shared" si="23"/>
        <v>423524.57627118647</v>
      </c>
      <c r="J87" s="55">
        <f t="shared" si="23"/>
        <v>392874.57627118647</v>
      </c>
      <c r="K87" s="55">
        <f t="shared" si="23"/>
        <v>375400</v>
      </c>
      <c r="L87" s="55">
        <f t="shared" si="23"/>
        <v>421733.05084745766</v>
      </c>
      <c r="M87" s="55">
        <f t="shared" si="23"/>
        <v>469620.3389830509</v>
      </c>
      <c r="N87" s="55">
        <f t="shared" si="23"/>
        <v>439171.18644067796</v>
      </c>
      <c r="O87" s="55">
        <v>432954</v>
      </c>
      <c r="P87" s="55">
        <v>321474</v>
      </c>
      <c r="Q87" s="27">
        <v>390323.72881355905</v>
      </c>
    </row>
    <row r="88" spans="1:17" x14ac:dyDescent="0.35">
      <c r="A88" s="46" t="s">
        <v>404</v>
      </c>
      <c r="B88" s="55">
        <f t="shared" si="23"/>
        <v>0</v>
      </c>
      <c r="C88" s="55">
        <f t="shared" si="23"/>
        <v>0</v>
      </c>
      <c r="D88" s="55">
        <f t="shared" si="23"/>
        <v>0</v>
      </c>
      <c r="E88" s="55">
        <f t="shared" si="23"/>
        <v>0</v>
      </c>
      <c r="F88" s="55">
        <f t="shared" si="23"/>
        <v>0</v>
      </c>
      <c r="G88" s="55">
        <f t="shared" si="23"/>
        <v>0</v>
      </c>
      <c r="H88" s="55">
        <f t="shared" si="23"/>
        <v>0</v>
      </c>
      <c r="I88" s="55">
        <f t="shared" si="23"/>
        <v>432033.05084745766</v>
      </c>
      <c r="J88" s="55">
        <f t="shared" si="23"/>
        <v>869411.86440677976</v>
      </c>
      <c r="K88" s="55">
        <f t="shared" si="23"/>
        <v>886831.35593220347</v>
      </c>
      <c r="L88" s="55">
        <f t="shared" si="23"/>
        <v>872897.45762711868</v>
      </c>
      <c r="M88" s="55">
        <f t="shared" si="23"/>
        <v>880342.37288135593</v>
      </c>
      <c r="N88" s="55">
        <f t="shared" si="23"/>
        <v>1007326.2711864407</v>
      </c>
      <c r="O88" s="55">
        <v>880429</v>
      </c>
      <c r="P88" s="55">
        <v>908246</v>
      </c>
      <c r="Q88" s="55">
        <v>1075829</v>
      </c>
    </row>
    <row r="89" spans="1:17" x14ac:dyDescent="0.35">
      <c r="A89" s="46" t="s">
        <v>405</v>
      </c>
      <c r="B89" s="55">
        <f t="shared" si="23"/>
        <v>0</v>
      </c>
      <c r="C89" s="55">
        <f t="shared" si="23"/>
        <v>0</v>
      </c>
      <c r="D89" s="55">
        <f t="shared" si="23"/>
        <v>0</v>
      </c>
      <c r="E89" s="55">
        <f t="shared" si="23"/>
        <v>0</v>
      </c>
      <c r="F89" s="55">
        <f t="shared" si="23"/>
        <v>0</v>
      </c>
      <c r="G89" s="55">
        <f t="shared" si="23"/>
        <v>0</v>
      </c>
      <c r="H89" s="55">
        <f t="shared" si="23"/>
        <v>0</v>
      </c>
      <c r="I89" s="55">
        <f t="shared" si="23"/>
        <v>49908.47457627119</v>
      </c>
      <c r="J89" s="55">
        <f t="shared" si="23"/>
        <v>94245.762711864416</v>
      </c>
      <c r="K89" s="55">
        <f t="shared" si="23"/>
        <v>108672.88135593222</v>
      </c>
      <c r="L89" s="55">
        <f t="shared" si="23"/>
        <v>129999.15254237289</v>
      </c>
      <c r="M89" s="55">
        <f t="shared" si="23"/>
        <v>85021.186440677964</v>
      </c>
      <c r="N89" s="55">
        <f t="shared" si="23"/>
        <v>127703.38983050849</v>
      </c>
      <c r="O89" s="55">
        <v>134377</v>
      </c>
      <c r="P89" s="55">
        <v>97514</v>
      </c>
      <c r="Q89" s="55">
        <v>108245</v>
      </c>
    </row>
    <row r="90" spans="1:17" x14ac:dyDescent="0.35">
      <c r="A90" s="46" t="s">
        <v>944</v>
      </c>
      <c r="P90" s="55">
        <v>14529.69</v>
      </c>
      <c r="Q90" s="52"/>
    </row>
    <row r="91" spans="1:17" x14ac:dyDescent="0.35">
      <c r="A91" s="46" t="s">
        <v>897</v>
      </c>
      <c r="O91" s="55"/>
      <c r="P91" s="55">
        <v>18728.830000000002</v>
      </c>
      <c r="Q91" s="52"/>
    </row>
    <row r="92" spans="1:17" x14ac:dyDescent="0.35">
      <c r="A92" s="46" t="s">
        <v>945</v>
      </c>
      <c r="P92" s="55">
        <v>7627.1186440677966</v>
      </c>
      <c r="Q92" s="55">
        <v>2000</v>
      </c>
    </row>
    <row r="94" spans="1:17" x14ac:dyDescent="0.35">
      <c r="B94" s="237">
        <f>SUM(B78:B93)</f>
        <v>3433440.6779661016</v>
      </c>
      <c r="C94" s="237">
        <f t="shared" ref="C94:O94" si="24">SUM(C78:C93)</f>
        <v>3181373.7277966104</v>
      </c>
      <c r="D94" s="237">
        <f t="shared" si="24"/>
        <v>3565044.0637288135</v>
      </c>
      <c r="E94" s="237">
        <f t="shared" si="24"/>
        <v>3527683.0508474577</v>
      </c>
      <c r="F94" s="237">
        <f t="shared" si="24"/>
        <v>4055514.4067796613</v>
      </c>
      <c r="G94" s="237">
        <f t="shared" si="24"/>
        <v>3676757.6262711864</v>
      </c>
      <c r="H94" s="237">
        <f t="shared" si="24"/>
        <v>4315853.3898305092</v>
      </c>
      <c r="I94" s="237">
        <f t="shared" si="24"/>
        <v>4676893.437627119</v>
      </c>
      <c r="J94" s="237">
        <f t="shared" si="24"/>
        <v>5133633.8983050846</v>
      </c>
      <c r="K94" s="237">
        <f t="shared" si="24"/>
        <v>5831123.7288135588</v>
      </c>
      <c r="L94" s="237">
        <f t="shared" si="24"/>
        <v>6376266.9491525432</v>
      </c>
      <c r="M94" s="237">
        <f t="shared" si="24"/>
        <v>6032676.2711864403</v>
      </c>
      <c r="N94" s="237">
        <f t="shared" si="24"/>
        <v>6116191.5254237289</v>
      </c>
      <c r="O94" s="237">
        <f t="shared" si="24"/>
        <v>5789351.2799999993</v>
      </c>
      <c r="P94" s="237">
        <f>SUM(P78:P89)</f>
        <v>5461909.9800000004</v>
      </c>
      <c r="Q94" s="237">
        <f>SUM(Q78:Q89)</f>
        <v>6209433.3220338961</v>
      </c>
    </row>
    <row r="97" spans="16:20" x14ac:dyDescent="0.35">
      <c r="P97" s="55"/>
      <c r="Q97" s="46">
        <v>3669000</v>
      </c>
    </row>
    <row r="98" spans="16:20" x14ac:dyDescent="0.35">
      <c r="Q98" s="55">
        <f>+Q97-Q78-Q79-Q80-Q81-Q83-Q84-Q85</f>
        <v>67000</v>
      </c>
    </row>
    <row r="99" spans="16:20" ht="15.5" x14ac:dyDescent="0.35">
      <c r="S99" s="347" t="s">
        <v>649</v>
      </c>
      <c r="T99" s="27">
        <v>3668116.9491525469</v>
      </c>
    </row>
    <row r="100" spans="16:20" ht="15.5" x14ac:dyDescent="0.35">
      <c r="S100" s="347" t="s">
        <v>654</v>
      </c>
      <c r="T100" s="27">
        <v>390323.72881355905</v>
      </c>
    </row>
    <row r="101" spans="16:20" ht="15.5" x14ac:dyDescent="0.35">
      <c r="S101" s="347" t="s">
        <v>962</v>
      </c>
    </row>
    <row r="102" spans="16:20" ht="15.5" x14ac:dyDescent="0.35">
      <c r="S102" s="347" t="s">
        <v>652</v>
      </c>
      <c r="T102" s="27">
        <v>940703.33333333337</v>
      </c>
    </row>
    <row r="103" spans="16:20" ht="16" thickBot="1" x14ac:dyDescent="0.4">
      <c r="S103" s="348" t="s">
        <v>653</v>
      </c>
      <c r="T103" s="27">
        <v>81596.666666666657</v>
      </c>
    </row>
  </sheetData>
  <autoFilter ref="A1:N25" xr:uid="{00000000-0001-0000-0000-000000000000}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2D4B-70C6-47F0-BC9E-CC81AA8E4788}">
  <dimension ref="A1:N20"/>
  <sheetViews>
    <sheetView rightToLeft="1" topLeftCell="A13" workbookViewId="0">
      <selection activeCell="A22" sqref="A22:XFD1048576"/>
    </sheetView>
  </sheetViews>
  <sheetFormatPr defaultColWidth="8.75" defaultRowHeight="14" x14ac:dyDescent="0.3"/>
  <cols>
    <col min="1" max="1" width="8.75" style="227"/>
    <col min="2" max="2" width="23.83203125" style="227" bestFit="1" customWidth="1"/>
    <col min="3" max="3" width="14" style="227" hidden="1" customWidth="1"/>
    <col min="4" max="4" width="0" style="227" hidden="1" customWidth="1"/>
    <col min="5" max="5" width="10.33203125" style="227" hidden="1" customWidth="1"/>
    <col min="6" max="6" width="14" style="227" bestFit="1" customWidth="1"/>
    <col min="7" max="7" width="8.75" style="227"/>
    <col min="8" max="8" width="14.83203125" style="232" bestFit="1" customWidth="1"/>
    <col min="9" max="9" width="5" style="227" customWidth="1"/>
    <col min="10" max="11" width="10.5" style="227" bestFit="1" customWidth="1"/>
    <col min="12" max="12" width="4.75" style="226" customWidth="1"/>
    <col min="13" max="13" width="18.33203125" style="226" bestFit="1" customWidth="1"/>
    <col min="14" max="16384" width="8.75" style="226"/>
  </cols>
  <sheetData>
    <row r="1" spans="1:13" x14ac:dyDescent="0.3">
      <c r="A1" s="228" t="s">
        <v>859</v>
      </c>
      <c r="B1" s="228" t="s">
        <v>860</v>
      </c>
      <c r="C1" s="228" t="s">
        <v>861</v>
      </c>
    </row>
    <row r="2" spans="1:13" ht="17" x14ac:dyDescent="0.6">
      <c r="A2" s="228"/>
      <c r="B2" s="228"/>
      <c r="C2" s="228"/>
      <c r="F2" s="231" t="s">
        <v>876</v>
      </c>
      <c r="H2" s="233" t="s">
        <v>880</v>
      </c>
    </row>
    <row r="3" spans="1:13" x14ac:dyDescent="0.3">
      <c r="A3" s="228"/>
      <c r="B3" s="228"/>
      <c r="C3" s="228">
        <v>2024</v>
      </c>
      <c r="F3" s="228" t="s">
        <v>862</v>
      </c>
      <c r="H3" s="234" t="s">
        <v>879</v>
      </c>
      <c r="J3" s="227" t="s">
        <v>578</v>
      </c>
      <c r="K3" s="227" t="s">
        <v>877</v>
      </c>
      <c r="M3" s="226" t="s">
        <v>878</v>
      </c>
    </row>
    <row r="4" spans="1:13" x14ac:dyDescent="0.3">
      <c r="A4" s="228"/>
      <c r="B4" s="228"/>
      <c r="C4" s="228"/>
    </row>
    <row r="5" spans="1:13" x14ac:dyDescent="0.3">
      <c r="A5" s="227">
        <v>8001</v>
      </c>
      <c r="B5" s="227" t="s">
        <v>863</v>
      </c>
      <c r="C5" s="227">
        <v>-14288950.02</v>
      </c>
      <c r="F5" s="227">
        <v>-18130414.59</v>
      </c>
      <c r="H5" s="232">
        <f>-SUM('הכנסות - מרכז'!B48:M48)</f>
        <v>-17403227.11864407</v>
      </c>
      <c r="J5" s="227">
        <f>+F5-H5</f>
        <v>-727187.47135592997</v>
      </c>
      <c r="K5" s="227">
        <v>0</v>
      </c>
      <c r="M5" s="230">
        <f>+J5-K5</f>
        <v>-727187.47135592997</v>
      </c>
    </row>
    <row r="6" spans="1:13" x14ac:dyDescent="0.3">
      <c r="A6" s="227">
        <v>8002</v>
      </c>
      <c r="B6" s="227" t="s">
        <v>864</v>
      </c>
      <c r="C6" s="227">
        <v>-6936475.5</v>
      </c>
      <c r="F6" s="227">
        <v>-7447978.25</v>
      </c>
      <c r="H6" s="232">
        <f>-SUM('הכנסות - מרכז'!B51:M51)</f>
        <v>-6768294.9152542371</v>
      </c>
      <c r="J6" s="227">
        <f t="shared" ref="J6:J12" si="0">+F6-H6</f>
        <v>-679683.33474576287</v>
      </c>
      <c r="K6" s="227">
        <f>-SUM('הכנסות - מרכז'!B67:M67)</f>
        <v>-46600</v>
      </c>
      <c r="M6" s="230">
        <f>+J6-K6</f>
        <v>-633083.33474576287</v>
      </c>
    </row>
    <row r="7" spans="1:13" x14ac:dyDescent="0.3">
      <c r="A7" s="227">
        <v>8003</v>
      </c>
      <c r="B7" s="227" t="s">
        <v>865</v>
      </c>
      <c r="C7" s="227">
        <v>-6452402.4299999997</v>
      </c>
      <c r="F7" s="227">
        <v>-7587444.46</v>
      </c>
      <c r="H7" s="232">
        <f>-SUM('הכנסות - מרכז'!B49:M49)</f>
        <v>-5841694.0677966112</v>
      </c>
      <c r="J7" s="227">
        <f t="shared" si="0"/>
        <v>-1745750.3922033887</v>
      </c>
      <c r="K7" s="227">
        <f>-SUM('הכנסות - מרכז'!B65:M65)</f>
        <v>-1048140.6699999999</v>
      </c>
      <c r="M7" s="230">
        <f t="shared" ref="M7:M12" si="1">+J7-K7</f>
        <v>-697609.72220338881</v>
      </c>
    </row>
    <row r="8" spans="1:13" x14ac:dyDescent="0.3">
      <c r="A8" s="227">
        <v>8004</v>
      </c>
      <c r="B8" s="227" t="s">
        <v>866</v>
      </c>
      <c r="C8" s="227">
        <v>-6170793.4400000004</v>
      </c>
      <c r="F8" s="227">
        <v>-6793605.0300000003</v>
      </c>
      <c r="H8" s="232">
        <f>-SUM('הכנסות - מרכז'!B50:M50)</f>
        <v>-6066872.881355932</v>
      </c>
      <c r="J8" s="227">
        <f t="shared" si="0"/>
        <v>-726732.14864406828</v>
      </c>
      <c r="K8" s="227">
        <f>-SUM('הכנסות - מרכז'!B66:M66)</f>
        <v>-39700.85</v>
      </c>
      <c r="M8" s="230">
        <f t="shared" si="1"/>
        <v>-687031.2986440683</v>
      </c>
    </row>
    <row r="9" spans="1:13" x14ac:dyDescent="0.3">
      <c r="A9" s="227">
        <v>8005</v>
      </c>
      <c r="B9" s="227" t="s">
        <v>867</v>
      </c>
      <c r="C9" s="227">
        <v>-1297903.0900000001</v>
      </c>
      <c r="F9" s="227">
        <v>-45468.639999999999</v>
      </c>
      <c r="M9" s="230">
        <f t="shared" si="1"/>
        <v>0</v>
      </c>
    </row>
    <row r="10" spans="1:13" x14ac:dyDescent="0.3">
      <c r="A10" s="227">
        <v>8006</v>
      </c>
      <c r="B10" s="227" t="s">
        <v>868</v>
      </c>
      <c r="C10" s="227">
        <v>-94384.61</v>
      </c>
      <c r="F10" s="227">
        <v>-4703.3900000000003</v>
      </c>
      <c r="H10" s="380">
        <f>-SUM('הכנסות - מרכז'!B53:M53)</f>
        <v>-1725292.3728813562</v>
      </c>
      <c r="J10" s="381">
        <f>+F10+F11-H10</f>
        <v>-68831.36711864383</v>
      </c>
      <c r="M10" s="379">
        <f t="shared" si="1"/>
        <v>-68831.36711864383</v>
      </c>
    </row>
    <row r="11" spans="1:13" x14ac:dyDescent="0.3">
      <c r="A11" s="227">
        <v>8007</v>
      </c>
      <c r="B11" s="227" t="s">
        <v>869</v>
      </c>
      <c r="C11" s="227">
        <v>-637640.18000000005</v>
      </c>
      <c r="F11" s="227">
        <v>-1789420.35</v>
      </c>
      <c r="H11" s="380"/>
      <c r="J11" s="381"/>
      <c r="M11" s="379"/>
    </row>
    <row r="12" spans="1:13" x14ac:dyDescent="0.3">
      <c r="A12" s="227">
        <v>8008</v>
      </c>
      <c r="B12" s="227" t="s">
        <v>870</v>
      </c>
      <c r="C12" s="227">
        <v>-861125.64</v>
      </c>
      <c r="F12" s="227">
        <v>-2181507.63</v>
      </c>
      <c r="H12" s="232">
        <f>-SUM('הכנסות - מרכז'!B54:M54)</f>
        <v>-2098350.8474576273</v>
      </c>
      <c r="J12" s="227">
        <f t="shared" si="0"/>
        <v>-83156.782542372588</v>
      </c>
      <c r="M12" s="230">
        <f t="shared" si="1"/>
        <v>-83156.782542372588</v>
      </c>
    </row>
    <row r="13" spans="1:13" x14ac:dyDescent="0.3">
      <c r="A13" s="227">
        <v>8009</v>
      </c>
      <c r="B13" s="227" t="s">
        <v>871</v>
      </c>
      <c r="C13" s="227">
        <v>-74303.429999999993</v>
      </c>
      <c r="F13" s="227">
        <v>-198557.62</v>
      </c>
      <c r="H13" s="380">
        <f>-SUM('הכנסות - מרכז'!B52:M52,'הכנסות - מרכז'!B55:M55)</f>
        <v>-1661631.3559322036</v>
      </c>
      <c r="J13" s="381">
        <f>+F13+F9+F14+F15+F16-H13</f>
        <v>1259618.6559322036</v>
      </c>
      <c r="K13" s="381">
        <f>-SUM('הכנסות - מרכז'!B68:M68)</f>
        <v>-62735.81</v>
      </c>
      <c r="M13" s="379">
        <f>+J13-K13</f>
        <v>1322354.4659322037</v>
      </c>
    </row>
    <row r="14" spans="1:13" x14ac:dyDescent="0.3">
      <c r="A14" s="227">
        <v>8010</v>
      </c>
      <c r="B14" s="227" t="s">
        <v>872</v>
      </c>
      <c r="C14" s="227">
        <v>-40596.58</v>
      </c>
      <c r="F14" s="227">
        <v>-149706.78</v>
      </c>
      <c r="H14" s="380"/>
      <c r="J14" s="381"/>
      <c r="K14" s="381"/>
      <c r="M14" s="379"/>
    </row>
    <row r="15" spans="1:13" x14ac:dyDescent="0.3">
      <c r="A15" s="227">
        <v>8011</v>
      </c>
      <c r="B15" s="227" t="s">
        <v>873</v>
      </c>
      <c r="C15" s="227">
        <v>-11033.33</v>
      </c>
      <c r="F15" s="227">
        <v>-6923.73</v>
      </c>
      <c r="H15" s="380"/>
      <c r="J15" s="381"/>
      <c r="K15" s="381"/>
      <c r="M15" s="379"/>
    </row>
    <row r="16" spans="1:13" x14ac:dyDescent="0.3">
      <c r="A16" s="227">
        <v>8012</v>
      </c>
      <c r="B16" s="227" t="s">
        <v>874</v>
      </c>
      <c r="C16" s="227">
        <v>-2820.52</v>
      </c>
      <c r="F16" s="227">
        <v>-1355.93</v>
      </c>
      <c r="H16" s="380"/>
      <c r="J16" s="381"/>
      <c r="K16" s="381"/>
      <c r="M16" s="379"/>
    </row>
    <row r="17" spans="1:14" x14ac:dyDescent="0.3">
      <c r="A17" s="227">
        <v>8000</v>
      </c>
      <c r="B17" s="227" t="s">
        <v>875</v>
      </c>
      <c r="C17" s="227">
        <v>-113470.08</v>
      </c>
      <c r="F17" s="227">
        <v>0</v>
      </c>
    </row>
    <row r="19" spans="1:14" x14ac:dyDescent="0.3">
      <c r="C19" s="229">
        <f>SUM(C5:C18)</f>
        <v>-36981898.850000001</v>
      </c>
      <c r="F19" s="229">
        <f>SUM(F5:F18)</f>
        <v>-44337086.399999999</v>
      </c>
      <c r="H19" s="232">
        <f>SUM(H5:H17)</f>
        <v>-41565363.559322037</v>
      </c>
      <c r="J19" s="227">
        <f>SUM(J5:J16)</f>
        <v>-2771722.8406779626</v>
      </c>
      <c r="K19" s="227">
        <f>SUM(K5:K16)</f>
        <v>-1197177.33</v>
      </c>
      <c r="L19" s="227"/>
      <c r="M19" s="227">
        <f t="shared" ref="M19" si="2">SUM(M5:M16)</f>
        <v>-1574545.5106779628</v>
      </c>
      <c r="N19" s="226" t="s">
        <v>881</v>
      </c>
    </row>
    <row r="20" spans="1:14" x14ac:dyDescent="0.3">
      <c r="H20" s="232">
        <f>SUM('הכנסות - מרכז'!B48:M55)+H19</f>
        <v>0</v>
      </c>
    </row>
  </sheetData>
  <mergeCells count="7">
    <mergeCell ref="M13:M16"/>
    <mergeCell ref="M10:M11"/>
    <mergeCell ref="H10:H11"/>
    <mergeCell ref="J10:J11"/>
    <mergeCell ref="H13:H16"/>
    <mergeCell ref="J13:J16"/>
    <mergeCell ref="K13:K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837C-8A89-414F-8DBE-AED072159E34}">
  <dimension ref="A1:Z167"/>
  <sheetViews>
    <sheetView rightToLeft="1" topLeftCell="A308" zoomScaleNormal="100" zoomScaleSheetLayoutView="100" workbookViewId="0">
      <selection activeCell="A317" sqref="A317:XFD1048576"/>
    </sheetView>
  </sheetViews>
  <sheetFormatPr defaultRowHeight="14" x14ac:dyDescent="0.3"/>
  <cols>
    <col min="6" max="6" width="15" customWidth="1"/>
    <col min="10" max="11" width="10.83203125" bestFit="1" customWidth="1"/>
    <col min="12" max="12" width="9.83203125" bestFit="1" customWidth="1"/>
    <col min="13" max="14" width="12.5" customWidth="1"/>
    <col min="15" max="15" width="10.83203125" bestFit="1" customWidth="1"/>
    <col min="16" max="16" width="11.83203125" bestFit="1" customWidth="1"/>
    <col min="17" max="18" width="10.83203125" bestFit="1" customWidth="1"/>
    <col min="20" max="23" width="9.83203125" bestFit="1" customWidth="1"/>
  </cols>
  <sheetData>
    <row r="1" spans="1:16" x14ac:dyDescent="0.3">
      <c r="B1" t="s">
        <v>444</v>
      </c>
      <c r="C1" t="s">
        <v>443</v>
      </c>
      <c r="D1" t="s">
        <v>445</v>
      </c>
      <c r="E1" t="s">
        <v>429</v>
      </c>
      <c r="F1" t="s">
        <v>637</v>
      </c>
      <c r="I1" s="125" t="s">
        <v>639</v>
      </c>
      <c r="J1" s="122">
        <v>45931</v>
      </c>
      <c r="K1" s="122">
        <v>45962</v>
      </c>
      <c r="L1" s="122">
        <v>45992</v>
      </c>
      <c r="M1" s="122">
        <v>46023</v>
      </c>
      <c r="N1" s="122">
        <v>46054</v>
      </c>
      <c r="O1" t="s">
        <v>56</v>
      </c>
    </row>
    <row r="2" spans="1:16" x14ac:dyDescent="0.3">
      <c r="A2" s="122">
        <v>45931</v>
      </c>
      <c r="B2">
        <v>5609</v>
      </c>
      <c r="C2">
        <v>25750</v>
      </c>
      <c r="D2">
        <v>5432</v>
      </c>
      <c r="E2">
        <v>229004</v>
      </c>
      <c r="F2">
        <v>3251</v>
      </c>
      <c r="I2" t="s">
        <v>444</v>
      </c>
      <c r="J2" s="27">
        <v>5609</v>
      </c>
      <c r="K2" s="27">
        <v>5777</v>
      </c>
      <c r="L2" s="27">
        <v>3228</v>
      </c>
      <c r="M2" s="27">
        <v>7894</v>
      </c>
      <c r="N2" s="27">
        <f>+'וטמרקט ואלסמד 2-4.26'!C11</f>
        <v>19785.593220338986</v>
      </c>
      <c r="O2" s="27">
        <v>22580</v>
      </c>
    </row>
    <row r="3" spans="1:16" x14ac:dyDescent="0.3">
      <c r="A3" s="122">
        <v>45962</v>
      </c>
      <c r="B3">
        <v>5777</v>
      </c>
      <c r="C3">
        <v>15569</v>
      </c>
      <c r="D3">
        <v>35296</v>
      </c>
      <c r="E3">
        <v>296981</v>
      </c>
      <c r="F3">
        <v>5681</v>
      </c>
      <c r="I3" t="s">
        <v>443</v>
      </c>
      <c r="J3" s="27">
        <v>25750</v>
      </c>
      <c r="K3" s="27">
        <v>15569</v>
      </c>
      <c r="L3" s="27">
        <v>26108</v>
      </c>
      <c r="M3" s="27">
        <v>16373</v>
      </c>
      <c r="N3" s="27">
        <f>+'וטמרקט ואלסמד 2-4.26'!C9</f>
        <v>23022.033898305086</v>
      </c>
      <c r="O3" s="27">
        <v>83800</v>
      </c>
    </row>
    <row r="4" spans="1:16" x14ac:dyDescent="0.3">
      <c r="A4" s="122">
        <v>45992</v>
      </c>
      <c r="B4">
        <v>3228</v>
      </c>
      <c r="C4">
        <v>26108</v>
      </c>
      <c r="D4">
        <v>25613</v>
      </c>
      <c r="E4">
        <v>78689</v>
      </c>
      <c r="F4">
        <v>3629</v>
      </c>
      <c r="I4" t="s">
        <v>445</v>
      </c>
      <c r="J4" s="27">
        <v>5432</v>
      </c>
      <c r="K4" s="27">
        <v>35296</v>
      </c>
      <c r="L4" s="27">
        <v>25613</v>
      </c>
      <c r="M4" s="27">
        <v>62332</v>
      </c>
      <c r="N4" s="27">
        <f>+'וטמרקט ואלסמד 2-4.26'!C10</f>
        <v>21000</v>
      </c>
      <c r="O4" s="27">
        <v>128673</v>
      </c>
    </row>
    <row r="5" spans="1:16" x14ac:dyDescent="0.3">
      <c r="A5" s="122">
        <v>46023</v>
      </c>
      <c r="B5">
        <v>7894</v>
      </c>
      <c r="C5">
        <v>16373</v>
      </c>
      <c r="D5">
        <v>62332</v>
      </c>
      <c r="E5">
        <v>298309</v>
      </c>
      <c r="F5">
        <v>465</v>
      </c>
      <c r="I5" t="s">
        <v>429</v>
      </c>
      <c r="J5" s="27">
        <v>229004</v>
      </c>
      <c r="K5" s="27">
        <v>296981</v>
      </c>
      <c r="L5" s="27">
        <v>78689</v>
      </c>
      <c r="M5" s="27">
        <v>298309</v>
      </c>
      <c r="N5" s="27">
        <f>+'וטמרקט ואלסמד 2-4.26'!C8</f>
        <v>200620.33898305087</v>
      </c>
      <c r="O5" s="27">
        <v>902983</v>
      </c>
    </row>
    <row r="6" spans="1:16" x14ac:dyDescent="0.3">
      <c r="A6" t="s">
        <v>638</v>
      </c>
      <c r="B6">
        <v>22580</v>
      </c>
      <c r="C6">
        <v>83800</v>
      </c>
      <c r="D6">
        <v>128673</v>
      </c>
      <c r="E6">
        <v>902983</v>
      </c>
      <c r="F6">
        <v>13026</v>
      </c>
      <c r="I6" t="s">
        <v>637</v>
      </c>
      <c r="J6" s="27">
        <v>3251</v>
      </c>
      <c r="K6" s="27">
        <v>5681</v>
      </c>
      <c r="L6" s="27">
        <v>3629</v>
      </c>
      <c r="M6" s="27">
        <v>465</v>
      </c>
      <c r="N6" s="27">
        <v>0</v>
      </c>
      <c r="O6" s="27">
        <v>13026</v>
      </c>
    </row>
    <row r="12" spans="1:16" x14ac:dyDescent="0.3">
      <c r="I12" s="125" t="s">
        <v>442</v>
      </c>
    </row>
    <row r="13" spans="1:16" x14ac:dyDescent="0.3">
      <c r="K13" s="123">
        <v>45930</v>
      </c>
      <c r="L13" s="123">
        <v>45961</v>
      </c>
      <c r="M13" s="123">
        <v>45991</v>
      </c>
      <c r="N13" s="123">
        <v>46022</v>
      </c>
      <c r="O13" s="123">
        <v>46053</v>
      </c>
      <c r="P13" s="123">
        <v>46081</v>
      </c>
    </row>
    <row r="14" spans="1:16" x14ac:dyDescent="0.3">
      <c r="J14" t="s">
        <v>640</v>
      </c>
      <c r="K14" s="124">
        <v>59150</v>
      </c>
      <c r="L14" s="124">
        <v>100783</v>
      </c>
      <c r="M14" s="124">
        <v>72106</v>
      </c>
      <c r="N14" s="124">
        <v>98946</v>
      </c>
      <c r="O14">
        <v>72106</v>
      </c>
    </row>
    <row r="15" spans="1:16" x14ac:dyDescent="0.3">
      <c r="J15" t="s">
        <v>494</v>
      </c>
      <c r="K15" s="124">
        <f>+K14/1.18</f>
        <v>50127.118644067799</v>
      </c>
      <c r="L15" s="124">
        <f>+L14/1.18</f>
        <v>85409.322033898308</v>
      </c>
      <c r="M15" s="124">
        <f>+M14/1.18</f>
        <v>61106.779661016953</v>
      </c>
      <c r="N15" s="124">
        <f>+N14/1.18</f>
        <v>83852.542372881362</v>
      </c>
      <c r="O15" s="124">
        <f>+O14/1.18</f>
        <v>61106.779661016953</v>
      </c>
      <c r="P15" s="124">
        <f>+'וטמרקט ואלסמד 2-4.26'!C14</f>
        <v>77523.728813559326</v>
      </c>
    </row>
    <row r="16" spans="1:16" x14ac:dyDescent="0.3">
      <c r="J16" s="123"/>
      <c r="K16" s="124"/>
      <c r="L16" s="124"/>
    </row>
    <row r="19" spans="9:9" x14ac:dyDescent="0.3">
      <c r="I19" s="125" t="s">
        <v>405</v>
      </c>
    </row>
    <row r="41" spans="10:16" x14ac:dyDescent="0.3">
      <c r="K41" s="123">
        <v>45930</v>
      </c>
      <c r="L41" s="123">
        <v>45961</v>
      </c>
      <c r="M41" s="123">
        <v>45991</v>
      </c>
      <c r="N41" s="123">
        <v>46022</v>
      </c>
      <c r="O41" s="123">
        <v>46053</v>
      </c>
      <c r="P41" s="123">
        <v>46081</v>
      </c>
    </row>
    <row r="42" spans="10:16" x14ac:dyDescent="0.3">
      <c r="J42" t="s">
        <v>640</v>
      </c>
      <c r="K42" s="124">
        <v>10634</v>
      </c>
      <c r="L42" s="124">
        <v>11429</v>
      </c>
      <c r="M42" s="124">
        <v>14076</v>
      </c>
      <c r="N42" s="124">
        <v>17675</v>
      </c>
      <c r="O42" s="124">
        <v>11429</v>
      </c>
    </row>
    <row r="43" spans="10:16" x14ac:dyDescent="0.3">
      <c r="J43" t="s">
        <v>494</v>
      </c>
      <c r="K43" s="124">
        <f>+K42/1.18</f>
        <v>9011.8644067796613</v>
      </c>
      <c r="L43" s="124">
        <f>+L42/1.18</f>
        <v>9685.5932203389839</v>
      </c>
      <c r="M43" s="124">
        <f>+M42/1.18</f>
        <v>11928.813559322034</v>
      </c>
      <c r="N43" s="124">
        <f>+N42/1.18</f>
        <v>14978.813559322034</v>
      </c>
      <c r="O43" s="124">
        <f>+O42/1.18</f>
        <v>9685.5932203389839</v>
      </c>
      <c r="P43" s="124">
        <f>+'וטמרקט ואלסמד 2-4.26'!C13</f>
        <v>18967.796610169491</v>
      </c>
    </row>
    <row r="49" spans="9:18" ht="16" thickBot="1" x14ac:dyDescent="0.35">
      <c r="I49" s="127" t="s">
        <v>641</v>
      </c>
    </row>
    <row r="50" spans="9:18" ht="16" thickBot="1" x14ac:dyDescent="0.35">
      <c r="I50" s="128" t="s">
        <v>642</v>
      </c>
      <c r="J50" s="129" t="s">
        <v>643</v>
      </c>
      <c r="K50" s="129" t="s">
        <v>644</v>
      </c>
      <c r="L50" s="129" t="s">
        <v>645</v>
      </c>
      <c r="M50" s="129" t="s">
        <v>646</v>
      </c>
      <c r="N50" s="129"/>
      <c r="O50" s="129" t="s">
        <v>647</v>
      </c>
      <c r="P50" s="129" t="s">
        <v>648</v>
      </c>
    </row>
    <row r="51" spans="9:18" ht="31.5" thickBot="1" x14ac:dyDescent="0.35">
      <c r="I51" s="130">
        <v>1</v>
      </c>
      <c r="J51" s="131" t="s">
        <v>649</v>
      </c>
      <c r="K51" s="132">
        <v>50032</v>
      </c>
      <c r="L51" s="131" t="s">
        <v>650</v>
      </c>
      <c r="M51" s="134">
        <v>267256.82</v>
      </c>
      <c r="N51" s="134"/>
      <c r="O51" s="135" t="s">
        <v>651</v>
      </c>
      <c r="P51" s="132">
        <v>2026</v>
      </c>
      <c r="Q51">
        <f>+M51/1.18</f>
        <v>226488.83050847458</v>
      </c>
    </row>
    <row r="52" spans="9:18" ht="31.5" thickBot="1" x14ac:dyDescent="0.35">
      <c r="I52" s="130">
        <v>2</v>
      </c>
      <c r="J52" s="137" t="s">
        <v>652</v>
      </c>
      <c r="K52" s="138">
        <v>50032</v>
      </c>
      <c r="L52" s="137" t="s">
        <v>650</v>
      </c>
      <c r="M52" s="139">
        <v>133382</v>
      </c>
      <c r="N52" s="139"/>
      <c r="O52" s="140" t="s">
        <v>651</v>
      </c>
      <c r="P52" s="138">
        <v>2026</v>
      </c>
      <c r="Q52" s="141">
        <f t="shared" ref="Q52:Q55" si="0">+M52/1.18</f>
        <v>113035.59322033898</v>
      </c>
    </row>
    <row r="53" spans="9:18" ht="31.5" thickBot="1" x14ac:dyDescent="0.35">
      <c r="I53" s="130">
        <v>3</v>
      </c>
      <c r="J53" s="131" t="s">
        <v>653</v>
      </c>
      <c r="K53" s="132">
        <v>50032</v>
      </c>
      <c r="L53" s="131" t="s">
        <v>650</v>
      </c>
      <c r="M53" s="134">
        <v>11429</v>
      </c>
      <c r="N53" s="134"/>
      <c r="O53" s="135" t="s">
        <v>651</v>
      </c>
      <c r="P53" s="132">
        <v>2026</v>
      </c>
      <c r="Q53">
        <f t="shared" si="0"/>
        <v>9685.5932203389839</v>
      </c>
    </row>
    <row r="54" spans="9:18" ht="31.5" thickBot="1" x14ac:dyDescent="0.35">
      <c r="I54" s="130">
        <v>4</v>
      </c>
      <c r="J54" s="131" t="s">
        <v>654</v>
      </c>
      <c r="K54" s="132">
        <v>50032</v>
      </c>
      <c r="L54" s="131" t="s">
        <v>650</v>
      </c>
      <c r="M54" s="134">
        <v>72106</v>
      </c>
      <c r="N54" s="134"/>
      <c r="O54" s="135" t="s">
        <v>651</v>
      </c>
      <c r="P54" s="132">
        <v>2026</v>
      </c>
      <c r="Q54">
        <f t="shared" si="0"/>
        <v>61106.779661016953</v>
      </c>
    </row>
    <row r="55" spans="9:18" ht="31.5" thickBot="1" x14ac:dyDescent="0.35">
      <c r="I55" s="130">
        <v>5</v>
      </c>
      <c r="J55" s="137" t="s">
        <v>655</v>
      </c>
      <c r="K55" s="138">
        <v>50032</v>
      </c>
      <c r="L55" s="137" t="s">
        <v>650</v>
      </c>
      <c r="M55" s="139">
        <v>102087</v>
      </c>
      <c r="N55" s="139"/>
      <c r="O55" s="140" t="s">
        <v>651</v>
      </c>
      <c r="P55" s="138">
        <v>2026</v>
      </c>
      <c r="Q55" s="141">
        <f t="shared" si="0"/>
        <v>86514.406779661018</v>
      </c>
    </row>
    <row r="56" spans="9:18" ht="16" x14ac:dyDescent="0.3">
      <c r="I56" s="136"/>
    </row>
    <row r="60" spans="9:18" x14ac:dyDescent="0.3">
      <c r="I60" s="125" t="s">
        <v>404</v>
      </c>
    </row>
    <row r="61" spans="9:18" x14ac:dyDescent="0.3">
      <c r="L61" s="123">
        <v>45930</v>
      </c>
      <c r="M61" s="123">
        <v>45961</v>
      </c>
      <c r="N61" s="123">
        <v>45991</v>
      </c>
      <c r="O61" s="123">
        <v>46022</v>
      </c>
      <c r="P61" s="123">
        <v>46053</v>
      </c>
      <c r="Q61" s="123">
        <v>46081</v>
      </c>
      <c r="R61" s="123"/>
    </row>
    <row r="62" spans="9:18" x14ac:dyDescent="0.3">
      <c r="J62" s="123"/>
      <c r="K62" t="s">
        <v>640</v>
      </c>
      <c r="L62" s="124">
        <v>143412</v>
      </c>
      <c r="M62" s="124">
        <v>133382</v>
      </c>
      <c r="N62" s="124">
        <f>154448+3422</f>
        <v>157870</v>
      </c>
      <c r="O62" s="124">
        <v>135835</v>
      </c>
      <c r="P62" s="124">
        <v>133382</v>
      </c>
      <c r="R62" s="124"/>
    </row>
    <row r="63" spans="9:18" x14ac:dyDescent="0.3">
      <c r="J63" s="123"/>
      <c r="K63" t="s">
        <v>494</v>
      </c>
      <c r="L63" s="124">
        <f>+L62/1.18</f>
        <v>121535.593220339</v>
      </c>
      <c r="M63" s="124">
        <f t="shared" ref="M63" si="1">+M62/1.18</f>
        <v>113035.59322033898</v>
      </c>
      <c r="N63" s="124">
        <f>+N62/1.18</f>
        <v>133788.13559322036</v>
      </c>
      <c r="O63" s="124">
        <f>+O62/1.18</f>
        <v>115114.40677966102</v>
      </c>
      <c r="P63" s="124">
        <f>+P62/1.18</f>
        <v>113035.59322033898</v>
      </c>
      <c r="Q63" s="124">
        <f>+'וטמרקט ואלסמד 2-4.26'!C12</f>
        <v>123813.55932203391</v>
      </c>
    </row>
    <row r="64" spans="9:18" x14ac:dyDescent="0.3">
      <c r="J64" s="123"/>
      <c r="K64" s="124"/>
    </row>
    <row r="65" spans="9:11" x14ac:dyDescent="0.3">
      <c r="J65" s="123"/>
      <c r="K65" s="124"/>
    </row>
    <row r="66" spans="9:11" x14ac:dyDescent="0.3">
      <c r="J66" s="123"/>
      <c r="K66" s="124"/>
    </row>
    <row r="80" spans="9:11" x14ac:dyDescent="0.3">
      <c r="I80" s="125" t="s">
        <v>403</v>
      </c>
    </row>
    <row r="82" spans="10:18" x14ac:dyDescent="0.3">
      <c r="P82" s="222" t="s">
        <v>657</v>
      </c>
    </row>
    <row r="83" spans="10:18" x14ac:dyDescent="0.3">
      <c r="K83" s="143">
        <v>45869</v>
      </c>
      <c r="L83" s="143">
        <v>45900</v>
      </c>
      <c r="M83" s="143">
        <v>45930</v>
      </c>
      <c r="N83" s="143">
        <v>45961</v>
      </c>
      <c r="O83" s="143">
        <v>45991</v>
      </c>
      <c r="P83" s="123">
        <v>46022</v>
      </c>
      <c r="Q83" s="123">
        <v>46053</v>
      </c>
      <c r="R83" s="143">
        <v>46081</v>
      </c>
    </row>
    <row r="84" spans="10:18" x14ac:dyDescent="0.3">
      <c r="J84" t="s">
        <v>640</v>
      </c>
      <c r="K84" s="144">
        <v>102254</v>
      </c>
      <c r="L84" s="144">
        <v>90889</v>
      </c>
      <c r="M84" s="144">
        <v>114261</v>
      </c>
      <c r="N84" s="144">
        <v>100741</v>
      </c>
      <c r="O84" s="144">
        <v>102087</v>
      </c>
      <c r="P84" s="145">
        <f>AVERAGE(K84:O84)</f>
        <v>102046.39999999999</v>
      </c>
      <c r="Q84" s="144">
        <v>102087</v>
      </c>
    </row>
    <row r="85" spans="10:18" x14ac:dyDescent="0.3">
      <c r="J85" t="s">
        <v>494</v>
      </c>
      <c r="K85" s="144">
        <f>+K84/1.18</f>
        <v>86655.932203389835</v>
      </c>
      <c r="L85" s="144">
        <f t="shared" ref="L85:M85" si="2">+L84/1.18</f>
        <v>77024.576271186452</v>
      </c>
      <c r="M85" s="144">
        <f t="shared" si="2"/>
        <v>96831.355932203398</v>
      </c>
      <c r="N85" s="144">
        <f>+N84/1.18</f>
        <v>85373.728813559326</v>
      </c>
      <c r="O85" s="144">
        <f>+O84/1.18</f>
        <v>86514.406779661018</v>
      </c>
      <c r="P85" s="144">
        <f>+P84/1.18</f>
        <v>86480</v>
      </c>
      <c r="Q85" s="144">
        <f>+Q84/1.18</f>
        <v>86514.406779661018</v>
      </c>
      <c r="R85" s="144">
        <f>+'וטמרקט ואלסמד 2-4.26'!C15</f>
        <v>88555.08474576271</v>
      </c>
    </row>
    <row r="115" spans="1:18" x14ac:dyDescent="0.3">
      <c r="B115" s="125" t="s">
        <v>693</v>
      </c>
    </row>
    <row r="120" spans="1:18" ht="15.5" x14ac:dyDescent="0.35">
      <c r="A120" s="207" t="s">
        <v>853</v>
      </c>
      <c r="B120" s="208">
        <v>400</v>
      </c>
      <c r="C120" s="209"/>
      <c r="D120" s="209"/>
      <c r="E120" s="209"/>
      <c r="F120" s="210"/>
      <c r="G120" s="210"/>
      <c r="H120" s="211"/>
      <c r="I120" s="211"/>
      <c r="J120" s="209"/>
      <c r="K120" s="209"/>
      <c r="L120" s="210"/>
      <c r="M120" s="210"/>
      <c r="N120" s="210"/>
      <c r="O120" s="212"/>
      <c r="P120" s="212"/>
      <c r="Q120" s="212"/>
    </row>
    <row r="121" spans="1:18" x14ac:dyDescent="0.3">
      <c r="A121" s="213"/>
      <c r="B121" s="214" t="s">
        <v>660</v>
      </c>
      <c r="C121" s="215"/>
      <c r="D121" s="215"/>
      <c r="E121" s="215"/>
      <c r="F121" s="216"/>
      <c r="G121" s="216"/>
      <c r="H121" s="217"/>
      <c r="I121" s="217"/>
      <c r="J121" s="215"/>
      <c r="K121" s="215"/>
      <c r="L121" s="216"/>
      <c r="M121" s="216"/>
      <c r="N121" s="216"/>
      <c r="O121" s="218"/>
      <c r="P121" s="218"/>
      <c r="Q121" s="218">
        <v>80244.95</v>
      </c>
    </row>
    <row r="122" spans="1:18" x14ac:dyDescent="0.3">
      <c r="A122" s="213"/>
      <c r="B122" s="213"/>
      <c r="C122" s="215">
        <v>13119</v>
      </c>
      <c r="D122" s="215">
        <v>22841</v>
      </c>
      <c r="E122" s="215">
        <v>9997</v>
      </c>
      <c r="F122" s="216"/>
      <c r="G122" s="219" t="s">
        <v>854</v>
      </c>
      <c r="H122" s="217">
        <v>45664</v>
      </c>
      <c r="I122" s="217">
        <v>45664</v>
      </c>
      <c r="J122" s="215">
        <v>31622</v>
      </c>
      <c r="K122" s="215"/>
      <c r="L122" s="219" t="s">
        <v>855</v>
      </c>
      <c r="M122" s="216"/>
      <c r="N122" s="216"/>
      <c r="O122" s="218">
        <v>46899.95</v>
      </c>
      <c r="P122" s="218"/>
      <c r="Q122" s="218">
        <v>33345</v>
      </c>
    </row>
    <row r="123" spans="1:18" x14ac:dyDescent="0.3">
      <c r="A123" s="213"/>
      <c r="B123" s="213"/>
      <c r="C123" s="215">
        <v>15978</v>
      </c>
      <c r="D123" s="215">
        <v>28296</v>
      </c>
      <c r="E123" s="215">
        <v>158</v>
      </c>
      <c r="F123" s="219" t="s">
        <v>721</v>
      </c>
      <c r="G123" s="219" t="s">
        <v>856</v>
      </c>
      <c r="H123" s="217">
        <v>45708</v>
      </c>
      <c r="I123" s="217">
        <v>45708</v>
      </c>
      <c r="J123" s="215">
        <v>0</v>
      </c>
      <c r="K123" s="215">
        <v>32</v>
      </c>
      <c r="L123" s="219" t="s">
        <v>857</v>
      </c>
      <c r="M123" s="216"/>
      <c r="N123" s="216"/>
      <c r="O123" s="218"/>
      <c r="P123" s="218">
        <v>50399.97</v>
      </c>
      <c r="Q123" s="218">
        <v>83744.97</v>
      </c>
      <c r="R123">
        <f>+P123/1.18</f>
        <v>42711.838983050853</v>
      </c>
    </row>
    <row r="124" spans="1:18" x14ac:dyDescent="0.3">
      <c r="A124" s="213"/>
      <c r="B124" s="213"/>
      <c r="C124" s="215">
        <v>15991</v>
      </c>
      <c r="D124" s="215">
        <v>28332</v>
      </c>
      <c r="E124" s="215">
        <v>158</v>
      </c>
      <c r="F124" s="219" t="s">
        <v>721</v>
      </c>
      <c r="G124" s="219" t="s">
        <v>747</v>
      </c>
      <c r="H124" s="217">
        <v>45708</v>
      </c>
      <c r="I124" s="217">
        <v>45708</v>
      </c>
      <c r="J124" s="215">
        <v>0</v>
      </c>
      <c r="K124" s="215">
        <v>31</v>
      </c>
      <c r="L124" s="219" t="s">
        <v>857</v>
      </c>
      <c r="M124" s="216"/>
      <c r="N124" s="216"/>
      <c r="O124" s="218"/>
      <c r="P124" s="218">
        <v>16815</v>
      </c>
      <c r="Q124" s="218">
        <v>100559.97</v>
      </c>
      <c r="R124">
        <f t="shared" ref="R124:R166" si="3">+P124/1.18</f>
        <v>14250</v>
      </c>
    </row>
    <row r="125" spans="1:18" x14ac:dyDescent="0.3">
      <c r="A125" s="213"/>
      <c r="B125" s="213"/>
      <c r="C125" s="215">
        <v>15893</v>
      </c>
      <c r="D125" s="215">
        <v>28128</v>
      </c>
      <c r="E125" s="215">
        <v>9997</v>
      </c>
      <c r="F125" s="216"/>
      <c r="G125" s="219" t="s">
        <v>854</v>
      </c>
      <c r="H125" s="217">
        <v>45718</v>
      </c>
      <c r="I125" s="217">
        <v>45718</v>
      </c>
      <c r="J125" s="215">
        <v>95298</v>
      </c>
      <c r="K125" s="215"/>
      <c r="L125" s="219" t="s">
        <v>855</v>
      </c>
      <c r="M125" s="216"/>
      <c r="N125" s="216"/>
      <c r="O125" s="218">
        <v>50399.97</v>
      </c>
      <c r="P125" s="218"/>
      <c r="Q125" s="218">
        <v>50160</v>
      </c>
      <c r="R125">
        <f t="shared" si="3"/>
        <v>0</v>
      </c>
    </row>
    <row r="126" spans="1:18" x14ac:dyDescent="0.3">
      <c r="A126" s="213"/>
      <c r="B126" s="213"/>
      <c r="C126" s="215">
        <v>15894</v>
      </c>
      <c r="D126" s="215">
        <v>28129</v>
      </c>
      <c r="E126" s="215">
        <v>9997</v>
      </c>
      <c r="F126" s="216"/>
      <c r="G126" s="219" t="s">
        <v>854</v>
      </c>
      <c r="H126" s="217">
        <v>45718</v>
      </c>
      <c r="I126" s="217">
        <v>45718</v>
      </c>
      <c r="J126" s="215">
        <v>95299</v>
      </c>
      <c r="K126" s="215"/>
      <c r="L126" s="219" t="s">
        <v>855</v>
      </c>
      <c r="M126" s="216"/>
      <c r="N126" s="216"/>
      <c r="O126" s="218">
        <v>16815</v>
      </c>
      <c r="P126" s="218"/>
      <c r="Q126" s="218">
        <v>33345</v>
      </c>
      <c r="R126">
        <f t="shared" si="3"/>
        <v>0</v>
      </c>
    </row>
    <row r="127" spans="1:18" x14ac:dyDescent="0.3">
      <c r="A127" s="213"/>
      <c r="B127" s="213"/>
      <c r="C127" s="215">
        <v>17148</v>
      </c>
      <c r="D127" s="215">
        <v>30170</v>
      </c>
      <c r="E127" s="215">
        <v>167</v>
      </c>
      <c r="F127" s="219" t="s">
        <v>721</v>
      </c>
      <c r="G127" s="219" t="s">
        <v>747</v>
      </c>
      <c r="H127" s="217">
        <v>45735</v>
      </c>
      <c r="I127" s="217">
        <v>45735</v>
      </c>
      <c r="J127" s="215">
        <v>0</v>
      </c>
      <c r="K127" s="215">
        <v>55</v>
      </c>
      <c r="L127" s="219" t="s">
        <v>857</v>
      </c>
      <c r="M127" s="216"/>
      <c r="N127" s="216"/>
      <c r="O127" s="218"/>
      <c r="P127" s="218">
        <v>16697</v>
      </c>
      <c r="Q127" s="218">
        <v>50042</v>
      </c>
      <c r="R127">
        <f t="shared" si="3"/>
        <v>14150</v>
      </c>
    </row>
    <row r="128" spans="1:18" x14ac:dyDescent="0.3">
      <c r="A128" s="213"/>
      <c r="B128" s="213"/>
      <c r="C128" s="215">
        <v>17181</v>
      </c>
      <c r="D128" s="215">
        <v>30255</v>
      </c>
      <c r="E128" s="215">
        <v>167</v>
      </c>
      <c r="F128" s="219" t="s">
        <v>721</v>
      </c>
      <c r="G128" s="219" t="s">
        <v>856</v>
      </c>
      <c r="H128" s="217">
        <v>45735</v>
      </c>
      <c r="I128" s="217">
        <v>45735</v>
      </c>
      <c r="J128" s="215">
        <v>0</v>
      </c>
      <c r="K128" s="215">
        <v>56</v>
      </c>
      <c r="L128" s="219" t="s">
        <v>857</v>
      </c>
      <c r="M128" s="216"/>
      <c r="N128" s="216"/>
      <c r="O128" s="218"/>
      <c r="P128" s="218">
        <v>52359.96</v>
      </c>
      <c r="Q128" s="218">
        <v>102401.96</v>
      </c>
      <c r="R128">
        <f t="shared" si="3"/>
        <v>44372.847457627118</v>
      </c>
    </row>
    <row r="129" spans="1:26" x14ac:dyDescent="0.3">
      <c r="A129" s="213"/>
      <c r="B129" s="213"/>
      <c r="C129" s="215">
        <v>17527</v>
      </c>
      <c r="D129" s="215">
        <v>31040</v>
      </c>
      <c r="E129" s="215">
        <v>9997</v>
      </c>
      <c r="F129" s="216"/>
      <c r="G129" s="219" t="s">
        <v>854</v>
      </c>
      <c r="H129" s="217">
        <v>45735</v>
      </c>
      <c r="I129" s="217">
        <v>45735</v>
      </c>
      <c r="J129" s="215">
        <v>90223</v>
      </c>
      <c r="K129" s="215"/>
      <c r="L129" s="219" t="s">
        <v>855</v>
      </c>
      <c r="M129" s="216"/>
      <c r="N129" s="216"/>
      <c r="O129" s="218">
        <v>16263</v>
      </c>
      <c r="P129" s="218"/>
      <c r="Q129" s="218">
        <v>86138.96</v>
      </c>
      <c r="R129">
        <f t="shared" si="3"/>
        <v>0</v>
      </c>
    </row>
    <row r="130" spans="1:26" x14ac:dyDescent="0.3">
      <c r="A130" s="213"/>
      <c r="B130" s="213"/>
      <c r="C130" s="215">
        <v>17524</v>
      </c>
      <c r="D130" s="215">
        <v>31033</v>
      </c>
      <c r="E130" s="215">
        <v>9997</v>
      </c>
      <c r="F130" s="216"/>
      <c r="G130" s="219" t="s">
        <v>854</v>
      </c>
      <c r="H130" s="217">
        <v>45746</v>
      </c>
      <c r="I130" s="217">
        <v>45746</v>
      </c>
      <c r="J130" s="215">
        <v>19053</v>
      </c>
      <c r="K130" s="215"/>
      <c r="L130" s="219" t="s">
        <v>855</v>
      </c>
      <c r="M130" s="216"/>
      <c r="N130" s="216"/>
      <c r="O130" s="218">
        <v>52359.96</v>
      </c>
      <c r="P130" s="218"/>
      <c r="Q130" s="218">
        <v>33779</v>
      </c>
      <c r="R130">
        <f t="shared" si="3"/>
        <v>0</v>
      </c>
    </row>
    <row r="131" spans="1:26" x14ac:dyDescent="0.3">
      <c r="A131" s="213"/>
      <c r="B131" s="213"/>
      <c r="C131" s="215">
        <v>17528</v>
      </c>
      <c r="D131" s="215">
        <v>31041</v>
      </c>
      <c r="E131" s="215">
        <v>9997</v>
      </c>
      <c r="F131" s="216"/>
      <c r="G131" s="219" t="s">
        <v>854</v>
      </c>
      <c r="H131" s="217">
        <v>45746</v>
      </c>
      <c r="I131" s="217">
        <v>45746</v>
      </c>
      <c r="J131" s="215">
        <v>19052</v>
      </c>
      <c r="K131" s="215"/>
      <c r="L131" s="219" t="s">
        <v>855</v>
      </c>
      <c r="M131" s="216"/>
      <c r="N131" s="216"/>
      <c r="O131" s="218">
        <v>16697</v>
      </c>
      <c r="P131" s="218"/>
      <c r="Q131" s="218">
        <v>17082</v>
      </c>
      <c r="R131">
        <f t="shared" si="3"/>
        <v>0</v>
      </c>
    </row>
    <row r="132" spans="1:26" x14ac:dyDescent="0.3">
      <c r="A132" s="213"/>
      <c r="B132" s="213"/>
      <c r="C132" s="215">
        <v>18796</v>
      </c>
      <c r="D132" s="215">
        <v>33272</v>
      </c>
      <c r="E132" s="215">
        <v>180</v>
      </c>
      <c r="F132" s="219" t="s">
        <v>721</v>
      </c>
      <c r="G132" s="219" t="s">
        <v>856</v>
      </c>
      <c r="H132" s="217">
        <v>45761</v>
      </c>
      <c r="I132" s="217">
        <v>45761</v>
      </c>
      <c r="J132" s="215">
        <v>0</v>
      </c>
      <c r="K132" s="215">
        <v>77</v>
      </c>
      <c r="L132" s="219" t="s">
        <v>857</v>
      </c>
      <c r="M132" s="216"/>
      <c r="N132" s="216"/>
      <c r="O132" s="218"/>
      <c r="P132" s="218">
        <v>63699.94</v>
      </c>
      <c r="Q132" s="218">
        <v>80781.94</v>
      </c>
      <c r="R132">
        <f t="shared" si="3"/>
        <v>53983.000000000007</v>
      </c>
    </row>
    <row r="133" spans="1:26" x14ac:dyDescent="0.3">
      <c r="A133" s="213"/>
      <c r="B133" s="213"/>
      <c r="C133" s="215">
        <v>18825</v>
      </c>
      <c r="D133" s="215">
        <v>33357</v>
      </c>
      <c r="E133" s="215">
        <v>180</v>
      </c>
      <c r="F133" s="219" t="s">
        <v>721</v>
      </c>
      <c r="G133" s="219" t="s">
        <v>747</v>
      </c>
      <c r="H133" s="217">
        <v>45761</v>
      </c>
      <c r="I133" s="217">
        <v>45761</v>
      </c>
      <c r="J133" s="215">
        <v>0</v>
      </c>
      <c r="K133" s="215">
        <v>78</v>
      </c>
      <c r="L133" s="219" t="s">
        <v>857</v>
      </c>
      <c r="M133" s="216"/>
      <c r="N133" s="216"/>
      <c r="O133" s="218"/>
      <c r="P133" s="218">
        <v>15635</v>
      </c>
      <c r="Q133" s="218">
        <v>96416.94</v>
      </c>
      <c r="R133">
        <f t="shared" si="3"/>
        <v>13250</v>
      </c>
    </row>
    <row r="134" spans="1:26" x14ac:dyDescent="0.3">
      <c r="A134" s="213"/>
      <c r="B134" s="213"/>
      <c r="C134" s="215">
        <v>19994</v>
      </c>
      <c r="D134" s="215">
        <v>35559</v>
      </c>
      <c r="E134" s="215">
        <v>9997</v>
      </c>
      <c r="F134" s="216"/>
      <c r="G134" s="219" t="s">
        <v>854</v>
      </c>
      <c r="H134" s="217">
        <v>45779</v>
      </c>
      <c r="I134" s="217">
        <v>45779</v>
      </c>
      <c r="J134" s="215">
        <v>53098</v>
      </c>
      <c r="K134" s="215"/>
      <c r="L134" s="219" t="s">
        <v>855</v>
      </c>
      <c r="M134" s="216"/>
      <c r="N134" s="216"/>
      <c r="O134" s="218">
        <v>15635</v>
      </c>
      <c r="P134" s="218"/>
      <c r="Q134" s="218">
        <v>80781.94</v>
      </c>
      <c r="R134">
        <f t="shared" si="3"/>
        <v>0</v>
      </c>
    </row>
    <row r="135" spans="1:26" x14ac:dyDescent="0.3">
      <c r="A135" s="213"/>
      <c r="B135" s="213"/>
      <c r="C135" s="215">
        <v>19351</v>
      </c>
      <c r="D135" s="215">
        <v>34464</v>
      </c>
      <c r="E135" s="215">
        <v>9997</v>
      </c>
      <c r="F135" s="216"/>
      <c r="G135" s="219" t="s">
        <v>854</v>
      </c>
      <c r="H135" s="217">
        <v>45786</v>
      </c>
      <c r="I135" s="217">
        <v>45786</v>
      </c>
      <c r="J135" s="215">
        <v>15510</v>
      </c>
      <c r="K135" s="215"/>
      <c r="L135" s="219" t="s">
        <v>855</v>
      </c>
      <c r="M135" s="216"/>
      <c r="N135" s="216"/>
      <c r="O135" s="218">
        <v>63699.94</v>
      </c>
      <c r="P135" s="218"/>
      <c r="Q135" s="218">
        <v>17082</v>
      </c>
      <c r="R135">
        <f t="shared" si="3"/>
        <v>0</v>
      </c>
      <c r="T135" s="123">
        <v>45930</v>
      </c>
      <c r="U135" s="123">
        <v>45961</v>
      </c>
      <c r="V135" s="123">
        <v>45991</v>
      </c>
      <c r="W135" s="123">
        <v>46022</v>
      </c>
      <c r="X135" s="123">
        <v>46053</v>
      </c>
      <c r="Y135" s="123">
        <v>46081</v>
      </c>
    </row>
    <row r="136" spans="1:26" x14ac:dyDescent="0.3">
      <c r="A136" s="213"/>
      <c r="B136" s="213"/>
      <c r="C136" s="215">
        <v>19248</v>
      </c>
      <c r="D136" s="215">
        <v>34159</v>
      </c>
      <c r="E136" s="215">
        <v>186</v>
      </c>
      <c r="F136" s="219" t="s">
        <v>721</v>
      </c>
      <c r="G136" s="219" t="s">
        <v>747</v>
      </c>
      <c r="H136" s="217">
        <v>45791</v>
      </c>
      <c r="I136" s="217">
        <v>45791</v>
      </c>
      <c r="J136" s="215">
        <v>0</v>
      </c>
      <c r="K136" s="215">
        <v>98</v>
      </c>
      <c r="L136" s="219" t="s">
        <v>857</v>
      </c>
      <c r="M136" s="216"/>
      <c r="N136" s="216"/>
      <c r="O136" s="218"/>
      <c r="P136" s="218">
        <v>15340</v>
      </c>
      <c r="Q136" s="218">
        <v>32422</v>
      </c>
      <c r="R136">
        <f t="shared" si="3"/>
        <v>13000</v>
      </c>
      <c r="T136" s="27">
        <f>+R152</f>
        <v>44491</v>
      </c>
      <c r="U136" s="27">
        <f>+R156</f>
        <v>40339</v>
      </c>
      <c r="V136" s="27">
        <f>+R161</f>
        <v>39746</v>
      </c>
      <c r="W136" s="27">
        <f>+R165</f>
        <v>43838.881355932201</v>
      </c>
      <c r="X136">
        <v>50423</v>
      </c>
      <c r="Z136" t="s">
        <v>432</v>
      </c>
    </row>
    <row r="137" spans="1:26" x14ac:dyDescent="0.3">
      <c r="A137" s="213"/>
      <c r="B137" s="213"/>
      <c r="C137" s="215">
        <v>19230</v>
      </c>
      <c r="D137" s="215">
        <v>34106</v>
      </c>
      <c r="E137" s="215">
        <v>186</v>
      </c>
      <c r="F137" s="219" t="s">
        <v>721</v>
      </c>
      <c r="G137" s="219" t="s">
        <v>856</v>
      </c>
      <c r="H137" s="217">
        <v>45795</v>
      </c>
      <c r="I137" s="217">
        <v>45795</v>
      </c>
      <c r="J137" s="215">
        <v>0</v>
      </c>
      <c r="K137" s="215">
        <v>103</v>
      </c>
      <c r="L137" s="219" t="s">
        <v>857</v>
      </c>
      <c r="M137" s="216"/>
      <c r="N137" s="216"/>
      <c r="O137" s="218"/>
      <c r="P137" s="218">
        <v>43399.98</v>
      </c>
      <c r="Q137" s="218">
        <v>75821.98</v>
      </c>
      <c r="R137">
        <f t="shared" si="3"/>
        <v>36779.644067796617</v>
      </c>
      <c r="T137">
        <f>+R153</f>
        <v>12450</v>
      </c>
      <c r="U137">
        <f>+R157</f>
        <v>13500</v>
      </c>
      <c r="V137">
        <f>+R160</f>
        <v>10500</v>
      </c>
      <c r="W137">
        <f>+R166</f>
        <v>12750</v>
      </c>
      <c r="X137">
        <v>13750</v>
      </c>
      <c r="Y137">
        <f>+'וטמרקט ואלסמד 2-4.26'!B11</f>
        <v>10500</v>
      </c>
      <c r="Z137" t="s">
        <v>444</v>
      </c>
    </row>
    <row r="138" spans="1:26" x14ac:dyDescent="0.3">
      <c r="A138" s="213"/>
      <c r="B138" s="213"/>
      <c r="C138" s="215">
        <v>19935</v>
      </c>
      <c r="D138" s="215">
        <v>35442</v>
      </c>
      <c r="E138" s="215">
        <v>9997</v>
      </c>
      <c r="F138" s="216"/>
      <c r="G138" s="219" t="s">
        <v>854</v>
      </c>
      <c r="H138" s="217">
        <v>45807</v>
      </c>
      <c r="I138" s="217">
        <v>45807</v>
      </c>
      <c r="J138" s="215">
        <v>19147</v>
      </c>
      <c r="K138" s="215"/>
      <c r="L138" s="219" t="s">
        <v>855</v>
      </c>
      <c r="M138" s="216"/>
      <c r="N138" s="216"/>
      <c r="O138" s="218">
        <v>43399.98</v>
      </c>
      <c r="P138" s="218"/>
      <c r="Q138" s="218">
        <v>32422</v>
      </c>
      <c r="R138">
        <f t="shared" si="3"/>
        <v>0</v>
      </c>
    </row>
    <row r="139" spans="1:26" x14ac:dyDescent="0.3">
      <c r="A139" s="213"/>
      <c r="B139" s="213"/>
      <c r="C139" s="215">
        <v>19936</v>
      </c>
      <c r="D139" s="215">
        <v>35443</v>
      </c>
      <c r="E139" s="215">
        <v>9997</v>
      </c>
      <c r="F139" s="216"/>
      <c r="G139" s="219" t="s">
        <v>854</v>
      </c>
      <c r="H139" s="217">
        <v>45807</v>
      </c>
      <c r="I139" s="217">
        <v>45807</v>
      </c>
      <c r="J139" s="215">
        <v>19148</v>
      </c>
      <c r="K139" s="215"/>
      <c r="L139" s="219" t="s">
        <v>855</v>
      </c>
      <c r="M139" s="216"/>
      <c r="N139" s="216"/>
      <c r="O139" s="218">
        <v>15340</v>
      </c>
      <c r="P139" s="218"/>
      <c r="Q139" s="218">
        <v>17082</v>
      </c>
      <c r="R139">
        <f t="shared" si="3"/>
        <v>0</v>
      </c>
    </row>
    <row r="140" spans="1:26" x14ac:dyDescent="0.3">
      <c r="A140" s="213"/>
      <c r="B140" s="213"/>
      <c r="C140" s="215">
        <v>20961</v>
      </c>
      <c r="D140" s="215">
        <v>37245</v>
      </c>
      <c r="E140" s="215">
        <v>196</v>
      </c>
      <c r="F140" s="219" t="s">
        <v>721</v>
      </c>
      <c r="G140" s="219" t="s">
        <v>856</v>
      </c>
      <c r="H140" s="217">
        <v>45819</v>
      </c>
      <c r="I140" s="217">
        <v>45819</v>
      </c>
      <c r="J140" s="215">
        <v>0</v>
      </c>
      <c r="K140" s="215">
        <v>119</v>
      </c>
      <c r="L140" s="219" t="s">
        <v>857</v>
      </c>
      <c r="M140" s="216"/>
      <c r="N140" s="216"/>
      <c r="O140" s="218"/>
      <c r="P140" s="218">
        <v>53199.97</v>
      </c>
      <c r="Q140" s="218">
        <v>70281.97</v>
      </c>
      <c r="R140">
        <f t="shared" si="3"/>
        <v>45084.720338983054</v>
      </c>
    </row>
    <row r="141" spans="1:26" x14ac:dyDescent="0.3">
      <c r="A141" s="213"/>
      <c r="B141" s="213"/>
      <c r="C141" s="215">
        <v>20975</v>
      </c>
      <c r="D141" s="215">
        <v>37285</v>
      </c>
      <c r="E141" s="215">
        <v>196</v>
      </c>
      <c r="F141" s="219" t="s">
        <v>721</v>
      </c>
      <c r="G141" s="219" t="s">
        <v>747</v>
      </c>
      <c r="H141" s="217">
        <v>45820</v>
      </c>
      <c r="I141" s="217">
        <v>45820</v>
      </c>
      <c r="J141" s="215">
        <v>0</v>
      </c>
      <c r="K141" s="215">
        <v>135</v>
      </c>
      <c r="L141" s="219" t="s">
        <v>857</v>
      </c>
      <c r="M141" s="216"/>
      <c r="N141" s="216"/>
      <c r="O141" s="218"/>
      <c r="P141" s="218">
        <v>18408</v>
      </c>
      <c r="Q141" s="218">
        <v>88689.97</v>
      </c>
      <c r="R141">
        <f t="shared" si="3"/>
        <v>15600</v>
      </c>
    </row>
    <row r="142" spans="1:26" x14ac:dyDescent="0.3">
      <c r="A142" s="213"/>
      <c r="B142" s="213"/>
      <c r="C142" s="215">
        <v>20973</v>
      </c>
      <c r="D142" s="215">
        <v>37279</v>
      </c>
      <c r="E142" s="215">
        <v>196</v>
      </c>
      <c r="F142" s="219" t="s">
        <v>721</v>
      </c>
      <c r="G142" s="219" t="s">
        <v>747</v>
      </c>
      <c r="H142" s="217">
        <v>45824</v>
      </c>
      <c r="I142" s="217">
        <v>45824</v>
      </c>
      <c r="J142" s="215"/>
      <c r="K142" s="215">
        <v>139</v>
      </c>
      <c r="L142" s="219" t="s">
        <v>857</v>
      </c>
      <c r="M142" s="216"/>
      <c r="N142" s="216"/>
      <c r="O142" s="218"/>
      <c r="P142" s="218">
        <v>20650</v>
      </c>
      <c r="Q142" s="218">
        <v>109339.97</v>
      </c>
      <c r="R142">
        <f t="shared" si="3"/>
        <v>17500</v>
      </c>
    </row>
    <row r="143" spans="1:26" x14ac:dyDescent="0.3">
      <c r="A143" s="213"/>
      <c r="B143" s="213"/>
      <c r="C143" s="215">
        <v>20814</v>
      </c>
      <c r="D143" s="215">
        <v>36943</v>
      </c>
      <c r="E143" s="215">
        <v>9997</v>
      </c>
      <c r="F143" s="216"/>
      <c r="G143" s="219" t="s">
        <v>854</v>
      </c>
      <c r="H143" s="217">
        <v>45838</v>
      </c>
      <c r="I143" s="217">
        <v>45838</v>
      </c>
      <c r="J143" s="215">
        <v>12273</v>
      </c>
      <c r="K143" s="215"/>
      <c r="L143" s="219" t="s">
        <v>855</v>
      </c>
      <c r="M143" s="216"/>
      <c r="N143" s="216"/>
      <c r="O143" s="218">
        <v>20650</v>
      </c>
      <c r="P143" s="218"/>
      <c r="Q143" s="218">
        <v>88689.97</v>
      </c>
      <c r="R143">
        <f t="shared" si="3"/>
        <v>0</v>
      </c>
    </row>
    <row r="144" spans="1:26" x14ac:dyDescent="0.3">
      <c r="A144" s="213"/>
      <c r="B144" s="213"/>
      <c r="C144" s="215">
        <v>20816</v>
      </c>
      <c r="D144" s="215">
        <v>36947</v>
      </c>
      <c r="E144" s="215">
        <v>9997</v>
      </c>
      <c r="F144" s="216"/>
      <c r="G144" s="219" t="s">
        <v>854</v>
      </c>
      <c r="H144" s="217">
        <v>45845</v>
      </c>
      <c r="I144" s="217">
        <v>45845</v>
      </c>
      <c r="J144" s="215">
        <v>49875</v>
      </c>
      <c r="K144" s="215"/>
      <c r="L144" s="219" t="s">
        <v>855</v>
      </c>
      <c r="M144" s="216"/>
      <c r="N144" s="216"/>
      <c r="O144" s="218">
        <v>53199.97</v>
      </c>
      <c r="P144" s="218"/>
      <c r="Q144" s="218">
        <v>35490</v>
      </c>
      <c r="R144">
        <f t="shared" si="3"/>
        <v>0</v>
      </c>
    </row>
    <row r="145" spans="1:18" x14ac:dyDescent="0.3">
      <c r="A145" s="213"/>
      <c r="B145" s="213"/>
      <c r="C145" s="215">
        <v>22436</v>
      </c>
      <c r="D145" s="215">
        <v>39693</v>
      </c>
      <c r="E145" s="215">
        <v>224</v>
      </c>
      <c r="F145" s="219" t="s">
        <v>721</v>
      </c>
      <c r="G145" s="219" t="s">
        <v>856</v>
      </c>
      <c r="H145" s="217">
        <v>45852</v>
      </c>
      <c r="I145" s="217">
        <v>45852</v>
      </c>
      <c r="J145" s="215">
        <v>0</v>
      </c>
      <c r="K145" s="215">
        <v>178</v>
      </c>
      <c r="L145" s="219" t="s">
        <v>857</v>
      </c>
      <c r="M145" s="216"/>
      <c r="N145" s="216"/>
      <c r="O145" s="218"/>
      <c r="P145" s="218">
        <v>39899.980000000003</v>
      </c>
      <c r="Q145" s="218">
        <v>75389.98</v>
      </c>
      <c r="R145">
        <f t="shared" si="3"/>
        <v>33813.542372881362</v>
      </c>
    </row>
    <row r="146" spans="1:18" x14ac:dyDescent="0.3">
      <c r="A146" s="213"/>
      <c r="B146" s="213"/>
      <c r="C146" s="215">
        <v>22453</v>
      </c>
      <c r="D146" s="215">
        <v>39743</v>
      </c>
      <c r="E146" s="215">
        <v>224</v>
      </c>
      <c r="F146" s="219" t="s">
        <v>721</v>
      </c>
      <c r="G146" s="219" t="s">
        <v>747</v>
      </c>
      <c r="H146" s="217">
        <v>45852</v>
      </c>
      <c r="I146" s="217">
        <v>45852</v>
      </c>
      <c r="J146" s="215">
        <v>0</v>
      </c>
      <c r="K146" s="215">
        <v>177</v>
      </c>
      <c r="L146" s="219" t="s">
        <v>857</v>
      </c>
      <c r="M146" s="216"/>
      <c r="N146" s="216"/>
      <c r="O146" s="218"/>
      <c r="P146" s="218">
        <v>14750</v>
      </c>
      <c r="Q146" s="218">
        <v>90139.98</v>
      </c>
      <c r="R146">
        <f t="shared" si="3"/>
        <v>12500</v>
      </c>
    </row>
    <row r="147" spans="1:18" x14ac:dyDescent="0.3">
      <c r="A147" s="213"/>
      <c r="B147" s="213"/>
      <c r="C147" s="215">
        <v>22214</v>
      </c>
      <c r="D147" s="215">
        <v>39124</v>
      </c>
      <c r="E147" s="215">
        <v>9997</v>
      </c>
      <c r="F147" s="216"/>
      <c r="G147" s="219" t="s">
        <v>854</v>
      </c>
      <c r="H147" s="217">
        <v>45873</v>
      </c>
      <c r="I147" s="217">
        <v>45873</v>
      </c>
      <c r="J147" s="215">
        <v>31552</v>
      </c>
      <c r="K147" s="215"/>
      <c r="L147" s="219" t="s">
        <v>855</v>
      </c>
      <c r="M147" s="216"/>
      <c r="N147" s="216"/>
      <c r="O147" s="218">
        <v>54649.98</v>
      </c>
      <c r="P147" s="218"/>
      <c r="Q147" s="218">
        <v>35490</v>
      </c>
      <c r="R147">
        <f t="shared" si="3"/>
        <v>0</v>
      </c>
    </row>
    <row r="148" spans="1:18" x14ac:dyDescent="0.3">
      <c r="A148" s="213"/>
      <c r="B148" s="213"/>
      <c r="C148" s="215">
        <v>23964</v>
      </c>
      <c r="D148" s="215">
        <v>42508</v>
      </c>
      <c r="E148" s="215">
        <v>236</v>
      </c>
      <c r="F148" s="219" t="s">
        <v>721</v>
      </c>
      <c r="G148" s="219" t="s">
        <v>747</v>
      </c>
      <c r="H148" s="217">
        <v>45890</v>
      </c>
      <c r="I148" s="217">
        <v>45890</v>
      </c>
      <c r="J148" s="215">
        <v>0</v>
      </c>
      <c r="K148" s="215">
        <v>191</v>
      </c>
      <c r="L148" s="219" t="s">
        <v>857</v>
      </c>
      <c r="M148" s="216"/>
      <c r="N148" s="216"/>
      <c r="O148" s="218"/>
      <c r="P148" s="218">
        <v>16815</v>
      </c>
      <c r="Q148" s="218">
        <v>52305</v>
      </c>
      <c r="R148">
        <f t="shared" si="3"/>
        <v>14250</v>
      </c>
    </row>
    <row r="149" spans="1:18" x14ac:dyDescent="0.3">
      <c r="A149" s="213"/>
      <c r="B149" s="213"/>
      <c r="C149" s="215">
        <v>24024</v>
      </c>
      <c r="D149" s="215">
        <v>42678</v>
      </c>
      <c r="E149" s="215">
        <v>236</v>
      </c>
      <c r="F149" s="219" t="s">
        <v>721</v>
      </c>
      <c r="G149" s="219" t="s">
        <v>856</v>
      </c>
      <c r="H149" s="217">
        <v>45890</v>
      </c>
      <c r="I149" s="217">
        <v>45890</v>
      </c>
      <c r="J149" s="215">
        <v>0</v>
      </c>
      <c r="K149" s="215">
        <v>192</v>
      </c>
      <c r="L149" s="219" t="s">
        <v>857</v>
      </c>
      <c r="M149" s="216"/>
      <c r="N149" s="216"/>
      <c r="O149" s="218"/>
      <c r="P149" s="218">
        <v>58099.97</v>
      </c>
      <c r="Q149" s="218">
        <v>110404.97</v>
      </c>
      <c r="R149">
        <f t="shared" si="3"/>
        <v>49237.262711864409</v>
      </c>
    </row>
    <row r="150" spans="1:18" x14ac:dyDescent="0.3">
      <c r="A150" s="213"/>
      <c r="B150" s="213"/>
      <c r="C150" s="215">
        <v>24410</v>
      </c>
      <c r="D150" s="215">
        <v>43277</v>
      </c>
      <c r="E150" s="215">
        <v>9997</v>
      </c>
      <c r="F150" s="216"/>
      <c r="G150" s="219" t="s">
        <v>854</v>
      </c>
      <c r="H150" s="217">
        <v>45904</v>
      </c>
      <c r="I150" s="217">
        <v>45904</v>
      </c>
      <c r="J150" s="215">
        <v>45868</v>
      </c>
      <c r="K150" s="215"/>
      <c r="L150" s="219" t="s">
        <v>855</v>
      </c>
      <c r="M150" s="216"/>
      <c r="N150" s="216"/>
      <c r="O150" s="218">
        <v>58099.97</v>
      </c>
      <c r="P150" s="218"/>
      <c r="Q150" s="218">
        <v>52305</v>
      </c>
      <c r="R150">
        <f t="shared" si="3"/>
        <v>0</v>
      </c>
    </row>
    <row r="151" spans="1:18" x14ac:dyDescent="0.3">
      <c r="A151" s="213"/>
      <c r="B151" s="213"/>
      <c r="C151" s="215">
        <v>24411</v>
      </c>
      <c r="D151" s="215">
        <v>43278</v>
      </c>
      <c r="E151" s="215">
        <v>9997</v>
      </c>
      <c r="F151" s="216"/>
      <c r="G151" s="219" t="s">
        <v>854</v>
      </c>
      <c r="H151" s="217">
        <v>45904</v>
      </c>
      <c r="I151" s="217">
        <v>45904</v>
      </c>
      <c r="J151" s="215">
        <v>45845</v>
      </c>
      <c r="K151" s="215"/>
      <c r="L151" s="219" t="s">
        <v>855</v>
      </c>
      <c r="M151" s="216"/>
      <c r="N151" s="216"/>
      <c r="O151" s="218">
        <v>16815</v>
      </c>
      <c r="P151" s="218"/>
      <c r="Q151" s="218">
        <v>35490</v>
      </c>
      <c r="R151">
        <f t="shared" si="3"/>
        <v>0</v>
      </c>
    </row>
    <row r="152" spans="1:18" x14ac:dyDescent="0.3">
      <c r="A152" s="213"/>
      <c r="B152" s="213"/>
      <c r="C152" s="215">
        <v>27754</v>
      </c>
      <c r="D152" s="215">
        <v>47729</v>
      </c>
      <c r="E152" s="215">
        <v>288</v>
      </c>
      <c r="F152" s="219" t="s">
        <v>721</v>
      </c>
      <c r="G152" s="219" t="s">
        <v>856</v>
      </c>
      <c r="H152" s="217">
        <v>45921</v>
      </c>
      <c r="I152" s="217">
        <v>45921</v>
      </c>
      <c r="J152" s="215">
        <v>0</v>
      </c>
      <c r="K152" s="215">
        <v>214</v>
      </c>
      <c r="L152" s="219" t="s">
        <v>857</v>
      </c>
      <c r="M152" s="216"/>
      <c r="N152" s="216"/>
      <c r="O152" s="218"/>
      <c r="P152" s="218">
        <v>52499.38</v>
      </c>
      <c r="Q152" s="218">
        <v>87989.38</v>
      </c>
      <c r="R152">
        <f t="shared" si="3"/>
        <v>44491</v>
      </c>
    </row>
    <row r="153" spans="1:18" x14ac:dyDescent="0.3">
      <c r="A153" s="213"/>
      <c r="B153" s="213"/>
      <c r="C153" s="215">
        <v>27802</v>
      </c>
      <c r="D153" s="215">
        <v>47869</v>
      </c>
      <c r="E153" s="215">
        <v>288</v>
      </c>
      <c r="F153" s="219" t="s">
        <v>721</v>
      </c>
      <c r="G153" s="219" t="s">
        <v>747</v>
      </c>
      <c r="H153" s="217">
        <v>45921</v>
      </c>
      <c r="I153" s="217">
        <v>45921</v>
      </c>
      <c r="J153" s="215">
        <v>0</v>
      </c>
      <c r="K153" s="215">
        <v>213</v>
      </c>
      <c r="L153" s="219" t="s">
        <v>857</v>
      </c>
      <c r="M153" s="216"/>
      <c r="N153" s="216"/>
      <c r="O153" s="218"/>
      <c r="P153" s="218">
        <v>14691</v>
      </c>
      <c r="Q153" s="218">
        <v>102680.38</v>
      </c>
      <c r="R153">
        <f t="shared" si="3"/>
        <v>12450</v>
      </c>
    </row>
    <row r="154" spans="1:18" x14ac:dyDescent="0.3">
      <c r="A154" s="213"/>
      <c r="B154" s="213"/>
      <c r="C154" s="215">
        <v>27166</v>
      </c>
      <c r="D154" s="215">
        <v>46945</v>
      </c>
      <c r="E154" s="215">
        <v>9997</v>
      </c>
      <c r="F154" s="216"/>
      <c r="G154" s="219" t="s">
        <v>854</v>
      </c>
      <c r="H154" s="217">
        <v>45938</v>
      </c>
      <c r="I154" s="217">
        <v>45938</v>
      </c>
      <c r="J154" s="215">
        <v>44471</v>
      </c>
      <c r="K154" s="215"/>
      <c r="L154" s="219" t="s">
        <v>855</v>
      </c>
      <c r="M154" s="216"/>
      <c r="N154" s="216"/>
      <c r="O154" s="218">
        <v>14691</v>
      </c>
      <c r="P154" s="218"/>
      <c r="Q154" s="218">
        <v>87989.38</v>
      </c>
      <c r="R154">
        <f t="shared" si="3"/>
        <v>0</v>
      </c>
    </row>
    <row r="155" spans="1:18" x14ac:dyDescent="0.3">
      <c r="A155" s="213"/>
      <c r="B155" s="213"/>
      <c r="C155" s="215">
        <v>27202</v>
      </c>
      <c r="D155" s="215">
        <v>47017</v>
      </c>
      <c r="E155" s="215">
        <v>9997</v>
      </c>
      <c r="F155" s="216"/>
      <c r="G155" s="219" t="s">
        <v>854</v>
      </c>
      <c r="H155" s="217">
        <v>45938</v>
      </c>
      <c r="I155" s="217">
        <v>45938</v>
      </c>
      <c r="J155" s="215">
        <v>44474</v>
      </c>
      <c r="K155" s="215"/>
      <c r="L155" s="219" t="s">
        <v>855</v>
      </c>
      <c r="M155" s="216"/>
      <c r="N155" s="216"/>
      <c r="O155" s="218">
        <v>52499.38</v>
      </c>
      <c r="P155" s="218"/>
      <c r="Q155" s="218">
        <v>35490</v>
      </c>
      <c r="R155">
        <f t="shared" si="3"/>
        <v>0</v>
      </c>
    </row>
    <row r="156" spans="1:18" x14ac:dyDescent="0.3">
      <c r="A156" s="213"/>
      <c r="B156" s="213"/>
      <c r="C156" s="215">
        <v>29148</v>
      </c>
      <c r="D156" s="215">
        <v>50287</v>
      </c>
      <c r="E156" s="215">
        <v>302</v>
      </c>
      <c r="F156" s="219" t="s">
        <v>721</v>
      </c>
      <c r="G156" s="219" t="s">
        <v>856</v>
      </c>
      <c r="H156" s="217">
        <v>45953</v>
      </c>
      <c r="I156" s="217">
        <v>45953</v>
      </c>
      <c r="J156" s="215">
        <v>0</v>
      </c>
      <c r="K156" s="215">
        <v>234</v>
      </c>
      <c r="L156" s="219" t="s">
        <v>857</v>
      </c>
      <c r="M156" s="216"/>
      <c r="N156" s="216"/>
      <c r="O156" s="218"/>
      <c r="P156" s="218">
        <v>47600.02</v>
      </c>
      <c r="Q156" s="218">
        <v>83090.02</v>
      </c>
      <c r="R156">
        <f t="shared" si="3"/>
        <v>40339</v>
      </c>
    </row>
    <row r="157" spans="1:18" x14ac:dyDescent="0.3">
      <c r="A157" s="213"/>
      <c r="B157" s="213"/>
      <c r="C157" s="215">
        <v>29170</v>
      </c>
      <c r="D157" s="215">
        <v>50352</v>
      </c>
      <c r="E157" s="215">
        <v>302</v>
      </c>
      <c r="F157" s="219" t="s">
        <v>721</v>
      </c>
      <c r="G157" s="219" t="s">
        <v>747</v>
      </c>
      <c r="H157" s="217">
        <v>45953</v>
      </c>
      <c r="I157" s="217">
        <v>45953</v>
      </c>
      <c r="J157" s="215">
        <v>0</v>
      </c>
      <c r="K157" s="215">
        <v>235</v>
      </c>
      <c r="L157" s="219" t="s">
        <v>857</v>
      </c>
      <c r="M157" s="216"/>
      <c r="N157" s="216"/>
      <c r="O157" s="218"/>
      <c r="P157" s="218">
        <v>15930</v>
      </c>
      <c r="Q157" s="218">
        <v>99020.02</v>
      </c>
      <c r="R157">
        <f t="shared" si="3"/>
        <v>13500</v>
      </c>
    </row>
    <row r="158" spans="1:18" x14ac:dyDescent="0.3">
      <c r="A158" s="213"/>
      <c r="B158" s="213"/>
      <c r="C158" s="215">
        <v>28621</v>
      </c>
      <c r="D158" s="215">
        <v>49555</v>
      </c>
      <c r="E158" s="215">
        <v>9997</v>
      </c>
      <c r="F158" s="216"/>
      <c r="G158" s="219" t="s">
        <v>854</v>
      </c>
      <c r="H158" s="217">
        <v>45967</v>
      </c>
      <c r="I158" s="217">
        <v>45967</v>
      </c>
      <c r="J158" s="215">
        <v>43152</v>
      </c>
      <c r="K158" s="215"/>
      <c r="L158" s="219" t="s">
        <v>855</v>
      </c>
      <c r="M158" s="216"/>
      <c r="N158" s="216"/>
      <c r="O158" s="218">
        <v>47600.02</v>
      </c>
      <c r="P158" s="218"/>
      <c r="Q158" s="218">
        <v>51420</v>
      </c>
      <c r="R158">
        <f t="shared" si="3"/>
        <v>0</v>
      </c>
    </row>
    <row r="159" spans="1:18" x14ac:dyDescent="0.3">
      <c r="A159" s="213"/>
      <c r="B159" s="213"/>
      <c r="C159" s="215">
        <v>28627</v>
      </c>
      <c r="D159" s="215">
        <v>49567</v>
      </c>
      <c r="E159" s="215">
        <v>9997</v>
      </c>
      <c r="F159" s="216"/>
      <c r="G159" s="219" t="s">
        <v>854</v>
      </c>
      <c r="H159" s="217">
        <v>45967</v>
      </c>
      <c r="I159" s="217">
        <v>45967</v>
      </c>
      <c r="J159" s="215">
        <v>43172</v>
      </c>
      <c r="K159" s="215"/>
      <c r="L159" s="219" t="s">
        <v>855</v>
      </c>
      <c r="M159" s="216"/>
      <c r="N159" s="216"/>
      <c r="O159" s="218">
        <v>15930</v>
      </c>
      <c r="P159" s="218"/>
      <c r="Q159" s="218">
        <v>35490</v>
      </c>
      <c r="R159">
        <f t="shared" si="3"/>
        <v>0</v>
      </c>
    </row>
    <row r="160" spans="1:18" x14ac:dyDescent="0.3">
      <c r="A160" s="213"/>
      <c r="B160" s="213"/>
      <c r="C160" s="215">
        <v>29991</v>
      </c>
      <c r="D160" s="215">
        <v>51920</v>
      </c>
      <c r="E160" s="215">
        <v>311</v>
      </c>
      <c r="F160" s="219" t="s">
        <v>721</v>
      </c>
      <c r="G160" s="219" t="s">
        <v>747</v>
      </c>
      <c r="H160" s="217">
        <v>45972</v>
      </c>
      <c r="I160" s="217">
        <v>45972</v>
      </c>
      <c r="J160" s="215">
        <v>0</v>
      </c>
      <c r="K160" s="215">
        <v>264</v>
      </c>
      <c r="L160" s="219" t="s">
        <v>857</v>
      </c>
      <c r="M160" s="216"/>
      <c r="N160" s="216"/>
      <c r="O160" s="218"/>
      <c r="P160" s="218">
        <v>12390</v>
      </c>
      <c r="Q160" s="218">
        <v>47880</v>
      </c>
      <c r="R160">
        <f t="shared" si="3"/>
        <v>10500</v>
      </c>
    </row>
    <row r="161" spans="1:18" x14ac:dyDescent="0.3">
      <c r="A161" s="213"/>
      <c r="B161" s="213"/>
      <c r="C161" s="215">
        <v>30234</v>
      </c>
      <c r="D161" s="215">
        <v>52207</v>
      </c>
      <c r="E161" s="215">
        <v>311</v>
      </c>
      <c r="F161" s="219" t="s">
        <v>721</v>
      </c>
      <c r="G161" s="219" t="s">
        <v>856</v>
      </c>
      <c r="H161" s="217">
        <v>45974</v>
      </c>
      <c r="I161" s="217">
        <v>45974</v>
      </c>
      <c r="J161" s="215">
        <v>0</v>
      </c>
      <c r="K161" s="215">
        <v>270</v>
      </c>
      <c r="L161" s="219" t="s">
        <v>857</v>
      </c>
      <c r="M161" s="216"/>
      <c r="N161" s="216"/>
      <c r="O161" s="218"/>
      <c r="P161" s="218">
        <v>46900.28</v>
      </c>
      <c r="Q161" s="218">
        <v>94780.28</v>
      </c>
      <c r="R161">
        <f t="shared" si="3"/>
        <v>39746</v>
      </c>
    </row>
    <row r="162" spans="1:18" x14ac:dyDescent="0.3">
      <c r="A162" s="213"/>
      <c r="B162" s="213"/>
      <c r="C162" s="215">
        <v>29677</v>
      </c>
      <c r="D162" s="215">
        <v>51456</v>
      </c>
      <c r="E162" s="215">
        <v>9997</v>
      </c>
      <c r="F162" s="216"/>
      <c r="G162" s="219" t="s">
        <v>854</v>
      </c>
      <c r="H162" s="217">
        <v>45992</v>
      </c>
      <c r="I162" s="217">
        <v>45992</v>
      </c>
      <c r="J162" s="215">
        <v>85799</v>
      </c>
      <c r="K162" s="215"/>
      <c r="L162" s="219" t="s">
        <v>855</v>
      </c>
      <c r="M162" s="216"/>
      <c r="N162" s="216"/>
      <c r="O162" s="218">
        <v>46900.28</v>
      </c>
      <c r="P162" s="218"/>
      <c r="Q162" s="218">
        <v>47880</v>
      </c>
      <c r="R162">
        <f t="shared" si="3"/>
        <v>0</v>
      </c>
    </row>
    <row r="163" spans="1:18" x14ac:dyDescent="0.3">
      <c r="A163" s="213"/>
      <c r="B163" s="213"/>
      <c r="C163" s="215">
        <v>29686</v>
      </c>
      <c r="D163" s="215">
        <v>51474</v>
      </c>
      <c r="E163" s="215">
        <v>9997</v>
      </c>
      <c r="F163" s="216"/>
      <c r="G163" s="219" t="s">
        <v>854</v>
      </c>
      <c r="H163" s="217">
        <v>45992</v>
      </c>
      <c r="I163" s="217">
        <v>45992</v>
      </c>
      <c r="J163" s="215">
        <v>85792</v>
      </c>
      <c r="K163" s="215"/>
      <c r="L163" s="219" t="s">
        <v>855</v>
      </c>
      <c r="M163" s="216"/>
      <c r="N163" s="216"/>
      <c r="O163" s="218">
        <v>12390</v>
      </c>
      <c r="P163" s="218"/>
      <c r="Q163" s="218">
        <v>35490</v>
      </c>
      <c r="R163">
        <f t="shared" si="3"/>
        <v>0</v>
      </c>
    </row>
    <row r="164" spans="1:18" x14ac:dyDescent="0.3">
      <c r="A164" s="213"/>
      <c r="B164" s="213"/>
      <c r="C164" s="215">
        <v>29685</v>
      </c>
      <c r="D164" s="215">
        <v>51473</v>
      </c>
      <c r="E164" s="215">
        <v>9997</v>
      </c>
      <c r="F164" s="216"/>
      <c r="G164" s="219" t="s">
        <v>854</v>
      </c>
      <c r="H164" s="217">
        <v>45998</v>
      </c>
      <c r="I164" s="217">
        <v>45998</v>
      </c>
      <c r="J164" s="215">
        <v>6001</v>
      </c>
      <c r="K164" s="215"/>
      <c r="L164" s="219" t="s">
        <v>855</v>
      </c>
      <c r="M164" s="216"/>
      <c r="N164" s="216"/>
      <c r="O164" s="218">
        <v>18408</v>
      </c>
      <c r="P164" s="218"/>
      <c r="Q164" s="218">
        <v>17082</v>
      </c>
      <c r="R164">
        <f t="shared" si="3"/>
        <v>0</v>
      </c>
    </row>
    <row r="165" spans="1:18" x14ac:dyDescent="0.3">
      <c r="A165" s="213"/>
      <c r="B165" s="213"/>
      <c r="C165" s="215">
        <v>30862</v>
      </c>
      <c r="D165" s="215">
        <v>53587</v>
      </c>
      <c r="E165" s="215">
        <v>322</v>
      </c>
      <c r="F165" s="219" t="s">
        <v>721</v>
      </c>
      <c r="G165" s="219" t="s">
        <v>856</v>
      </c>
      <c r="H165" s="217">
        <v>46007</v>
      </c>
      <c r="I165" s="217">
        <v>46007</v>
      </c>
      <c r="J165" s="215">
        <v>0</v>
      </c>
      <c r="K165" s="215">
        <v>293</v>
      </c>
      <c r="L165" s="219" t="s">
        <v>857</v>
      </c>
      <c r="M165" s="216"/>
      <c r="N165" s="216"/>
      <c r="O165" s="218"/>
      <c r="P165" s="218">
        <v>51729.88</v>
      </c>
      <c r="Q165" s="218">
        <v>68811.88</v>
      </c>
      <c r="R165">
        <f>+P165/1.18</f>
        <v>43838.881355932201</v>
      </c>
    </row>
    <row r="166" spans="1:18" x14ac:dyDescent="0.3">
      <c r="A166" s="213"/>
      <c r="B166" s="213"/>
      <c r="C166" s="215">
        <v>30890</v>
      </c>
      <c r="D166" s="215">
        <v>53664</v>
      </c>
      <c r="E166" s="215">
        <v>322</v>
      </c>
      <c r="F166" s="219" t="s">
        <v>721</v>
      </c>
      <c r="G166" s="219" t="s">
        <v>747</v>
      </c>
      <c r="H166" s="217">
        <v>46007</v>
      </c>
      <c r="I166" s="217">
        <v>46007</v>
      </c>
      <c r="J166" s="215">
        <v>0</v>
      </c>
      <c r="K166" s="215">
        <v>294</v>
      </c>
      <c r="L166" s="219" t="s">
        <v>857</v>
      </c>
      <c r="M166" s="216"/>
      <c r="N166" s="216"/>
      <c r="O166" s="218"/>
      <c r="P166" s="218">
        <v>15045</v>
      </c>
      <c r="Q166" s="218">
        <v>83856.88</v>
      </c>
      <c r="R166">
        <f t="shared" si="3"/>
        <v>12750</v>
      </c>
    </row>
    <row r="167" spans="1:18" ht="15.5" x14ac:dyDescent="0.35">
      <c r="A167" s="220" t="s">
        <v>853</v>
      </c>
      <c r="B167" s="221" t="s">
        <v>857</v>
      </c>
      <c r="C167" s="215"/>
      <c r="D167" s="215"/>
      <c r="E167" s="215"/>
      <c r="F167" s="216"/>
      <c r="G167" s="216"/>
      <c r="H167" s="217"/>
      <c r="I167" s="217"/>
      <c r="J167" s="215"/>
      <c r="K167" s="215"/>
      <c r="L167" s="216"/>
      <c r="M167" s="216"/>
      <c r="N167" s="216"/>
      <c r="O167" s="218"/>
      <c r="P167" s="218" t="s">
        <v>858</v>
      </c>
      <c r="Q167" s="21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58E4-A496-4A6B-BC70-AB0BEF299491}">
  <sheetPr>
    <tabColor rgb="FF92D050"/>
  </sheetPr>
  <dimension ref="A4:S17"/>
  <sheetViews>
    <sheetView rightToLeft="1" topLeftCell="A43" workbookViewId="0">
      <selection activeCell="A52" sqref="A52:XFD1048576"/>
    </sheetView>
  </sheetViews>
  <sheetFormatPr defaultColWidth="9" defaultRowHeight="14" x14ac:dyDescent="0.3"/>
  <cols>
    <col min="1" max="1" width="20.58203125" style="226" bestFit="1" customWidth="1"/>
    <col min="2" max="2" width="8" style="226" bestFit="1" customWidth="1"/>
    <col min="3" max="3" width="11.83203125" style="226" bestFit="1" customWidth="1"/>
    <col min="4" max="4" width="8.25" style="226" bestFit="1" customWidth="1"/>
    <col min="5" max="5" width="8.58203125" style="226" bestFit="1" customWidth="1"/>
    <col min="6" max="6" width="10.83203125" style="226" bestFit="1" customWidth="1"/>
    <col min="7" max="8" width="9" style="226"/>
    <col min="9" max="9" width="8.25" style="226" bestFit="1" customWidth="1"/>
    <col min="10" max="10" width="11.25" style="226" bestFit="1" customWidth="1"/>
    <col min="11" max="11" width="10.83203125" style="226" bestFit="1" customWidth="1"/>
    <col min="12" max="19" width="9" style="226"/>
    <col min="20" max="20" width="23.58203125" style="226" bestFit="1" customWidth="1"/>
    <col min="21" max="21" width="12.33203125" style="226" customWidth="1"/>
    <col min="22" max="22" width="12.25" style="226" bestFit="1" customWidth="1"/>
    <col min="23" max="16384" width="9" style="226"/>
  </cols>
  <sheetData>
    <row r="4" spans="1:19" x14ac:dyDescent="0.3">
      <c r="C4" s="226">
        <v>2.2025999999999999</v>
      </c>
      <c r="J4" s="226">
        <v>3.2025999999999999</v>
      </c>
      <c r="O4" s="226">
        <v>4.2026000000000003</v>
      </c>
    </row>
    <row r="6" spans="1:19" x14ac:dyDescent="0.3">
      <c r="B6" s="226" t="s">
        <v>494</v>
      </c>
      <c r="C6" s="226" t="s">
        <v>494</v>
      </c>
      <c r="D6" s="226" t="s">
        <v>640</v>
      </c>
      <c r="E6" s="226" t="s">
        <v>640</v>
      </c>
      <c r="I6" t="s">
        <v>640</v>
      </c>
      <c r="J6" t="s">
        <v>640</v>
      </c>
      <c r="K6" t="s">
        <v>959</v>
      </c>
      <c r="L6" t="s">
        <v>959</v>
      </c>
      <c r="O6" s="354"/>
    </row>
    <row r="7" spans="1:19" ht="14.5" thickBot="1" x14ac:dyDescent="0.35">
      <c r="B7" s="277" t="s">
        <v>693</v>
      </c>
      <c r="C7" s="277" t="s">
        <v>436</v>
      </c>
      <c r="D7" s="277" t="s">
        <v>693</v>
      </c>
      <c r="E7" s="277" t="s">
        <v>436</v>
      </c>
      <c r="F7" s="273"/>
      <c r="H7" s="341"/>
      <c r="I7" s="340" t="s">
        <v>693</v>
      </c>
      <c r="J7" s="340" t="s">
        <v>436</v>
      </c>
      <c r="K7" s="340" t="s">
        <v>693</v>
      </c>
      <c r="L7" s="340" t="s">
        <v>436</v>
      </c>
      <c r="O7" s="355"/>
      <c r="P7" s="382" t="s">
        <v>640</v>
      </c>
      <c r="Q7" s="382"/>
      <c r="R7" t="s">
        <v>959</v>
      </c>
      <c r="S7" t="s">
        <v>959</v>
      </c>
    </row>
    <row r="8" spans="1:19" ht="14.5" thickBot="1" x14ac:dyDescent="0.35">
      <c r="B8" s="276"/>
      <c r="C8" s="276">
        <f>+E8/1.18</f>
        <v>200620.33898305087</v>
      </c>
      <c r="E8" s="276">
        <v>236732</v>
      </c>
      <c r="F8" s="226" t="s">
        <v>905</v>
      </c>
      <c r="H8" t="s">
        <v>905</v>
      </c>
      <c r="I8"/>
      <c r="J8" s="346">
        <v>329545</v>
      </c>
      <c r="K8" s="346">
        <f>+I8/1.18</f>
        <v>0</v>
      </c>
      <c r="L8" s="346">
        <f>+J8/1.18</f>
        <v>279275.42372881359</v>
      </c>
      <c r="O8" s="356"/>
      <c r="P8" s="357" t="s">
        <v>693</v>
      </c>
      <c r="Q8" s="357" t="s">
        <v>436</v>
      </c>
      <c r="R8" s="340" t="s">
        <v>693</v>
      </c>
      <c r="S8" s="340" t="s">
        <v>436</v>
      </c>
    </row>
    <row r="9" spans="1:19" x14ac:dyDescent="0.3">
      <c r="A9" s="345" t="s">
        <v>960</v>
      </c>
      <c r="B9" s="342">
        <v>43000</v>
      </c>
      <c r="C9" s="276">
        <f t="shared" ref="C9:C15" si="0">+E9/1.18</f>
        <v>23022.033898305086</v>
      </c>
      <c r="E9" s="276">
        <v>27166</v>
      </c>
      <c r="F9" s="226" t="s">
        <v>904</v>
      </c>
      <c r="H9" t="s">
        <v>904</v>
      </c>
      <c r="I9" s="346">
        <v>44870</v>
      </c>
      <c r="J9" s="346">
        <v>10955</v>
      </c>
      <c r="K9" s="346">
        <f t="shared" ref="K9:K15" si="1">+I9/1.18</f>
        <v>38025.423728813563</v>
      </c>
      <c r="L9" s="346">
        <f t="shared" ref="L9:L15" si="2">+J9/1.18</f>
        <v>9283.8983050847455</v>
      </c>
      <c r="O9" s="355" t="s">
        <v>905</v>
      </c>
      <c r="Q9" s="362">
        <v>149694</v>
      </c>
      <c r="R9" s="346">
        <f>+P9/1.18</f>
        <v>0</v>
      </c>
      <c r="S9" s="346">
        <f>+Q9/1.18</f>
        <v>126859.32203389831</v>
      </c>
    </row>
    <row r="10" spans="1:19" x14ac:dyDescent="0.3">
      <c r="B10" s="276"/>
      <c r="C10" s="276">
        <f t="shared" si="0"/>
        <v>21000</v>
      </c>
      <c r="E10" s="276">
        <v>24780</v>
      </c>
      <c r="F10" s="226" t="s">
        <v>903</v>
      </c>
      <c r="H10" t="s">
        <v>903</v>
      </c>
      <c r="I10"/>
      <c r="J10" s="346">
        <v>47454</v>
      </c>
      <c r="K10" s="346">
        <f t="shared" si="1"/>
        <v>0</v>
      </c>
      <c r="L10" s="346">
        <f t="shared" si="2"/>
        <v>40215.254237288136</v>
      </c>
      <c r="O10" s="355" t="s">
        <v>904</v>
      </c>
      <c r="P10" s="362">
        <v>40599.980000000003</v>
      </c>
      <c r="Q10" s="362">
        <v>20162</v>
      </c>
      <c r="R10" s="346">
        <f t="shared" ref="R10:R16" si="3">+P10/1.18</f>
        <v>34406.762711864409</v>
      </c>
      <c r="S10" s="346">
        <f t="shared" ref="S10:S16" si="4">+Q10/1.18</f>
        <v>17086.440677966104</v>
      </c>
    </row>
    <row r="11" spans="1:19" x14ac:dyDescent="0.3">
      <c r="B11" s="276">
        <f>+D11/1.18</f>
        <v>10500</v>
      </c>
      <c r="C11" s="276">
        <f t="shared" si="0"/>
        <v>19785.593220338986</v>
      </c>
      <c r="D11" s="276">
        <v>12390</v>
      </c>
      <c r="E11" s="276">
        <v>23347</v>
      </c>
      <c r="F11" s="226" t="s">
        <v>902</v>
      </c>
      <c r="H11" t="s">
        <v>902</v>
      </c>
      <c r="I11" s="346">
        <v>14927</v>
      </c>
      <c r="J11" s="346">
        <v>2064</v>
      </c>
      <c r="K11" s="346">
        <f t="shared" si="1"/>
        <v>12650</v>
      </c>
      <c r="L11" s="346">
        <f t="shared" si="2"/>
        <v>1749.1525423728815</v>
      </c>
      <c r="O11" s="360" t="s">
        <v>903</v>
      </c>
      <c r="P11" s="363"/>
      <c r="Q11" s="362">
        <v>38809</v>
      </c>
      <c r="R11" s="346">
        <f t="shared" si="3"/>
        <v>0</v>
      </c>
      <c r="S11" s="346">
        <f t="shared" si="4"/>
        <v>32888.983050847462</v>
      </c>
    </row>
    <row r="12" spans="1:19" x14ac:dyDescent="0.3">
      <c r="B12" s="276"/>
      <c r="C12" s="276">
        <f t="shared" si="0"/>
        <v>123813.55932203391</v>
      </c>
      <c r="E12" s="276">
        <v>146100</v>
      </c>
      <c r="F12" s="226" t="s">
        <v>404</v>
      </c>
      <c r="H12" t="s">
        <v>404</v>
      </c>
      <c r="I12"/>
      <c r="J12" s="346">
        <v>169061</v>
      </c>
      <c r="K12" s="346">
        <f t="shared" si="1"/>
        <v>0</v>
      </c>
      <c r="L12" s="346">
        <f t="shared" si="2"/>
        <v>143272.03389830509</v>
      </c>
      <c r="O12" s="355" t="s">
        <v>902</v>
      </c>
      <c r="P12" s="362">
        <v>10915</v>
      </c>
      <c r="Q12" s="362">
        <v>7075</v>
      </c>
      <c r="R12" s="346">
        <f t="shared" si="3"/>
        <v>9250</v>
      </c>
      <c r="S12" s="346">
        <f t="shared" si="4"/>
        <v>5995.7627118644068</v>
      </c>
    </row>
    <row r="13" spans="1:19" ht="16.5" x14ac:dyDescent="0.45">
      <c r="B13" s="276"/>
      <c r="C13" s="276">
        <f t="shared" si="0"/>
        <v>18967.796610169491</v>
      </c>
      <c r="E13" s="276">
        <v>22382</v>
      </c>
      <c r="F13" s="226" t="s">
        <v>405</v>
      </c>
      <c r="H13" t="s">
        <v>405</v>
      </c>
      <c r="I13"/>
      <c r="J13" s="346">
        <v>15685</v>
      </c>
      <c r="K13" s="346">
        <f t="shared" si="1"/>
        <v>0</v>
      </c>
      <c r="L13" s="346">
        <f t="shared" si="2"/>
        <v>13292.372881355934</v>
      </c>
      <c r="O13" s="355" t="s">
        <v>404</v>
      </c>
      <c r="P13" s="361"/>
      <c r="Q13" s="362">
        <v>113859</v>
      </c>
      <c r="R13" s="346">
        <f t="shared" si="3"/>
        <v>0</v>
      </c>
      <c r="S13" s="346">
        <f t="shared" si="4"/>
        <v>96490.677966101706</v>
      </c>
    </row>
    <row r="14" spans="1:19" ht="16.5" x14ac:dyDescent="0.45">
      <c r="B14" s="276"/>
      <c r="C14" s="276">
        <f t="shared" si="0"/>
        <v>77523.728813559326</v>
      </c>
      <c r="E14" s="276">
        <v>91478</v>
      </c>
      <c r="F14" s="226" t="s">
        <v>492</v>
      </c>
      <c r="H14" t="s">
        <v>492</v>
      </c>
      <c r="I14"/>
      <c r="J14" s="346">
        <v>69283</v>
      </c>
      <c r="K14" s="346">
        <f t="shared" si="1"/>
        <v>0</v>
      </c>
      <c r="L14" s="346">
        <f t="shared" si="2"/>
        <v>58714.406779661018</v>
      </c>
      <c r="O14" s="355" t="s">
        <v>405</v>
      </c>
      <c r="P14" s="361"/>
      <c r="Q14" s="362">
        <v>7290</v>
      </c>
      <c r="R14" s="346">
        <f t="shared" si="3"/>
        <v>0</v>
      </c>
      <c r="S14" s="346">
        <f t="shared" si="4"/>
        <v>6177.9661016949158</v>
      </c>
    </row>
    <row r="15" spans="1:19" ht="17" thickBot="1" x14ac:dyDescent="0.5">
      <c r="B15" s="274"/>
      <c r="C15" s="274">
        <f t="shared" si="0"/>
        <v>88555.08474576271</v>
      </c>
      <c r="D15" s="275"/>
      <c r="E15" s="274">
        <v>104495</v>
      </c>
      <c r="F15" s="273" t="s">
        <v>403</v>
      </c>
      <c r="H15" s="341" t="s">
        <v>403</v>
      </c>
      <c r="I15" s="275"/>
      <c r="J15" s="274">
        <v>86642</v>
      </c>
      <c r="K15" s="344">
        <f t="shared" si="1"/>
        <v>0</v>
      </c>
      <c r="L15" s="344">
        <f t="shared" si="2"/>
        <v>73425.423728813563</v>
      </c>
      <c r="O15" s="355" t="s">
        <v>492</v>
      </c>
      <c r="P15" s="361"/>
      <c r="Q15" s="362">
        <v>126920</v>
      </c>
      <c r="R15" s="346">
        <f t="shared" si="3"/>
        <v>0</v>
      </c>
      <c r="S15" s="346">
        <f t="shared" si="4"/>
        <v>107559.32203389831</v>
      </c>
    </row>
    <row r="16" spans="1:19" ht="14.5" thickBot="1" x14ac:dyDescent="0.35">
      <c r="B16" s="272">
        <f t="shared" ref="B16:C16" si="5">SUM(B8:B15)</f>
        <v>53500</v>
      </c>
      <c r="C16" s="272">
        <f t="shared" si="5"/>
        <v>573288.13559322036</v>
      </c>
      <c r="D16" s="272">
        <f>SUM(D8:D15)</f>
        <v>12390</v>
      </c>
      <c r="E16" s="272">
        <f>SUM(E8:E15)</f>
        <v>676480</v>
      </c>
      <c r="I16" s="343">
        <f>SUM(I8:I15)</f>
        <v>59797</v>
      </c>
      <c r="J16" s="343">
        <f>SUM(J8:J15)</f>
        <v>730689</v>
      </c>
      <c r="K16" s="343">
        <f t="shared" ref="K16:L16" si="6">SUM(K8:K15)</f>
        <v>50675.423728813563</v>
      </c>
      <c r="L16" s="343">
        <f t="shared" si="6"/>
        <v>619227.96610169497</v>
      </c>
      <c r="O16" s="359" t="s">
        <v>403</v>
      </c>
      <c r="P16" s="364"/>
      <c r="Q16" s="364">
        <v>86642</v>
      </c>
      <c r="R16" s="344">
        <f t="shared" si="3"/>
        <v>0</v>
      </c>
      <c r="S16" s="344">
        <f t="shared" si="4"/>
        <v>73425.423728813563</v>
      </c>
    </row>
    <row r="17" spans="15:19" ht="16.5" x14ac:dyDescent="0.45">
      <c r="O17" s="358"/>
      <c r="P17" s="362">
        <v>51514.98</v>
      </c>
      <c r="Q17" s="362">
        <v>550451</v>
      </c>
      <c r="R17" s="343">
        <f t="shared" ref="R17:S17" si="7">SUM(R9:R16)</f>
        <v>43656.762711864409</v>
      </c>
      <c r="S17" s="343">
        <f t="shared" si="7"/>
        <v>466483.89830508479</v>
      </c>
    </row>
  </sheetData>
  <mergeCells count="1">
    <mergeCell ref="P7:Q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5726-0FB5-428A-BD0B-6511016F7897}">
  <sheetPr>
    <tabColor rgb="FF92D050"/>
  </sheetPr>
  <dimension ref="A1:AI268"/>
  <sheetViews>
    <sheetView rightToLeft="1" topLeftCell="O263" workbookViewId="0">
      <selection activeCell="P272" sqref="A272:XFD1048576"/>
    </sheetView>
  </sheetViews>
  <sheetFormatPr defaultRowHeight="14" x14ac:dyDescent="0.3"/>
  <cols>
    <col min="1" max="1" width="16.58203125" bestFit="1" customWidth="1"/>
    <col min="9" max="9" width="9.83203125" bestFit="1" customWidth="1"/>
    <col min="10" max="10" width="12.33203125" bestFit="1" customWidth="1"/>
    <col min="14" max="14" width="15.25" customWidth="1"/>
    <col min="15" max="15" width="8.58203125" bestFit="1" customWidth="1"/>
    <col min="16" max="16" width="13.5" bestFit="1" customWidth="1"/>
    <col min="17" max="17" width="10.33203125" bestFit="1" customWidth="1"/>
    <col min="19" max="19" width="26.08203125" customWidth="1"/>
    <col min="20" max="22" width="12.08203125" bestFit="1" customWidth="1"/>
    <col min="23" max="23" width="12.33203125" bestFit="1" customWidth="1"/>
    <col min="24" max="24" width="11" bestFit="1" customWidth="1"/>
    <col min="26" max="26" width="21.83203125" bestFit="1" customWidth="1"/>
    <col min="27" max="27" width="25.58203125" bestFit="1" customWidth="1"/>
    <col min="28" max="28" width="9.25" bestFit="1" customWidth="1"/>
    <col min="29" max="29" width="12.58203125" bestFit="1" customWidth="1"/>
    <col min="30" max="30" width="12.58203125" customWidth="1"/>
    <col min="31" max="31" width="12.58203125" bestFit="1" customWidth="1"/>
    <col min="32" max="32" width="12.33203125" customWidth="1"/>
  </cols>
  <sheetData>
    <row r="1" spans="1:34" x14ac:dyDescent="0.3">
      <c r="A1" s="125" t="s">
        <v>692</v>
      </c>
    </row>
    <row r="2" spans="1:34" x14ac:dyDescent="0.3">
      <c r="A2" s="125"/>
    </row>
    <row r="3" spans="1:34" x14ac:dyDescent="0.3">
      <c r="A3" s="125"/>
      <c r="T3" s="123">
        <v>45930</v>
      </c>
      <c r="U3" s="123">
        <v>45961</v>
      </c>
      <c r="V3" s="123">
        <v>45991</v>
      </c>
      <c r="W3" s="123">
        <v>46022</v>
      </c>
      <c r="X3" s="123">
        <v>46053</v>
      </c>
      <c r="Y3" s="123">
        <v>46081</v>
      </c>
      <c r="Z3" s="123">
        <v>46112</v>
      </c>
      <c r="AA3" s="123">
        <v>46142</v>
      </c>
    </row>
    <row r="4" spans="1:34" ht="15.5" x14ac:dyDescent="0.3">
      <c r="A4" s="125"/>
      <c r="S4" s="163" t="s">
        <v>752</v>
      </c>
      <c r="T4" s="27">
        <f>+T83</f>
        <v>152855.93</v>
      </c>
      <c r="U4" s="27">
        <f t="shared" ref="U4:W4" si="0">+U83</f>
        <v>142355.93</v>
      </c>
      <c r="V4" s="27">
        <f t="shared" si="0"/>
        <v>160729.66</v>
      </c>
      <c r="W4" s="27">
        <f t="shared" si="0"/>
        <v>180990.68</v>
      </c>
      <c r="X4" s="27">
        <f>+AF16</f>
        <v>142633.89830508476</v>
      </c>
      <c r="Y4" s="27">
        <f>+AF36</f>
        <v>156339.30508474578</v>
      </c>
      <c r="Z4" s="331">
        <f>+AE61</f>
        <v>125261.86440677967</v>
      </c>
      <c r="AA4" s="331">
        <f>+AE80</f>
        <v>192828.81355932204</v>
      </c>
    </row>
    <row r="5" spans="1:34" ht="15.5" x14ac:dyDescent="0.3">
      <c r="S5" s="165" t="s">
        <v>753</v>
      </c>
      <c r="T5" s="27">
        <f t="shared" ref="T5:W5" si="1">+T84</f>
        <v>76381.83</v>
      </c>
      <c r="U5" s="27">
        <f t="shared" si="1"/>
        <v>39178.369999999995</v>
      </c>
      <c r="V5" s="27">
        <f t="shared" si="1"/>
        <v>44536.1</v>
      </c>
      <c r="W5" s="27">
        <f t="shared" si="1"/>
        <v>75014.95</v>
      </c>
      <c r="X5" s="27">
        <f>+AF17</f>
        <v>75466.101694915254</v>
      </c>
      <c r="Y5" s="27">
        <f t="shared" ref="Y5:Y8" si="2">+AF37</f>
        <v>64162.279661016953</v>
      </c>
      <c r="Z5" s="331">
        <f>+AE62</f>
        <v>46646.127118644072</v>
      </c>
      <c r="AA5" s="331">
        <f t="shared" ref="AA5:AA7" si="3">+AE81</f>
        <v>67181.355932203398</v>
      </c>
    </row>
    <row r="6" spans="1:34" ht="15.5" x14ac:dyDescent="0.3">
      <c r="A6" s="125"/>
      <c r="S6" s="165" t="s">
        <v>754</v>
      </c>
      <c r="T6" s="27">
        <f t="shared" ref="T6:W6" si="4">+T85</f>
        <v>8093.22</v>
      </c>
      <c r="U6" s="27">
        <f t="shared" si="4"/>
        <v>15843.22</v>
      </c>
      <c r="V6" s="27">
        <f t="shared" si="4"/>
        <v>13389.83</v>
      </c>
      <c r="W6" s="27">
        <f t="shared" si="4"/>
        <v>12838.98</v>
      </c>
      <c r="X6" s="27">
        <f>+AF18</f>
        <v>13008.474576271186</v>
      </c>
      <c r="Y6" s="27">
        <f t="shared" si="2"/>
        <v>12923.728813559323</v>
      </c>
      <c r="Z6" s="331">
        <f>+AE63</f>
        <v>12161.016949152543</v>
      </c>
      <c r="AA6" s="331">
        <f t="shared" si="3"/>
        <v>14699.152542372882</v>
      </c>
    </row>
    <row r="7" spans="1:34" ht="15.5" x14ac:dyDescent="0.3">
      <c r="A7" s="125" t="s">
        <v>442</v>
      </c>
      <c r="S7" s="163" t="s">
        <v>755</v>
      </c>
      <c r="T7" s="27">
        <f t="shared" ref="T7:W7" si="5">+T86</f>
        <v>5720.34</v>
      </c>
      <c r="U7" s="27">
        <f t="shared" si="5"/>
        <v>10389.83</v>
      </c>
      <c r="V7" s="27">
        <f t="shared" si="5"/>
        <v>12203.39</v>
      </c>
      <c r="W7" s="27">
        <f t="shared" si="5"/>
        <v>11661.02</v>
      </c>
      <c r="X7" s="27">
        <f>+AF19</f>
        <v>4067.7966101694919</v>
      </c>
      <c r="Y7" s="27">
        <f t="shared" si="2"/>
        <v>13152.542372881357</v>
      </c>
      <c r="Z7" s="331">
        <f>+AE64</f>
        <v>11216.949152542373</v>
      </c>
      <c r="AA7" s="331">
        <f t="shared" si="3"/>
        <v>13203.389830508475</v>
      </c>
    </row>
    <row r="8" spans="1:34" ht="15.5" x14ac:dyDescent="0.3">
      <c r="S8" s="165" t="s">
        <v>756</v>
      </c>
      <c r="T8" s="27">
        <f t="shared" ref="T8:V8" si="6">+T87</f>
        <v>0</v>
      </c>
      <c r="U8" s="27">
        <f t="shared" si="6"/>
        <v>0</v>
      </c>
      <c r="V8" s="27">
        <f t="shared" si="6"/>
        <v>0</v>
      </c>
      <c r="W8" s="27">
        <v>0</v>
      </c>
      <c r="X8" s="27">
        <f>+AF20</f>
        <v>7953.3898305084749</v>
      </c>
      <c r="Y8" s="27">
        <f t="shared" si="2"/>
        <v>11512.71186440678</v>
      </c>
      <c r="Z8" s="331">
        <v>0</v>
      </c>
      <c r="AA8" s="331">
        <v>0</v>
      </c>
    </row>
    <row r="9" spans="1:34" ht="15.5" x14ac:dyDescent="0.3">
      <c r="S9" s="168" t="s">
        <v>957</v>
      </c>
      <c r="T9" s="331">
        <v>27000</v>
      </c>
      <c r="U9" s="331">
        <v>27000</v>
      </c>
      <c r="V9" s="331">
        <v>27000</v>
      </c>
      <c r="W9" s="331">
        <v>27000</v>
      </c>
      <c r="X9" s="331">
        <v>27000</v>
      </c>
      <c r="Y9" s="331">
        <v>27000</v>
      </c>
      <c r="Z9" s="331">
        <v>27000</v>
      </c>
      <c r="AA9" s="331">
        <v>27000</v>
      </c>
    </row>
    <row r="10" spans="1:34" ht="15.5" x14ac:dyDescent="0.35">
      <c r="A10" s="146" t="s">
        <v>658</v>
      </c>
      <c r="B10" s="147" t="s">
        <v>659</v>
      </c>
      <c r="C10" s="146">
        <v>840</v>
      </c>
      <c r="D10" s="148"/>
      <c r="E10" s="148"/>
      <c r="F10" s="148"/>
      <c r="G10" s="149"/>
      <c r="H10" s="149"/>
      <c r="I10" s="150"/>
      <c r="J10" s="150"/>
      <c r="K10" s="148"/>
      <c r="L10" s="148"/>
      <c r="M10" s="149"/>
      <c r="N10" s="149"/>
      <c r="O10" s="151"/>
      <c r="P10" s="151"/>
      <c r="Q10" s="151"/>
      <c r="S10" s="165" t="s">
        <v>403</v>
      </c>
      <c r="T10" s="27">
        <f>+S127</f>
        <v>47838.983050847462</v>
      </c>
      <c r="U10" s="27">
        <f t="shared" ref="U10:V10" si="7">+T127</f>
        <v>38148.305084745763</v>
      </c>
      <c r="V10" s="27">
        <f t="shared" si="7"/>
        <v>40618.644067796609</v>
      </c>
      <c r="W10" s="27">
        <f>+V127</f>
        <v>43029.661016949154</v>
      </c>
      <c r="X10" s="27">
        <f>+AF28</f>
        <v>43902.542372881355</v>
      </c>
      <c r="Y10" s="27">
        <f>+AF46</f>
        <v>40843.220338983054</v>
      </c>
      <c r="Z10" s="331">
        <f>+AE71</f>
        <v>41860.169491525427</v>
      </c>
      <c r="AA10" s="331">
        <f>+AA90</f>
        <v>47957.627118644072</v>
      </c>
    </row>
    <row r="11" spans="1:34" ht="15.5" x14ac:dyDescent="0.3">
      <c r="A11" s="152" t="s">
        <v>500</v>
      </c>
      <c r="B11" s="153"/>
      <c r="C11" s="154" t="s">
        <v>660</v>
      </c>
      <c r="D11" s="148"/>
      <c r="E11" s="148"/>
      <c r="F11" s="148"/>
      <c r="G11" s="149"/>
      <c r="H11" s="149"/>
      <c r="I11" s="150"/>
      <c r="J11" s="150"/>
      <c r="K11" s="148"/>
      <c r="L11" s="148"/>
      <c r="M11" s="149"/>
      <c r="N11" s="149"/>
      <c r="O11" s="151"/>
      <c r="P11" s="151"/>
      <c r="Q11" s="151">
        <v>0</v>
      </c>
      <c r="S11" s="165" t="s">
        <v>404</v>
      </c>
      <c r="T11" s="27">
        <f>+S232</f>
        <v>102499.15</v>
      </c>
      <c r="U11" s="27">
        <f t="shared" ref="U11:W11" si="8">+T232</f>
        <v>92387.28</v>
      </c>
      <c r="V11" s="27">
        <f t="shared" si="8"/>
        <v>68870.34</v>
      </c>
      <c r="W11" s="27">
        <f t="shared" si="8"/>
        <v>97279.66</v>
      </c>
      <c r="X11" s="27">
        <f>+AF21+AF22+AF23+AF24+AF25+AF26+AF27</f>
        <v>25762.711864406781</v>
      </c>
      <c r="Y11" s="27">
        <f>+AF41+AF42+AF43+AF44+AF45</f>
        <v>50449.152542372889</v>
      </c>
      <c r="Z11" s="331">
        <f>+AE65+AE66+AE67+AE68+AE69+AE70</f>
        <v>58826.271186440674</v>
      </c>
      <c r="AA11" s="331">
        <f>+AA84</f>
        <v>46014.406779661018</v>
      </c>
    </row>
    <row r="12" spans="1:34" x14ac:dyDescent="0.3">
      <c r="A12" s="153"/>
      <c r="B12" s="153"/>
      <c r="C12" s="153"/>
      <c r="D12" s="148">
        <v>239930</v>
      </c>
      <c r="E12" s="148">
        <v>573404</v>
      </c>
      <c r="F12" s="148">
        <v>679</v>
      </c>
      <c r="G12" s="155" t="s">
        <v>661</v>
      </c>
      <c r="H12" s="155" t="s">
        <v>662</v>
      </c>
      <c r="I12" s="150">
        <v>45663</v>
      </c>
      <c r="J12" s="150">
        <v>45663</v>
      </c>
      <c r="K12" s="148">
        <v>0</v>
      </c>
      <c r="L12" s="148">
        <v>10934</v>
      </c>
      <c r="M12" s="155" t="s">
        <v>663</v>
      </c>
      <c r="N12" s="149"/>
      <c r="O12" s="151">
        <v>932.2</v>
      </c>
      <c r="P12" s="151"/>
      <c r="Q12" s="151">
        <v>-932.2</v>
      </c>
      <c r="S12" t="s">
        <v>442</v>
      </c>
      <c r="T12" s="27">
        <f>+O40+O41</f>
        <v>17918.580000000002</v>
      </c>
      <c r="U12" s="27">
        <f>+O42+O43</f>
        <v>18691.53</v>
      </c>
      <c r="V12" s="27">
        <f>+O44+O45</f>
        <v>17853.82</v>
      </c>
      <c r="W12" s="27">
        <f>+O46+O47+O48</f>
        <v>25054.66</v>
      </c>
      <c r="X12" s="27">
        <f>+AF29+AF30+AF31</f>
        <v>22800</v>
      </c>
      <c r="Y12" s="27">
        <f>+AF47+AF48+AF49+AF50</f>
        <v>19447.65186440678</v>
      </c>
      <c r="Z12" s="331">
        <f>+AE72+AE73+AE74+AE75</f>
        <v>27955.127118644068</v>
      </c>
      <c r="AA12" s="331">
        <f>+AA92</f>
        <v>18249.152542372882</v>
      </c>
    </row>
    <row r="13" spans="1:34" ht="15.5" x14ac:dyDescent="0.3">
      <c r="A13" s="153"/>
      <c r="B13" s="153"/>
      <c r="C13" s="153"/>
      <c r="D13" s="148">
        <v>239903</v>
      </c>
      <c r="E13" s="148">
        <v>573310</v>
      </c>
      <c r="F13" s="148">
        <v>679</v>
      </c>
      <c r="G13" s="155" t="s">
        <v>661</v>
      </c>
      <c r="H13" s="155" t="s">
        <v>664</v>
      </c>
      <c r="I13" s="150">
        <v>45666</v>
      </c>
      <c r="J13" s="150">
        <v>45666</v>
      </c>
      <c r="K13" s="148">
        <v>0</v>
      </c>
      <c r="L13" s="148">
        <v>101044</v>
      </c>
      <c r="M13" s="155" t="s">
        <v>665</v>
      </c>
      <c r="N13" s="149"/>
      <c r="O13" s="151">
        <v>7083.9</v>
      </c>
      <c r="P13" s="151"/>
      <c r="Q13" s="151">
        <v>-8016.1</v>
      </c>
      <c r="S13" s="165" t="s">
        <v>405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</row>
    <row r="14" spans="1:34" x14ac:dyDescent="0.3">
      <c r="A14" s="153"/>
      <c r="B14" s="153"/>
      <c r="C14" s="153"/>
      <c r="D14" s="148">
        <v>244507</v>
      </c>
      <c r="E14" s="148">
        <v>584548</v>
      </c>
      <c r="F14" s="148">
        <v>692</v>
      </c>
      <c r="G14" s="155" t="s">
        <v>661</v>
      </c>
      <c r="H14" s="155" t="s">
        <v>666</v>
      </c>
      <c r="I14" s="150">
        <v>45667</v>
      </c>
      <c r="J14" s="150">
        <v>45667</v>
      </c>
      <c r="K14" s="148">
        <v>0</v>
      </c>
      <c r="L14" s="148">
        <v>962</v>
      </c>
      <c r="M14" s="155" t="s">
        <v>667</v>
      </c>
      <c r="N14" s="149"/>
      <c r="O14" s="151">
        <v>10169.49</v>
      </c>
      <c r="P14" s="151"/>
      <c r="Q14" s="151">
        <v>-18185.59</v>
      </c>
    </row>
    <row r="15" spans="1:34" ht="14.5" thickBot="1" x14ac:dyDescent="0.35">
      <c r="A15" s="153"/>
      <c r="B15" s="153"/>
      <c r="C15" s="153"/>
      <c r="D15" s="148">
        <v>244509</v>
      </c>
      <c r="E15" s="148">
        <v>584554</v>
      </c>
      <c r="F15" s="148">
        <v>692</v>
      </c>
      <c r="G15" s="155" t="s">
        <v>661</v>
      </c>
      <c r="H15" s="155" t="s">
        <v>666</v>
      </c>
      <c r="I15" s="150">
        <v>45667</v>
      </c>
      <c r="J15" s="150">
        <v>45667</v>
      </c>
      <c r="K15" s="148">
        <v>0</v>
      </c>
      <c r="L15" s="148">
        <v>963</v>
      </c>
      <c r="M15" s="155" t="s">
        <v>667</v>
      </c>
      <c r="N15" s="149"/>
      <c r="O15" s="151">
        <v>1818.64</v>
      </c>
      <c r="P15" s="151"/>
      <c r="Q15" s="151">
        <v>-20004.23</v>
      </c>
      <c r="AB15" s="160" t="s">
        <v>694</v>
      </c>
      <c r="AC15" s="160" t="s">
        <v>695</v>
      </c>
      <c r="AD15" s="160" t="s">
        <v>696</v>
      </c>
      <c r="AE15" s="161" t="s">
        <v>697</v>
      </c>
      <c r="AF15" s="161" t="s">
        <v>494</v>
      </c>
      <c r="AG15" s="160" t="s">
        <v>698</v>
      </c>
    </row>
    <row r="16" spans="1:34" ht="31" x14ac:dyDescent="0.3">
      <c r="A16" s="153"/>
      <c r="B16" s="153"/>
      <c r="C16" s="153"/>
      <c r="D16" s="148">
        <v>244506</v>
      </c>
      <c r="E16" s="148">
        <v>584545</v>
      </c>
      <c r="F16" s="148">
        <v>692</v>
      </c>
      <c r="G16" s="155" t="s">
        <v>661</v>
      </c>
      <c r="H16" s="155" t="s">
        <v>666</v>
      </c>
      <c r="I16" s="150">
        <v>45698</v>
      </c>
      <c r="J16" s="150">
        <v>45698</v>
      </c>
      <c r="K16" s="148">
        <v>0</v>
      </c>
      <c r="L16" s="148">
        <v>964</v>
      </c>
      <c r="M16" s="155" t="s">
        <v>667</v>
      </c>
      <c r="N16" s="149"/>
      <c r="O16" s="151">
        <v>10169.49</v>
      </c>
      <c r="P16" s="151"/>
      <c r="Q16" s="151">
        <v>-30173.72</v>
      </c>
      <c r="AB16" s="162" t="s">
        <v>649</v>
      </c>
      <c r="AC16" s="163" t="s">
        <v>699</v>
      </c>
      <c r="AD16" s="163" t="s">
        <v>700</v>
      </c>
      <c r="AE16" s="164">
        <v>168308</v>
      </c>
      <c r="AF16" s="188">
        <f>+AE16/1.18</f>
        <v>142633.89830508476</v>
      </c>
      <c r="AG16" s="163" t="s">
        <v>701</v>
      </c>
      <c r="AH16" s="163" t="s">
        <v>702</v>
      </c>
    </row>
    <row r="17" spans="1:35" ht="31" x14ac:dyDescent="0.3">
      <c r="A17" s="153"/>
      <c r="B17" s="153"/>
      <c r="C17" s="153"/>
      <c r="D17" s="148">
        <v>244508</v>
      </c>
      <c r="E17" s="148">
        <v>584551</v>
      </c>
      <c r="F17" s="148">
        <v>692</v>
      </c>
      <c r="G17" s="155" t="s">
        <v>661</v>
      </c>
      <c r="H17" s="155" t="s">
        <v>666</v>
      </c>
      <c r="I17" s="150">
        <v>45698</v>
      </c>
      <c r="J17" s="150">
        <v>45698</v>
      </c>
      <c r="K17" s="148">
        <v>0</v>
      </c>
      <c r="L17" s="148">
        <v>965</v>
      </c>
      <c r="M17" s="155" t="s">
        <v>667</v>
      </c>
      <c r="N17" s="149"/>
      <c r="O17" s="151">
        <v>1470.34</v>
      </c>
      <c r="P17" s="151"/>
      <c r="Q17" s="151">
        <v>-31644.06</v>
      </c>
      <c r="AB17" s="162"/>
      <c r="AC17" s="165" t="s">
        <v>703</v>
      </c>
      <c r="AD17" s="165" t="s">
        <v>700</v>
      </c>
      <c r="AE17" s="166">
        <v>89050</v>
      </c>
      <c r="AF17" s="188">
        <f t="shared" ref="AF17:AF31" si="9">+AE17/1.18</f>
        <v>75466.101694915254</v>
      </c>
      <c r="AG17" s="165" t="s">
        <v>701</v>
      </c>
      <c r="AH17" s="165" t="s">
        <v>489</v>
      </c>
    </row>
    <row r="18" spans="1:35" ht="15" customHeight="1" x14ac:dyDescent="0.3">
      <c r="A18" s="153"/>
      <c r="B18" s="153"/>
      <c r="C18" s="153"/>
      <c r="D18" s="148">
        <v>244510</v>
      </c>
      <c r="E18" s="148">
        <v>584557</v>
      </c>
      <c r="F18" s="148">
        <v>692</v>
      </c>
      <c r="G18" s="155" t="s">
        <v>661</v>
      </c>
      <c r="H18" s="155" t="s">
        <v>666</v>
      </c>
      <c r="I18" s="150">
        <v>45698</v>
      </c>
      <c r="J18" s="150">
        <v>45698</v>
      </c>
      <c r="K18" s="148">
        <v>0</v>
      </c>
      <c r="L18" s="148">
        <v>966</v>
      </c>
      <c r="M18" s="155" t="s">
        <v>667</v>
      </c>
      <c r="N18" s="149"/>
      <c r="O18" s="151">
        <v>10169.49</v>
      </c>
      <c r="P18" s="151"/>
      <c r="Q18" s="151">
        <v>-41813.550000000003</v>
      </c>
      <c r="AB18" s="162"/>
      <c r="AC18" s="165" t="s">
        <v>704</v>
      </c>
      <c r="AD18" s="165" t="s">
        <v>700</v>
      </c>
      <c r="AE18" s="166">
        <v>15350</v>
      </c>
      <c r="AF18" s="188">
        <f t="shared" si="9"/>
        <v>13008.474576271186</v>
      </c>
      <c r="AG18" s="165"/>
      <c r="AH18" t="s">
        <v>705</v>
      </c>
    </row>
    <row r="19" spans="1:35" ht="31" x14ac:dyDescent="0.3">
      <c r="A19" s="153"/>
      <c r="B19" s="153"/>
      <c r="C19" s="153"/>
      <c r="D19" s="148">
        <v>249828</v>
      </c>
      <c r="E19" s="148">
        <v>596826</v>
      </c>
      <c r="F19" s="148">
        <v>712</v>
      </c>
      <c r="G19" s="155" t="s">
        <v>661</v>
      </c>
      <c r="H19" s="155" t="s">
        <v>664</v>
      </c>
      <c r="I19" s="150">
        <v>45698</v>
      </c>
      <c r="J19" s="150">
        <v>45698</v>
      </c>
      <c r="K19" s="148">
        <v>0</v>
      </c>
      <c r="L19" s="148">
        <v>1107</v>
      </c>
      <c r="M19" s="155" t="s">
        <v>668</v>
      </c>
      <c r="N19" s="149"/>
      <c r="O19" s="151">
        <v>6415.25</v>
      </c>
      <c r="P19" s="151"/>
      <c r="Q19" s="151">
        <v>-48228.800000000003</v>
      </c>
      <c r="AB19" s="162"/>
      <c r="AC19" s="163" t="s">
        <v>706</v>
      </c>
      <c r="AD19" s="163" t="s">
        <v>700</v>
      </c>
      <c r="AE19" s="164">
        <v>4800</v>
      </c>
      <c r="AF19" s="188">
        <f t="shared" si="9"/>
        <v>4067.7966101694919</v>
      </c>
      <c r="AG19" s="163"/>
      <c r="AH19" t="s">
        <v>707</v>
      </c>
    </row>
    <row r="20" spans="1:35" ht="31" x14ac:dyDescent="0.3">
      <c r="A20" s="153"/>
      <c r="B20" s="153"/>
      <c r="C20" s="153"/>
      <c r="D20" s="148">
        <v>244539</v>
      </c>
      <c r="E20" s="148">
        <v>584641</v>
      </c>
      <c r="F20" s="148">
        <v>693</v>
      </c>
      <c r="G20" s="155" t="s">
        <v>661</v>
      </c>
      <c r="H20" s="155" t="s">
        <v>669</v>
      </c>
      <c r="I20" s="150">
        <v>45719</v>
      </c>
      <c r="J20" s="150">
        <v>45719</v>
      </c>
      <c r="K20" s="148">
        <v>0</v>
      </c>
      <c r="L20" s="148">
        <v>991</v>
      </c>
      <c r="M20" s="155" t="s">
        <v>670</v>
      </c>
      <c r="N20" s="149"/>
      <c r="O20" s="151">
        <v>593.22</v>
      </c>
      <c r="P20" s="151"/>
      <c r="Q20" s="151">
        <v>-48822.02</v>
      </c>
      <c r="AB20" s="167"/>
      <c r="AC20" s="168" t="s">
        <v>708</v>
      </c>
      <c r="AD20" s="168" t="s">
        <v>700</v>
      </c>
      <c r="AE20" s="169">
        <v>9385</v>
      </c>
      <c r="AF20" s="188">
        <f t="shared" si="9"/>
        <v>7953.3898305084749</v>
      </c>
      <c r="AG20" s="168" t="s">
        <v>701</v>
      </c>
      <c r="AH20" s="165" t="s">
        <v>445</v>
      </c>
    </row>
    <row r="21" spans="1:35" ht="46.5" x14ac:dyDescent="0.3">
      <c r="A21" s="153"/>
      <c r="B21" s="153"/>
      <c r="C21" s="153"/>
      <c r="D21" s="148">
        <v>244505</v>
      </c>
      <c r="E21" s="148">
        <v>584542</v>
      </c>
      <c r="F21" s="148">
        <v>692</v>
      </c>
      <c r="G21" s="155" t="s">
        <v>661</v>
      </c>
      <c r="H21" s="155" t="s">
        <v>666</v>
      </c>
      <c r="I21" s="150">
        <v>45726</v>
      </c>
      <c r="J21" s="150">
        <v>45726</v>
      </c>
      <c r="K21" s="148">
        <v>0</v>
      </c>
      <c r="L21" s="148">
        <v>971</v>
      </c>
      <c r="M21" s="155" t="s">
        <v>667</v>
      </c>
      <c r="N21" s="149"/>
      <c r="O21" s="151">
        <v>1360.17</v>
      </c>
      <c r="P21" s="151"/>
      <c r="Q21" s="151">
        <v>-50182.19</v>
      </c>
      <c r="AB21" s="170" t="s">
        <v>652</v>
      </c>
      <c r="AC21" s="163" t="s">
        <v>709</v>
      </c>
      <c r="AD21" s="171"/>
      <c r="AE21" s="164"/>
      <c r="AF21" s="188">
        <f t="shared" si="9"/>
        <v>0</v>
      </c>
      <c r="AG21" s="223" t="s">
        <v>710</v>
      </c>
    </row>
    <row r="22" spans="1:35" ht="31" x14ac:dyDescent="0.3">
      <c r="A22" s="153"/>
      <c r="B22" s="153"/>
      <c r="C22" s="153"/>
      <c r="D22" s="148">
        <v>245794</v>
      </c>
      <c r="E22" s="148">
        <v>587754</v>
      </c>
      <c r="F22" s="148">
        <v>702</v>
      </c>
      <c r="G22" s="149"/>
      <c r="H22" s="155" t="s">
        <v>666</v>
      </c>
      <c r="I22" s="150">
        <v>45726</v>
      </c>
      <c r="J22" s="150">
        <v>45726</v>
      </c>
      <c r="K22" s="148">
        <v>0</v>
      </c>
      <c r="L22" s="148">
        <v>972</v>
      </c>
      <c r="M22" s="155" t="s">
        <v>667</v>
      </c>
      <c r="N22" s="149"/>
      <c r="O22" s="151">
        <v>12000</v>
      </c>
      <c r="P22" s="151"/>
      <c r="Q22" s="151">
        <v>-62182.19</v>
      </c>
      <c r="AB22" s="162"/>
      <c r="AC22" s="165" t="s">
        <v>711</v>
      </c>
      <c r="AD22" s="165"/>
      <c r="AE22" s="166"/>
      <c r="AF22" s="188">
        <f t="shared" si="9"/>
        <v>0</v>
      </c>
      <c r="AG22" s="224"/>
      <c r="AI22" s="125" t="s">
        <v>852</v>
      </c>
    </row>
    <row r="23" spans="1:35" ht="15.5" x14ac:dyDescent="0.3">
      <c r="A23" s="153"/>
      <c r="B23" s="153"/>
      <c r="C23" s="153"/>
      <c r="D23" s="148">
        <v>244540</v>
      </c>
      <c r="E23" s="148">
        <v>584644</v>
      </c>
      <c r="F23" s="148">
        <v>693</v>
      </c>
      <c r="G23" s="155" t="s">
        <v>661</v>
      </c>
      <c r="H23" s="155" t="s">
        <v>664</v>
      </c>
      <c r="I23" s="150">
        <v>45727</v>
      </c>
      <c r="J23" s="150">
        <v>45727</v>
      </c>
      <c r="K23" s="148">
        <v>0</v>
      </c>
      <c r="L23" s="148">
        <v>1173</v>
      </c>
      <c r="M23" s="155" t="s">
        <v>671</v>
      </c>
      <c r="N23" s="149"/>
      <c r="O23" s="151">
        <v>7410.17</v>
      </c>
      <c r="P23" s="151"/>
      <c r="Q23" s="151">
        <v>-69592.36</v>
      </c>
      <c r="AB23" s="162"/>
      <c r="AC23" s="163" t="s">
        <v>712</v>
      </c>
      <c r="AD23" s="163"/>
      <c r="AE23" s="164">
        <v>13800</v>
      </c>
      <c r="AF23" s="188">
        <f t="shared" si="9"/>
        <v>11694.915254237289</v>
      </c>
      <c r="AG23" s="224"/>
      <c r="AI23" s="206" t="s">
        <v>849</v>
      </c>
    </row>
    <row r="24" spans="1:35" ht="15.5" x14ac:dyDescent="0.3">
      <c r="A24" s="153"/>
      <c r="B24" s="153"/>
      <c r="C24" s="153"/>
      <c r="D24" s="148">
        <v>245785</v>
      </c>
      <c r="E24" s="148">
        <v>587726</v>
      </c>
      <c r="F24" s="148">
        <v>702</v>
      </c>
      <c r="G24" s="155" t="s">
        <v>661</v>
      </c>
      <c r="H24" s="155" t="s">
        <v>664</v>
      </c>
      <c r="I24" s="150">
        <v>45754</v>
      </c>
      <c r="J24" s="150">
        <v>45754</v>
      </c>
      <c r="K24" s="148">
        <v>0</v>
      </c>
      <c r="L24" s="148">
        <v>1251</v>
      </c>
      <c r="M24" s="155" t="s">
        <v>672</v>
      </c>
      <c r="N24" s="149"/>
      <c r="O24" s="151">
        <v>7929.66</v>
      </c>
      <c r="P24" s="151"/>
      <c r="Q24" s="151">
        <v>-77522.02</v>
      </c>
      <c r="AB24" s="162"/>
      <c r="AC24" s="165" t="s">
        <v>713</v>
      </c>
      <c r="AD24" s="165"/>
      <c r="AE24" s="166">
        <v>7200</v>
      </c>
      <c r="AF24" s="188">
        <f t="shared" si="9"/>
        <v>6101.6949152542375</v>
      </c>
      <c r="AG24" s="224"/>
      <c r="AI24" s="206" t="s">
        <v>850</v>
      </c>
    </row>
    <row r="25" spans="1:35" ht="15.5" x14ac:dyDescent="0.3">
      <c r="A25" s="153"/>
      <c r="B25" s="153"/>
      <c r="C25" s="153"/>
      <c r="D25" s="148">
        <v>245795</v>
      </c>
      <c r="E25" s="148">
        <v>587755</v>
      </c>
      <c r="F25" s="148">
        <v>702</v>
      </c>
      <c r="G25" s="149"/>
      <c r="H25" s="155" t="s">
        <v>666</v>
      </c>
      <c r="I25" s="150">
        <v>45757</v>
      </c>
      <c r="J25" s="150">
        <v>45757</v>
      </c>
      <c r="K25" s="148">
        <v>0</v>
      </c>
      <c r="L25" s="148">
        <v>973</v>
      </c>
      <c r="M25" s="155" t="s">
        <v>667</v>
      </c>
      <c r="N25" s="149"/>
      <c r="O25" s="151">
        <v>2145</v>
      </c>
      <c r="P25" s="151"/>
      <c r="Q25" s="151">
        <v>-79667.02</v>
      </c>
      <c r="AB25" s="162"/>
      <c r="AC25" s="163" t="s">
        <v>706</v>
      </c>
      <c r="AD25" s="163"/>
      <c r="AE25" s="164">
        <v>4850</v>
      </c>
      <c r="AF25" s="188">
        <f t="shared" si="9"/>
        <v>4110.1694915254238</v>
      </c>
      <c r="AG25" s="224"/>
      <c r="AI25" s="206" t="s">
        <v>851</v>
      </c>
    </row>
    <row r="26" spans="1:35" ht="15.5" x14ac:dyDescent="0.3">
      <c r="A26" s="153"/>
      <c r="B26" s="153"/>
      <c r="C26" s="153"/>
      <c r="D26" s="148">
        <v>245765</v>
      </c>
      <c r="E26" s="148">
        <v>587666</v>
      </c>
      <c r="F26" s="148">
        <v>702</v>
      </c>
      <c r="G26" s="155" t="s">
        <v>661</v>
      </c>
      <c r="H26" s="155" t="s">
        <v>664</v>
      </c>
      <c r="I26" s="150">
        <v>45767</v>
      </c>
      <c r="J26" s="150">
        <v>45767</v>
      </c>
      <c r="K26" s="148">
        <v>0</v>
      </c>
      <c r="L26" s="148">
        <v>1282</v>
      </c>
      <c r="M26" s="155" t="s">
        <v>673</v>
      </c>
      <c r="N26" s="149"/>
      <c r="O26" s="151">
        <v>254.24</v>
      </c>
      <c r="P26" s="151"/>
      <c r="Q26" s="151">
        <v>-79921.259999999995</v>
      </c>
      <c r="AB26" s="162"/>
      <c r="AC26" s="165" t="s">
        <v>704</v>
      </c>
      <c r="AD26" s="165"/>
      <c r="AE26" s="166">
        <v>4550</v>
      </c>
      <c r="AF26" s="188">
        <f t="shared" si="9"/>
        <v>3855.9322033898306</v>
      </c>
      <c r="AG26" s="224"/>
    </row>
    <row r="27" spans="1:35" ht="15.5" x14ac:dyDescent="0.3">
      <c r="A27" s="153"/>
      <c r="B27" s="153"/>
      <c r="C27" s="153"/>
      <c r="D27" s="148">
        <v>249424</v>
      </c>
      <c r="E27" s="148">
        <v>596041</v>
      </c>
      <c r="F27" s="148">
        <v>707</v>
      </c>
      <c r="G27" s="155" t="s">
        <v>661</v>
      </c>
      <c r="H27" s="155" t="s">
        <v>664</v>
      </c>
      <c r="I27" s="150">
        <v>45782</v>
      </c>
      <c r="J27" s="150">
        <v>45782</v>
      </c>
      <c r="K27" s="148">
        <v>0</v>
      </c>
      <c r="L27" s="148">
        <v>1320</v>
      </c>
      <c r="M27" s="155" t="s">
        <v>674</v>
      </c>
      <c r="N27" s="149"/>
      <c r="O27" s="151">
        <v>7077.97</v>
      </c>
      <c r="P27" s="151"/>
      <c r="Q27" s="151">
        <v>-86999.23</v>
      </c>
      <c r="AB27" s="167"/>
      <c r="AC27" s="172" t="s">
        <v>714</v>
      </c>
      <c r="AD27" s="173"/>
      <c r="AE27" s="174"/>
      <c r="AF27" s="188">
        <f t="shared" si="9"/>
        <v>0</v>
      </c>
      <c r="AG27" s="225"/>
    </row>
    <row r="28" spans="1:35" ht="31" x14ac:dyDescent="0.3">
      <c r="A28" s="153"/>
      <c r="B28" s="153"/>
      <c r="C28" s="153"/>
      <c r="D28" s="148">
        <v>249519</v>
      </c>
      <c r="E28" s="148">
        <v>596171</v>
      </c>
      <c r="F28" s="148">
        <v>707</v>
      </c>
      <c r="G28" s="155" t="s">
        <v>661</v>
      </c>
      <c r="H28" s="155" t="s">
        <v>662</v>
      </c>
      <c r="I28" s="150">
        <v>45783</v>
      </c>
      <c r="J28" s="150">
        <v>45783</v>
      </c>
      <c r="K28" s="148">
        <v>0</v>
      </c>
      <c r="L28" s="148">
        <v>1127</v>
      </c>
      <c r="M28" s="155" t="s">
        <v>663</v>
      </c>
      <c r="N28" s="149"/>
      <c r="O28" s="151">
        <v>897.46</v>
      </c>
      <c r="P28" s="151"/>
      <c r="Q28" s="151">
        <v>-87896.69</v>
      </c>
      <c r="AB28" s="175" t="s">
        <v>655</v>
      </c>
      <c r="AC28" s="176" t="s">
        <v>715</v>
      </c>
      <c r="AD28" s="176" t="s">
        <v>700</v>
      </c>
      <c r="AE28" s="177">
        <v>51805</v>
      </c>
      <c r="AF28" s="188">
        <f>+AE28/1.18</f>
        <v>43902.542372881355</v>
      </c>
      <c r="AG28" s="176"/>
    </row>
    <row r="29" spans="1:35" ht="31" x14ac:dyDescent="0.3">
      <c r="A29" s="153"/>
      <c r="B29" s="153"/>
      <c r="C29" s="153"/>
      <c r="D29" s="148">
        <v>249820</v>
      </c>
      <c r="E29" s="148">
        <v>596793</v>
      </c>
      <c r="F29" s="148">
        <v>712</v>
      </c>
      <c r="G29" s="155" t="s">
        <v>661</v>
      </c>
      <c r="H29" s="155" t="s">
        <v>666</v>
      </c>
      <c r="I29" s="150">
        <v>45787</v>
      </c>
      <c r="J29" s="150">
        <v>45787</v>
      </c>
      <c r="K29" s="148">
        <v>0</v>
      </c>
      <c r="L29" s="148">
        <v>974</v>
      </c>
      <c r="M29" s="155" t="s">
        <v>675</v>
      </c>
      <c r="N29" s="149"/>
      <c r="O29" s="151">
        <v>10169.49</v>
      </c>
      <c r="P29" s="151"/>
      <c r="Q29" s="151">
        <v>-98066.18</v>
      </c>
      <c r="AB29" s="170" t="s">
        <v>654</v>
      </c>
      <c r="AC29" s="163" t="s">
        <v>716</v>
      </c>
      <c r="AD29" s="163" t="s">
        <v>700</v>
      </c>
      <c r="AE29" s="164">
        <v>7304.5</v>
      </c>
      <c r="AF29" s="188">
        <f t="shared" si="9"/>
        <v>6190.2542372881362</v>
      </c>
      <c r="AG29" s="163" t="s">
        <v>701</v>
      </c>
    </row>
    <row r="30" spans="1:35" ht="31" x14ac:dyDescent="0.3">
      <c r="A30" s="153"/>
      <c r="B30" s="153"/>
      <c r="C30" s="153"/>
      <c r="D30" s="148">
        <v>249821</v>
      </c>
      <c r="E30" s="148">
        <v>596796</v>
      </c>
      <c r="F30" s="148">
        <v>712</v>
      </c>
      <c r="G30" s="155" t="s">
        <v>661</v>
      </c>
      <c r="H30" s="155" t="s">
        <v>666</v>
      </c>
      <c r="I30" s="150">
        <v>45787</v>
      </c>
      <c r="J30" s="150">
        <v>45787</v>
      </c>
      <c r="K30" s="148">
        <v>0</v>
      </c>
      <c r="L30" s="148">
        <v>975</v>
      </c>
      <c r="M30" s="155" t="s">
        <v>676</v>
      </c>
      <c r="N30" s="149"/>
      <c r="O30" s="151">
        <v>1746.61</v>
      </c>
      <c r="P30" s="151"/>
      <c r="Q30" s="151">
        <v>-99812.79</v>
      </c>
      <c r="AB30" s="162"/>
      <c r="AC30" s="165" t="s">
        <v>717</v>
      </c>
      <c r="AD30" s="165" t="s">
        <v>700</v>
      </c>
      <c r="AE30" s="166">
        <v>14402</v>
      </c>
      <c r="AF30" s="188">
        <f t="shared" si="9"/>
        <v>12205.084745762713</v>
      </c>
      <c r="AG30" s="165" t="s">
        <v>701</v>
      </c>
    </row>
    <row r="31" spans="1:35" ht="31" x14ac:dyDescent="0.3">
      <c r="A31" s="153"/>
      <c r="B31" s="153"/>
      <c r="C31" s="153"/>
      <c r="D31" s="148">
        <v>249827</v>
      </c>
      <c r="E31" s="148">
        <v>596823</v>
      </c>
      <c r="F31" s="148">
        <v>712</v>
      </c>
      <c r="G31" s="155" t="s">
        <v>661</v>
      </c>
      <c r="H31" s="155" t="s">
        <v>664</v>
      </c>
      <c r="I31" s="150">
        <v>45813</v>
      </c>
      <c r="J31" s="150">
        <v>45813</v>
      </c>
      <c r="K31" s="148">
        <v>0</v>
      </c>
      <c r="L31" s="148">
        <v>1393</v>
      </c>
      <c r="M31" s="155" t="s">
        <v>668</v>
      </c>
      <c r="N31" s="149"/>
      <c r="O31" s="151">
        <v>9360.17</v>
      </c>
      <c r="P31" s="151"/>
      <c r="Q31" s="151">
        <v>-109172.96</v>
      </c>
      <c r="AB31" s="162"/>
      <c r="AC31" s="163" t="s">
        <v>718</v>
      </c>
      <c r="AD31" s="163" t="s">
        <v>700</v>
      </c>
      <c r="AE31" s="164">
        <v>5197.5</v>
      </c>
      <c r="AF31" s="188">
        <f t="shared" si="9"/>
        <v>4404.6610169491523</v>
      </c>
      <c r="AG31" s="163" t="s">
        <v>701</v>
      </c>
    </row>
    <row r="32" spans="1:35" x14ac:dyDescent="0.3">
      <c r="A32" s="153"/>
      <c r="B32" s="153"/>
      <c r="C32" s="153"/>
      <c r="D32" s="148">
        <v>249819</v>
      </c>
      <c r="E32" s="148">
        <v>596790</v>
      </c>
      <c r="F32" s="148">
        <v>712</v>
      </c>
      <c r="G32" s="155" t="s">
        <v>661</v>
      </c>
      <c r="H32" s="155" t="s">
        <v>666</v>
      </c>
      <c r="I32" s="150">
        <v>45823</v>
      </c>
      <c r="J32" s="150">
        <v>45823</v>
      </c>
      <c r="K32" s="148">
        <v>0</v>
      </c>
      <c r="L32" s="148">
        <v>981</v>
      </c>
      <c r="M32" s="155" t="s">
        <v>677</v>
      </c>
      <c r="N32" s="149"/>
      <c r="O32" s="151">
        <v>723.73</v>
      </c>
      <c r="P32" s="151"/>
      <c r="Q32" s="151">
        <v>-109896.69</v>
      </c>
      <c r="AE32" s="178"/>
      <c r="AF32" s="178"/>
    </row>
    <row r="33" spans="1:33" x14ac:dyDescent="0.3">
      <c r="A33" s="153"/>
      <c r="B33" s="153"/>
      <c r="C33" s="153"/>
      <c r="D33" s="148">
        <v>249822</v>
      </c>
      <c r="E33" s="148">
        <v>596808</v>
      </c>
      <c r="F33" s="148">
        <v>712</v>
      </c>
      <c r="G33" s="155" t="s">
        <v>661</v>
      </c>
      <c r="H33" s="155" t="s">
        <v>666</v>
      </c>
      <c r="I33" s="150">
        <v>45823</v>
      </c>
      <c r="J33" s="150">
        <v>45823</v>
      </c>
      <c r="K33" s="148">
        <v>0</v>
      </c>
      <c r="L33" s="148">
        <v>976</v>
      </c>
      <c r="M33" s="155" t="s">
        <v>678</v>
      </c>
      <c r="N33" s="149"/>
      <c r="O33" s="151">
        <v>10169.49</v>
      </c>
      <c r="P33" s="151"/>
      <c r="Q33" s="151">
        <v>-120066.18</v>
      </c>
      <c r="AE33" s="178"/>
      <c r="AF33" s="178"/>
    </row>
    <row r="34" spans="1:33" x14ac:dyDescent="0.3">
      <c r="A34" s="153"/>
      <c r="B34" s="153"/>
      <c r="C34" s="153"/>
      <c r="D34" s="148">
        <v>252181</v>
      </c>
      <c r="E34" s="148">
        <v>601404</v>
      </c>
      <c r="F34" s="148">
        <v>747</v>
      </c>
      <c r="G34" s="155" t="s">
        <v>661</v>
      </c>
      <c r="H34" s="155" t="s">
        <v>664</v>
      </c>
      <c r="I34" s="150">
        <v>45845</v>
      </c>
      <c r="J34" s="150">
        <v>45845</v>
      </c>
      <c r="K34" s="148">
        <v>0</v>
      </c>
      <c r="L34" s="148">
        <v>1501</v>
      </c>
      <c r="M34" s="155" t="s">
        <v>679</v>
      </c>
      <c r="N34" s="149"/>
      <c r="O34" s="151">
        <v>6105.93</v>
      </c>
      <c r="P34" s="151"/>
      <c r="Q34" s="151">
        <v>-126172.11</v>
      </c>
      <c r="AE34" s="178"/>
      <c r="AF34" s="178"/>
    </row>
    <row r="35" spans="1:33" ht="14.5" thickBot="1" x14ac:dyDescent="0.35">
      <c r="A35" s="153"/>
      <c r="B35" s="153"/>
      <c r="C35" s="153"/>
      <c r="D35" s="148">
        <v>250117</v>
      </c>
      <c r="E35" s="148">
        <v>597259</v>
      </c>
      <c r="F35" s="148">
        <v>717</v>
      </c>
      <c r="G35" s="149"/>
      <c r="H35" s="155" t="s">
        <v>666</v>
      </c>
      <c r="I35" s="150">
        <v>45848</v>
      </c>
      <c r="J35" s="150">
        <v>45848</v>
      </c>
      <c r="K35" s="148">
        <v>0</v>
      </c>
      <c r="L35" s="148">
        <v>982</v>
      </c>
      <c r="M35" s="155" t="s">
        <v>680</v>
      </c>
      <c r="N35" s="149"/>
      <c r="O35" s="151">
        <v>12000</v>
      </c>
      <c r="P35" s="151"/>
      <c r="Q35" s="151">
        <v>-138172.10999999999</v>
      </c>
      <c r="AB35" s="278" t="s">
        <v>694</v>
      </c>
      <c r="AC35" s="278" t="s">
        <v>695</v>
      </c>
      <c r="AD35" s="297">
        <v>46054</v>
      </c>
      <c r="AE35" s="279" t="s">
        <v>697</v>
      </c>
      <c r="AF35" t="s">
        <v>494</v>
      </c>
      <c r="AG35" s="278" t="s">
        <v>698</v>
      </c>
    </row>
    <row r="36" spans="1:33" ht="31" x14ac:dyDescent="0.3">
      <c r="A36" s="153"/>
      <c r="B36" s="153"/>
      <c r="C36" s="153"/>
      <c r="D36" s="148">
        <v>250119</v>
      </c>
      <c r="E36" s="148">
        <v>597263</v>
      </c>
      <c r="F36" s="148">
        <v>717</v>
      </c>
      <c r="G36" s="149"/>
      <c r="H36" s="155" t="s">
        <v>666</v>
      </c>
      <c r="I36" s="150">
        <v>45848</v>
      </c>
      <c r="J36" s="150">
        <v>45848</v>
      </c>
      <c r="K36" s="148">
        <v>0</v>
      </c>
      <c r="L36" s="148">
        <v>983</v>
      </c>
      <c r="M36" s="155" t="s">
        <v>680</v>
      </c>
      <c r="N36" s="149"/>
      <c r="O36" s="151">
        <v>1875</v>
      </c>
      <c r="P36" s="151"/>
      <c r="Q36" s="151">
        <v>-140047.10999999999</v>
      </c>
      <c r="AB36" s="280" t="s">
        <v>649</v>
      </c>
      <c r="AC36" s="281" t="s">
        <v>699</v>
      </c>
      <c r="AD36" s="281" t="s">
        <v>700</v>
      </c>
      <c r="AE36" s="282">
        <v>184480.38</v>
      </c>
      <c r="AF36">
        <f>+AE36/1.18</f>
        <v>156339.30508474578</v>
      </c>
      <c r="AG36" s="281" t="s">
        <v>906</v>
      </c>
    </row>
    <row r="37" spans="1:33" ht="31" x14ac:dyDescent="0.3">
      <c r="A37" s="153"/>
      <c r="B37" s="153"/>
      <c r="C37" s="153"/>
      <c r="D37" s="148">
        <v>250271</v>
      </c>
      <c r="E37" s="148">
        <v>597567</v>
      </c>
      <c r="F37" s="148">
        <v>719</v>
      </c>
      <c r="G37" s="155" t="s">
        <v>661</v>
      </c>
      <c r="H37" s="155" t="s">
        <v>681</v>
      </c>
      <c r="I37" s="150">
        <v>45854</v>
      </c>
      <c r="J37" s="150">
        <v>45854</v>
      </c>
      <c r="K37" s="148">
        <v>0</v>
      </c>
      <c r="L37" s="148">
        <v>866</v>
      </c>
      <c r="M37" s="155" t="s">
        <v>682</v>
      </c>
      <c r="N37" s="149"/>
      <c r="O37" s="151">
        <v>9853.39</v>
      </c>
      <c r="P37" s="151"/>
      <c r="Q37" s="151">
        <v>-149900.5</v>
      </c>
      <c r="AB37" s="280"/>
      <c r="AC37" s="283" t="s">
        <v>703</v>
      </c>
      <c r="AD37" s="283" t="s">
        <v>700</v>
      </c>
      <c r="AE37" s="284">
        <v>75711.490000000005</v>
      </c>
      <c r="AF37">
        <f t="shared" ref="AF37:AF50" si="10">+AE37/1.18</f>
        <v>64162.279661016953</v>
      </c>
      <c r="AG37" s="283" t="s">
        <v>701</v>
      </c>
    </row>
    <row r="38" spans="1:33" ht="31" x14ac:dyDescent="0.3">
      <c r="A38" s="153"/>
      <c r="B38" s="153"/>
      <c r="C38" s="153"/>
      <c r="D38" s="148">
        <v>250283</v>
      </c>
      <c r="E38" s="148">
        <v>597601</v>
      </c>
      <c r="F38" s="148">
        <v>719</v>
      </c>
      <c r="G38" s="155" t="s">
        <v>661</v>
      </c>
      <c r="H38" s="155" t="s">
        <v>666</v>
      </c>
      <c r="I38" s="150">
        <v>45876</v>
      </c>
      <c r="J38" s="150">
        <v>45876</v>
      </c>
      <c r="K38" s="148">
        <v>0</v>
      </c>
      <c r="L38" s="148">
        <v>984</v>
      </c>
      <c r="M38" s="155" t="s">
        <v>683</v>
      </c>
      <c r="N38" s="149"/>
      <c r="O38" s="151">
        <v>11700.21</v>
      </c>
      <c r="P38" s="151"/>
      <c r="Q38" s="151">
        <v>-161600.71</v>
      </c>
      <c r="AB38" s="280"/>
      <c r="AC38" s="281" t="s">
        <v>704</v>
      </c>
      <c r="AD38" s="281" t="s">
        <v>700</v>
      </c>
      <c r="AE38" s="282">
        <v>15250</v>
      </c>
      <c r="AF38">
        <f t="shared" si="10"/>
        <v>12923.728813559323</v>
      </c>
      <c r="AG38" s="281" t="s">
        <v>701</v>
      </c>
    </row>
    <row r="39" spans="1:33" ht="31" x14ac:dyDescent="0.3">
      <c r="A39" s="153"/>
      <c r="B39" s="153"/>
      <c r="C39" s="153"/>
      <c r="D39" s="148">
        <v>250291</v>
      </c>
      <c r="E39" s="148">
        <v>597631</v>
      </c>
      <c r="F39" s="148">
        <v>719</v>
      </c>
      <c r="G39" s="155" t="s">
        <v>661</v>
      </c>
      <c r="H39" s="155" t="s">
        <v>664</v>
      </c>
      <c r="I39" s="150">
        <v>45877</v>
      </c>
      <c r="J39" s="150">
        <v>45877</v>
      </c>
      <c r="K39" s="148">
        <v>0</v>
      </c>
      <c r="L39" s="148">
        <v>1586</v>
      </c>
      <c r="M39" s="155" t="s">
        <v>684</v>
      </c>
      <c r="N39" s="149"/>
      <c r="O39" s="151">
        <v>6355.93</v>
      </c>
      <c r="P39" s="151"/>
      <c r="Q39" s="151">
        <v>-167956.64</v>
      </c>
      <c r="AB39" s="280"/>
      <c r="AC39" s="283" t="s">
        <v>706</v>
      </c>
      <c r="AD39" s="283" t="s">
        <v>700</v>
      </c>
      <c r="AE39" s="284">
        <v>15520</v>
      </c>
      <c r="AF39">
        <f t="shared" si="10"/>
        <v>13152.542372881357</v>
      </c>
      <c r="AG39" s="283" t="s">
        <v>701</v>
      </c>
    </row>
    <row r="40" spans="1:33" ht="31" x14ac:dyDescent="0.3">
      <c r="A40" s="153"/>
      <c r="B40" s="153"/>
      <c r="C40" s="153"/>
      <c r="D40" s="148">
        <v>250398</v>
      </c>
      <c r="E40" s="148">
        <v>597830</v>
      </c>
      <c r="F40" s="148">
        <v>725</v>
      </c>
      <c r="G40" s="155" t="s">
        <v>661</v>
      </c>
      <c r="H40" s="155" t="s">
        <v>666</v>
      </c>
      <c r="I40" s="150">
        <v>45907</v>
      </c>
      <c r="J40" s="150">
        <v>45907</v>
      </c>
      <c r="K40" s="148">
        <v>0</v>
      </c>
      <c r="L40" s="148">
        <v>985</v>
      </c>
      <c r="M40" s="155" t="s">
        <v>680</v>
      </c>
      <c r="N40" s="149"/>
      <c r="O40" s="151">
        <v>11815.19</v>
      </c>
      <c r="P40" s="151"/>
      <c r="Q40" s="151">
        <v>-179771.83</v>
      </c>
      <c r="AB40" s="285"/>
      <c r="AC40" s="286" t="s">
        <v>708</v>
      </c>
      <c r="AD40" s="286" t="s">
        <v>700</v>
      </c>
      <c r="AE40" s="287">
        <v>13585</v>
      </c>
      <c r="AF40">
        <f t="shared" si="10"/>
        <v>11512.71186440678</v>
      </c>
      <c r="AG40" s="286" t="s">
        <v>701</v>
      </c>
    </row>
    <row r="41" spans="1:33" ht="46.5" x14ac:dyDescent="0.3">
      <c r="A41" s="153"/>
      <c r="B41" s="153"/>
      <c r="C41" s="153"/>
      <c r="D41" s="148">
        <v>250396</v>
      </c>
      <c r="E41" s="148">
        <v>597824</v>
      </c>
      <c r="F41" s="148">
        <v>725</v>
      </c>
      <c r="G41" s="155" t="s">
        <v>661</v>
      </c>
      <c r="H41" s="155" t="s">
        <v>664</v>
      </c>
      <c r="I41" s="150">
        <v>45908</v>
      </c>
      <c r="J41" s="150">
        <v>45908</v>
      </c>
      <c r="K41" s="148">
        <v>0</v>
      </c>
      <c r="L41" s="148">
        <v>1660</v>
      </c>
      <c r="M41" s="155" t="s">
        <v>685</v>
      </c>
      <c r="N41" s="149"/>
      <c r="O41" s="151">
        <v>6103.39</v>
      </c>
      <c r="P41" s="151"/>
      <c r="Q41" s="151">
        <v>-185875.22</v>
      </c>
      <c r="AB41" s="280" t="s">
        <v>652</v>
      </c>
      <c r="AC41" s="281" t="s">
        <v>709</v>
      </c>
      <c r="AD41" s="288"/>
      <c r="AE41" s="282">
        <v>31785</v>
      </c>
      <c r="AF41">
        <f t="shared" si="10"/>
        <v>26936.440677966104</v>
      </c>
      <c r="AG41" s="289" t="s">
        <v>907</v>
      </c>
    </row>
    <row r="42" spans="1:33" ht="31" x14ac:dyDescent="0.3">
      <c r="A42" s="153"/>
      <c r="B42" s="153"/>
      <c r="C42" s="153"/>
      <c r="D42" s="148">
        <v>250959</v>
      </c>
      <c r="E42" s="148">
        <v>598744</v>
      </c>
      <c r="F42" s="148">
        <v>730</v>
      </c>
      <c r="G42" s="155" t="s">
        <v>661</v>
      </c>
      <c r="H42" s="155" t="s">
        <v>666</v>
      </c>
      <c r="I42" s="150">
        <v>45942</v>
      </c>
      <c r="J42" s="150">
        <v>45942</v>
      </c>
      <c r="K42" s="148">
        <v>0</v>
      </c>
      <c r="L42" s="148">
        <v>986</v>
      </c>
      <c r="M42" s="155" t="s">
        <v>680</v>
      </c>
      <c r="N42" s="149"/>
      <c r="O42" s="151">
        <v>11650</v>
      </c>
      <c r="P42" s="151"/>
      <c r="Q42" s="151">
        <v>-197525.22</v>
      </c>
      <c r="AB42" s="280"/>
      <c r="AC42" s="283" t="s">
        <v>711</v>
      </c>
      <c r="AD42" s="283"/>
      <c r="AE42" s="284">
        <v>9310</v>
      </c>
      <c r="AF42">
        <f t="shared" si="10"/>
        <v>7889.8305084745771</v>
      </c>
      <c r="AG42" s="289" t="s">
        <v>701</v>
      </c>
    </row>
    <row r="43" spans="1:33" ht="31" x14ac:dyDescent="0.3">
      <c r="A43" s="153"/>
      <c r="B43" s="153"/>
      <c r="C43" s="153"/>
      <c r="D43" s="148">
        <v>250965</v>
      </c>
      <c r="E43" s="148">
        <v>598771</v>
      </c>
      <c r="F43" s="148">
        <v>730</v>
      </c>
      <c r="G43" s="155" t="s">
        <v>661</v>
      </c>
      <c r="H43" s="155" t="s">
        <v>664</v>
      </c>
      <c r="I43" s="150">
        <v>45943</v>
      </c>
      <c r="J43" s="150">
        <v>45943</v>
      </c>
      <c r="K43" s="148">
        <v>0</v>
      </c>
      <c r="L43" s="148">
        <v>1757</v>
      </c>
      <c r="M43" s="155" t="s">
        <v>668</v>
      </c>
      <c r="N43" s="149"/>
      <c r="O43" s="151">
        <v>7041.53</v>
      </c>
      <c r="P43" s="151"/>
      <c r="Q43" s="151">
        <v>-204566.75</v>
      </c>
      <c r="AB43" s="280"/>
      <c r="AC43" s="281" t="s">
        <v>712</v>
      </c>
      <c r="AD43" s="281"/>
      <c r="AE43" s="282">
        <v>9635</v>
      </c>
      <c r="AF43">
        <f t="shared" si="10"/>
        <v>8165.2542372881362</v>
      </c>
      <c r="AG43" s="289" t="s">
        <v>701</v>
      </c>
    </row>
    <row r="44" spans="1:33" ht="31" x14ac:dyDescent="0.3">
      <c r="A44" s="153"/>
      <c r="B44" s="153"/>
      <c r="C44" s="153"/>
      <c r="D44" s="148">
        <v>251487</v>
      </c>
      <c r="E44" s="148">
        <v>599859</v>
      </c>
      <c r="F44" s="148">
        <v>738</v>
      </c>
      <c r="G44" s="155" t="s">
        <v>661</v>
      </c>
      <c r="H44" s="155" t="s">
        <v>666</v>
      </c>
      <c r="I44" s="150">
        <v>45970</v>
      </c>
      <c r="J44" s="150">
        <v>45970</v>
      </c>
      <c r="K44" s="148">
        <v>0</v>
      </c>
      <c r="L44" s="148">
        <v>991</v>
      </c>
      <c r="M44" s="155" t="s">
        <v>680</v>
      </c>
      <c r="N44" s="149"/>
      <c r="O44" s="151">
        <v>10556.36</v>
      </c>
      <c r="P44" s="151"/>
      <c r="Q44" s="151">
        <v>-215123.11</v>
      </c>
      <c r="AB44" s="280"/>
      <c r="AC44" s="283" t="s">
        <v>713</v>
      </c>
      <c r="AD44" s="283"/>
      <c r="AE44" s="284">
        <v>8800</v>
      </c>
      <c r="AF44">
        <f t="shared" si="10"/>
        <v>7457.6271186440681</v>
      </c>
      <c r="AG44" s="289" t="s">
        <v>701</v>
      </c>
    </row>
    <row r="45" spans="1:33" ht="15.5" x14ac:dyDescent="0.3">
      <c r="A45" s="153"/>
      <c r="B45" s="153"/>
      <c r="C45" s="153"/>
      <c r="D45" s="148">
        <v>251489</v>
      </c>
      <c r="E45" s="148">
        <v>599865</v>
      </c>
      <c r="F45" s="148">
        <v>738</v>
      </c>
      <c r="G45" s="155" t="s">
        <v>661</v>
      </c>
      <c r="H45" s="155" t="s">
        <v>664</v>
      </c>
      <c r="I45" s="150">
        <v>45971</v>
      </c>
      <c r="J45" s="150">
        <v>45971</v>
      </c>
      <c r="K45" s="148">
        <v>0</v>
      </c>
      <c r="L45" s="148">
        <v>1846</v>
      </c>
      <c r="M45" s="155" t="s">
        <v>686</v>
      </c>
      <c r="N45" s="149"/>
      <c r="O45" s="151">
        <v>7297.46</v>
      </c>
      <c r="P45" s="151"/>
      <c r="Q45" s="151">
        <v>-222420.57</v>
      </c>
      <c r="AB45" s="285"/>
      <c r="AC45" s="290" t="s">
        <v>714</v>
      </c>
      <c r="AD45" s="286"/>
      <c r="AE45" s="287"/>
      <c r="AF45">
        <f t="shared" si="10"/>
        <v>0</v>
      </c>
      <c r="AG45" s="291" t="s">
        <v>907</v>
      </c>
    </row>
    <row r="46" spans="1:33" ht="31" x14ac:dyDescent="0.3">
      <c r="A46" s="153"/>
      <c r="B46" s="153"/>
      <c r="C46" s="153"/>
      <c r="D46" s="148">
        <v>252269</v>
      </c>
      <c r="E46" s="148">
        <v>601581</v>
      </c>
      <c r="F46" s="148">
        <v>751</v>
      </c>
      <c r="G46" s="155" t="s">
        <v>661</v>
      </c>
      <c r="H46" s="155" t="s">
        <v>666</v>
      </c>
      <c r="I46" s="150">
        <v>46000</v>
      </c>
      <c r="J46" s="150">
        <v>46000</v>
      </c>
      <c r="K46" s="148">
        <v>0</v>
      </c>
      <c r="L46" s="148">
        <v>992</v>
      </c>
      <c r="M46" s="155" t="s">
        <v>680</v>
      </c>
      <c r="N46" s="149"/>
      <c r="O46" s="151">
        <v>12138.98</v>
      </c>
      <c r="P46" s="151"/>
      <c r="Q46" s="151">
        <v>-234559.55</v>
      </c>
      <c r="AB46" s="292" t="s">
        <v>655</v>
      </c>
      <c r="AC46" s="293" t="s">
        <v>715</v>
      </c>
      <c r="AD46" s="293"/>
      <c r="AE46" s="294">
        <v>48195</v>
      </c>
      <c r="AF46">
        <f t="shared" si="10"/>
        <v>40843.220338983054</v>
      </c>
      <c r="AG46" s="293" t="s">
        <v>701</v>
      </c>
    </row>
    <row r="47" spans="1:33" ht="31" x14ac:dyDescent="0.3">
      <c r="A47" s="153"/>
      <c r="B47" s="153"/>
      <c r="C47" s="153"/>
      <c r="D47" s="148">
        <v>252180</v>
      </c>
      <c r="E47" s="148">
        <v>601401</v>
      </c>
      <c r="F47" s="148">
        <v>747</v>
      </c>
      <c r="G47" s="155" t="s">
        <v>661</v>
      </c>
      <c r="H47" s="155" t="s">
        <v>664</v>
      </c>
      <c r="I47" s="150">
        <v>46001</v>
      </c>
      <c r="J47" s="150">
        <v>46001</v>
      </c>
      <c r="K47" s="148">
        <v>0</v>
      </c>
      <c r="L47" s="148">
        <v>1942</v>
      </c>
      <c r="M47" s="155" t="s">
        <v>679</v>
      </c>
      <c r="N47" s="149"/>
      <c r="O47" s="151">
        <v>7767.8</v>
      </c>
      <c r="P47" s="151"/>
      <c r="Q47" s="151">
        <v>-242327.35</v>
      </c>
      <c r="AB47" s="383" t="s">
        <v>654</v>
      </c>
      <c r="AC47" s="281" t="s">
        <v>716</v>
      </c>
      <c r="AD47" s="281" t="s">
        <v>700</v>
      </c>
      <c r="AE47" s="295">
        <v>7875.2491999999984</v>
      </c>
      <c r="AF47">
        <f t="shared" si="10"/>
        <v>6673.9399999999987</v>
      </c>
      <c r="AG47" s="281" t="s">
        <v>701</v>
      </c>
    </row>
    <row r="48" spans="1:33" ht="31" x14ac:dyDescent="0.3">
      <c r="A48" s="153"/>
      <c r="B48" s="153"/>
      <c r="C48" s="153"/>
      <c r="D48" s="148">
        <v>252018</v>
      </c>
      <c r="E48" s="148">
        <v>601004</v>
      </c>
      <c r="F48" s="148">
        <v>744</v>
      </c>
      <c r="G48" s="155" t="s">
        <v>661</v>
      </c>
      <c r="H48" s="155" t="s">
        <v>681</v>
      </c>
      <c r="I48" s="150">
        <v>46006</v>
      </c>
      <c r="J48" s="150">
        <v>46006</v>
      </c>
      <c r="K48" s="148">
        <v>0</v>
      </c>
      <c r="L48" s="148">
        <v>875</v>
      </c>
      <c r="M48" s="155" t="s">
        <v>687</v>
      </c>
      <c r="N48" s="149"/>
      <c r="O48" s="151">
        <v>5147.88</v>
      </c>
      <c r="P48" s="151"/>
      <c r="Q48" s="151">
        <v>-247475.23</v>
      </c>
      <c r="AB48" s="384"/>
      <c r="AC48" s="283" t="s">
        <v>717</v>
      </c>
      <c r="AD48" s="283" t="s">
        <v>700</v>
      </c>
      <c r="AE48" s="296">
        <v>14209.98</v>
      </c>
      <c r="AF48">
        <f t="shared" si="10"/>
        <v>12042.355932203391</v>
      </c>
      <c r="AG48" s="283" t="s">
        <v>701</v>
      </c>
    </row>
    <row r="49" spans="1:35" ht="31" x14ac:dyDescent="0.35">
      <c r="A49" s="147" t="s">
        <v>688</v>
      </c>
      <c r="B49" s="147" t="s">
        <v>659</v>
      </c>
      <c r="C49" s="146" t="s">
        <v>658</v>
      </c>
      <c r="D49" s="148"/>
      <c r="E49" s="148"/>
      <c r="F49" s="148"/>
      <c r="G49" s="149"/>
      <c r="H49" s="149"/>
      <c r="I49" s="150"/>
      <c r="J49" s="150"/>
      <c r="K49" s="148"/>
      <c r="L49" s="148"/>
      <c r="M49" s="149"/>
      <c r="N49" s="149"/>
      <c r="O49" s="159">
        <f>SUM(O12:O48)</f>
        <v>247475.22999999998</v>
      </c>
      <c r="P49" s="151" t="s">
        <v>689</v>
      </c>
      <c r="Q49" s="151"/>
      <c r="AB49" s="384"/>
      <c r="AC49" s="281" t="s">
        <v>718</v>
      </c>
      <c r="AD49" s="281" t="s">
        <v>700</v>
      </c>
      <c r="AE49" s="295">
        <v>863</v>
      </c>
      <c r="AF49">
        <f t="shared" si="10"/>
        <v>731.3559322033899</v>
      </c>
      <c r="AG49" s="281" t="s">
        <v>701</v>
      </c>
    </row>
    <row r="50" spans="1:35" ht="15.5" x14ac:dyDescent="0.3">
      <c r="A50" s="153"/>
      <c r="B50" s="153"/>
      <c r="C50" s="153"/>
      <c r="D50" s="148"/>
      <c r="E50" s="148"/>
      <c r="F50" s="148"/>
      <c r="G50" s="149"/>
      <c r="H50" s="149"/>
      <c r="I50" s="150"/>
      <c r="J50" s="150"/>
      <c r="K50" s="148"/>
      <c r="L50" s="148"/>
      <c r="M50" s="149"/>
      <c r="N50" s="149"/>
      <c r="O50" s="151"/>
      <c r="P50" s="151" t="s">
        <v>690</v>
      </c>
      <c r="Q50" s="151">
        <v>-247475.23</v>
      </c>
      <c r="AB50" s="384"/>
      <c r="AC50" s="283" t="s">
        <v>908</v>
      </c>
      <c r="AD50" s="283"/>
      <c r="AE50" s="299">
        <v>0</v>
      </c>
      <c r="AF50" s="300">
        <f t="shared" si="10"/>
        <v>0</v>
      </c>
      <c r="AG50" s="301" t="s">
        <v>912</v>
      </c>
    </row>
    <row r="51" spans="1:35" x14ac:dyDescent="0.3">
      <c r="A51" s="156"/>
      <c r="B51" s="156"/>
      <c r="C51" s="156"/>
      <c r="D51" s="157"/>
      <c r="E51" s="157"/>
      <c r="F51" s="157"/>
      <c r="G51" s="158"/>
      <c r="H51" s="158"/>
      <c r="I51" s="123"/>
      <c r="J51" s="123"/>
      <c r="K51" s="157"/>
      <c r="L51" s="157"/>
      <c r="M51" s="158"/>
      <c r="N51" s="158"/>
      <c r="O51" s="124"/>
      <c r="P51" s="124" t="s">
        <v>691</v>
      </c>
      <c r="Q51" s="124"/>
    </row>
    <row r="55" spans="1:35" ht="15.5" x14ac:dyDescent="0.3">
      <c r="AF55">
        <f t="shared" ref="AF55:AF56" si="11">+AG55/1.18</f>
        <v>8378.3898305084749</v>
      </c>
      <c r="AG55">
        <v>9886.5</v>
      </c>
      <c r="AI55" s="308" t="s">
        <v>928</v>
      </c>
    </row>
    <row r="56" spans="1:35" ht="15.5" x14ac:dyDescent="0.3">
      <c r="AF56">
        <f t="shared" si="11"/>
        <v>12181.220338983052</v>
      </c>
      <c r="AG56">
        <v>14373.84</v>
      </c>
      <c r="AI56" s="308" t="s">
        <v>929</v>
      </c>
    </row>
    <row r="57" spans="1:35" ht="15.5" x14ac:dyDescent="0.35">
      <c r="A57" s="125" t="s">
        <v>639</v>
      </c>
      <c r="AF57">
        <f>+AG57/1.18</f>
        <v>3993.4968777876902</v>
      </c>
      <c r="AG57">
        <f>4476.71/0.95</f>
        <v>4712.3263157894744</v>
      </c>
      <c r="AI57" s="309" t="s">
        <v>930</v>
      </c>
    </row>
    <row r="59" spans="1:35" x14ac:dyDescent="0.3">
      <c r="A59" s="180"/>
      <c r="B59" s="180"/>
      <c r="C59" s="180"/>
      <c r="D59" s="181">
        <v>27768</v>
      </c>
      <c r="E59" s="181">
        <v>47768</v>
      </c>
      <c r="F59" s="181">
        <v>288</v>
      </c>
      <c r="G59" s="182" t="s">
        <v>721</v>
      </c>
      <c r="H59" s="182" t="s">
        <v>722</v>
      </c>
      <c r="I59" s="183">
        <v>45901</v>
      </c>
      <c r="J59" s="183">
        <v>45901</v>
      </c>
      <c r="K59" s="181">
        <v>0</v>
      </c>
      <c r="L59" s="181">
        <v>3606</v>
      </c>
      <c r="M59" s="182" t="s">
        <v>723</v>
      </c>
      <c r="N59" s="184"/>
      <c r="O59" s="185">
        <v>63</v>
      </c>
      <c r="P59" s="185"/>
      <c r="Q59" s="185">
        <v>-4475500.1100000003</v>
      </c>
      <c r="R59" s="32"/>
    </row>
    <row r="60" spans="1:35" ht="14.5" thickBot="1" x14ac:dyDescent="0.35">
      <c r="A60" s="180"/>
      <c r="B60" s="180"/>
      <c r="C60" s="180"/>
      <c r="D60" s="181">
        <v>27967</v>
      </c>
      <c r="E60" s="181">
        <v>48293</v>
      </c>
      <c r="F60" s="181">
        <v>291</v>
      </c>
      <c r="G60" s="182" t="s">
        <v>721</v>
      </c>
      <c r="H60" s="182" t="s">
        <v>724</v>
      </c>
      <c r="I60" s="183">
        <v>45902</v>
      </c>
      <c r="J60" s="183">
        <v>45902</v>
      </c>
      <c r="K60" s="181">
        <v>0</v>
      </c>
      <c r="L60" s="181">
        <v>395</v>
      </c>
      <c r="M60" s="182" t="s">
        <v>725</v>
      </c>
      <c r="N60" s="184"/>
      <c r="O60" s="185">
        <v>296.61</v>
      </c>
      <c r="P60" s="185"/>
      <c r="Q60" s="185">
        <v>-4475796.72</v>
      </c>
      <c r="R60" s="32"/>
      <c r="AB60" s="320" t="s">
        <v>694</v>
      </c>
      <c r="AC60" s="320" t="s">
        <v>695</v>
      </c>
      <c r="AD60" s="321" t="s">
        <v>948</v>
      </c>
      <c r="AE60" t="s">
        <v>956</v>
      </c>
      <c r="AF60" s="320" t="s">
        <v>949</v>
      </c>
    </row>
    <row r="61" spans="1:35" ht="31" x14ac:dyDescent="0.3">
      <c r="A61" s="180"/>
      <c r="B61" s="180"/>
      <c r="C61" s="180"/>
      <c r="D61" s="181">
        <v>27769</v>
      </c>
      <c r="E61" s="181">
        <v>47771</v>
      </c>
      <c r="F61" s="181">
        <v>288</v>
      </c>
      <c r="G61" s="182" t="s">
        <v>721</v>
      </c>
      <c r="H61" s="182" t="s">
        <v>726</v>
      </c>
      <c r="I61" s="183">
        <v>45903</v>
      </c>
      <c r="J61" s="183">
        <v>45903</v>
      </c>
      <c r="K61" s="181">
        <v>0</v>
      </c>
      <c r="L61" s="181">
        <v>4302</v>
      </c>
      <c r="M61" s="182" t="s">
        <v>727</v>
      </c>
      <c r="N61" s="184"/>
      <c r="O61" s="185">
        <v>2360</v>
      </c>
      <c r="P61" s="185"/>
      <c r="Q61" s="185">
        <v>-4478156.72</v>
      </c>
      <c r="R61" s="32"/>
      <c r="AB61" s="322" t="s">
        <v>649</v>
      </c>
      <c r="AC61" s="323" t="s">
        <v>699</v>
      </c>
      <c r="AD61" s="330">
        <v>147809</v>
      </c>
      <c r="AE61" s="331">
        <f>+AD61/1.18</f>
        <v>125261.86440677967</v>
      </c>
      <c r="AF61" s="323" t="s">
        <v>700</v>
      </c>
    </row>
    <row r="62" spans="1:35" ht="31" x14ac:dyDescent="0.3">
      <c r="A62" s="180"/>
      <c r="B62" s="180"/>
      <c r="C62" s="180"/>
      <c r="D62" s="181">
        <v>27775</v>
      </c>
      <c r="E62" s="181">
        <v>47788</v>
      </c>
      <c r="F62" s="181">
        <v>288</v>
      </c>
      <c r="G62" s="182" t="s">
        <v>721</v>
      </c>
      <c r="H62" s="182" t="s">
        <v>728</v>
      </c>
      <c r="I62" s="183">
        <v>45908</v>
      </c>
      <c r="J62" s="183">
        <v>45908</v>
      </c>
      <c r="K62" s="181">
        <v>0</v>
      </c>
      <c r="L62" s="181">
        <v>23</v>
      </c>
      <c r="M62" s="182" t="s">
        <v>729</v>
      </c>
      <c r="N62" s="184"/>
      <c r="O62" s="185">
        <v>76381.83</v>
      </c>
      <c r="P62" s="185"/>
      <c r="Q62" s="185">
        <v>-4554538.55</v>
      </c>
      <c r="R62" s="32"/>
      <c r="AB62" s="324"/>
      <c r="AC62" s="325" t="s">
        <v>950</v>
      </c>
      <c r="AD62" s="332">
        <v>55042.43</v>
      </c>
      <c r="AE62" s="331">
        <f t="shared" ref="AE62:AE75" si="12">+AD62/1.18</f>
        <v>46646.127118644072</v>
      </c>
      <c r="AF62" s="325" t="s">
        <v>700</v>
      </c>
    </row>
    <row r="63" spans="1:35" ht="93" x14ac:dyDescent="0.3">
      <c r="A63" s="180"/>
      <c r="B63" s="180"/>
      <c r="C63" s="180"/>
      <c r="D63" s="181">
        <v>27943</v>
      </c>
      <c r="E63" s="181">
        <v>48221</v>
      </c>
      <c r="F63" s="181">
        <v>291</v>
      </c>
      <c r="G63" s="182" t="s">
        <v>721</v>
      </c>
      <c r="H63" s="182" t="s">
        <v>730</v>
      </c>
      <c r="I63" s="183">
        <v>45909</v>
      </c>
      <c r="J63" s="183">
        <v>45909</v>
      </c>
      <c r="K63" s="181">
        <v>0</v>
      </c>
      <c r="L63" s="181">
        <v>1516</v>
      </c>
      <c r="M63" s="182" t="s">
        <v>731</v>
      </c>
      <c r="N63" s="184"/>
      <c r="O63" s="185">
        <v>7627.12</v>
      </c>
      <c r="P63" s="185"/>
      <c r="Q63" s="185">
        <v>-4562165.67</v>
      </c>
      <c r="R63" s="32"/>
      <c r="AB63" s="324"/>
      <c r="AC63" s="323" t="s">
        <v>704</v>
      </c>
      <c r="AD63" s="330">
        <v>14350</v>
      </c>
      <c r="AE63" s="331">
        <f t="shared" si="12"/>
        <v>12161.016949152543</v>
      </c>
      <c r="AF63" s="323" t="s">
        <v>951</v>
      </c>
    </row>
    <row r="64" spans="1:35" ht="31.5" thickBot="1" x14ac:dyDescent="0.35">
      <c r="A64" s="180"/>
      <c r="B64" s="180"/>
      <c r="C64" s="180"/>
      <c r="D64" s="181">
        <v>27966</v>
      </c>
      <c r="E64" s="181">
        <v>48290</v>
      </c>
      <c r="F64" s="181">
        <v>291</v>
      </c>
      <c r="G64" s="182" t="s">
        <v>721</v>
      </c>
      <c r="H64" s="182" t="s">
        <v>732</v>
      </c>
      <c r="I64" s="183">
        <v>45910</v>
      </c>
      <c r="J64" s="183">
        <v>45910</v>
      </c>
      <c r="K64" s="181">
        <v>0</v>
      </c>
      <c r="L64" s="181">
        <v>98</v>
      </c>
      <c r="M64" s="182" t="s">
        <v>733</v>
      </c>
      <c r="N64" s="184"/>
      <c r="O64" s="185">
        <v>152855.93</v>
      </c>
      <c r="P64" s="185"/>
      <c r="Q64" s="185">
        <v>-4715021.5999999996</v>
      </c>
      <c r="R64" s="32"/>
      <c r="AB64" s="326"/>
      <c r="AC64" s="327" t="s">
        <v>706</v>
      </c>
      <c r="AD64" s="333">
        <v>13236</v>
      </c>
      <c r="AE64" s="331">
        <f t="shared" si="12"/>
        <v>11216.949152542373</v>
      </c>
      <c r="AF64" s="327" t="s">
        <v>700</v>
      </c>
    </row>
    <row r="65" spans="1:32" ht="46.5" x14ac:dyDescent="0.3">
      <c r="A65" s="180"/>
      <c r="B65" s="180"/>
      <c r="C65" s="180"/>
      <c r="D65" s="181">
        <v>27965</v>
      </c>
      <c r="E65" s="181">
        <v>48287</v>
      </c>
      <c r="F65" s="181">
        <v>291</v>
      </c>
      <c r="G65" s="182" t="s">
        <v>721</v>
      </c>
      <c r="H65" s="182" t="s">
        <v>734</v>
      </c>
      <c r="I65" s="183">
        <v>45913</v>
      </c>
      <c r="J65" s="183">
        <v>45913</v>
      </c>
      <c r="K65" s="181">
        <v>0</v>
      </c>
      <c r="L65" s="181">
        <v>3125</v>
      </c>
      <c r="M65" s="182" t="s">
        <v>735</v>
      </c>
      <c r="N65" s="184"/>
      <c r="O65" s="185">
        <v>5720.34</v>
      </c>
      <c r="P65" s="185"/>
      <c r="Q65" s="185">
        <v>-4720741.9400000004</v>
      </c>
      <c r="R65" s="32"/>
      <c r="AB65" s="322" t="s">
        <v>652</v>
      </c>
      <c r="AC65" s="323" t="s">
        <v>709</v>
      </c>
      <c r="AD65" s="330">
        <v>41242</v>
      </c>
      <c r="AE65" s="331">
        <f t="shared" si="12"/>
        <v>34950.847457627118</v>
      </c>
      <c r="AF65" s="323" t="s">
        <v>952</v>
      </c>
    </row>
    <row r="66" spans="1:32" ht="46.5" x14ac:dyDescent="0.3">
      <c r="A66" s="180"/>
      <c r="B66" s="180"/>
      <c r="C66" s="180"/>
      <c r="D66" s="181">
        <v>27942</v>
      </c>
      <c r="E66" s="181">
        <v>48218</v>
      </c>
      <c r="F66" s="181">
        <v>291</v>
      </c>
      <c r="G66" s="182" t="s">
        <v>721</v>
      </c>
      <c r="H66" s="182" t="s">
        <v>730</v>
      </c>
      <c r="I66" s="183">
        <v>45916</v>
      </c>
      <c r="J66" s="183">
        <v>45916</v>
      </c>
      <c r="K66" s="181">
        <v>0</v>
      </c>
      <c r="L66" s="181">
        <v>1517</v>
      </c>
      <c r="M66" s="182" t="s">
        <v>731</v>
      </c>
      <c r="N66" s="184"/>
      <c r="O66" s="185">
        <v>466.1</v>
      </c>
      <c r="P66" s="185"/>
      <c r="Q66" s="185">
        <v>-4721208.04</v>
      </c>
      <c r="R66" s="32"/>
      <c r="AB66" s="324"/>
      <c r="AC66" s="325" t="s">
        <v>711</v>
      </c>
      <c r="AD66" s="332">
        <v>12273</v>
      </c>
      <c r="AE66" s="331">
        <f t="shared" si="12"/>
        <v>10400.84745762712</v>
      </c>
      <c r="AF66" s="325" t="s">
        <v>953</v>
      </c>
    </row>
    <row r="67" spans="1:32" ht="46.5" x14ac:dyDescent="0.3">
      <c r="A67" s="180"/>
      <c r="B67" s="180"/>
      <c r="C67" s="180"/>
      <c r="D67" s="181">
        <v>27949</v>
      </c>
      <c r="E67" s="181">
        <v>48242</v>
      </c>
      <c r="F67" s="181">
        <v>291</v>
      </c>
      <c r="G67" s="182" t="s">
        <v>721</v>
      </c>
      <c r="H67" s="182" t="s">
        <v>736</v>
      </c>
      <c r="I67" s="183">
        <v>45917</v>
      </c>
      <c r="J67" s="183">
        <v>45917</v>
      </c>
      <c r="K67" s="181">
        <v>0</v>
      </c>
      <c r="L67" s="181">
        <v>6794</v>
      </c>
      <c r="M67" s="182" t="s">
        <v>737</v>
      </c>
      <c r="N67" s="184"/>
      <c r="O67" s="185">
        <v>289.83</v>
      </c>
      <c r="P67" s="185"/>
      <c r="Q67" s="185">
        <v>-4721497.87</v>
      </c>
      <c r="R67" s="32"/>
      <c r="AB67" s="324"/>
      <c r="AC67" s="323" t="s">
        <v>712</v>
      </c>
      <c r="AD67" s="330">
        <v>8300</v>
      </c>
      <c r="AE67" s="331">
        <f t="shared" si="12"/>
        <v>7033.8983050847464</v>
      </c>
      <c r="AF67" s="323" t="s">
        <v>953</v>
      </c>
    </row>
    <row r="68" spans="1:32" ht="46.5" x14ac:dyDescent="0.3">
      <c r="A68" s="180"/>
      <c r="B68" s="180"/>
      <c r="C68" s="180"/>
      <c r="D68" s="181">
        <v>27981</v>
      </c>
      <c r="E68" s="181">
        <v>48334</v>
      </c>
      <c r="F68" s="181">
        <v>291</v>
      </c>
      <c r="G68" s="182" t="s">
        <v>721</v>
      </c>
      <c r="H68" s="182" t="s">
        <v>738</v>
      </c>
      <c r="I68" s="183">
        <v>45925</v>
      </c>
      <c r="J68" s="183">
        <v>45925</v>
      </c>
      <c r="K68" s="181">
        <v>4407</v>
      </c>
      <c r="L68" s="181">
        <v>8910</v>
      </c>
      <c r="M68" s="182" t="s">
        <v>739</v>
      </c>
      <c r="N68" s="184"/>
      <c r="O68" s="185">
        <v>470</v>
      </c>
      <c r="P68" s="185"/>
      <c r="Q68" s="185">
        <v>-4721967.87</v>
      </c>
      <c r="R68" s="32"/>
      <c r="AB68" s="324"/>
      <c r="AC68" s="325" t="s">
        <v>713</v>
      </c>
      <c r="AD68" s="332">
        <v>4800</v>
      </c>
      <c r="AE68" s="331">
        <f t="shared" si="12"/>
        <v>4067.7966101694919</v>
      </c>
      <c r="AF68" s="325" t="s">
        <v>953</v>
      </c>
    </row>
    <row r="69" spans="1:32" ht="46.5" x14ac:dyDescent="0.3">
      <c r="A69" s="180"/>
      <c r="B69" s="180"/>
      <c r="C69" s="180"/>
      <c r="D69" s="181">
        <v>29308</v>
      </c>
      <c r="E69" s="181">
        <v>50668</v>
      </c>
      <c r="F69" s="181">
        <v>303</v>
      </c>
      <c r="G69" s="182" t="s">
        <v>721</v>
      </c>
      <c r="H69" s="182" t="s">
        <v>722</v>
      </c>
      <c r="I69" s="183">
        <v>45932</v>
      </c>
      <c r="J69" s="183">
        <v>45932</v>
      </c>
      <c r="K69" s="181">
        <v>0</v>
      </c>
      <c r="L69" s="181">
        <v>7701</v>
      </c>
      <c r="M69" s="182" t="s">
        <v>723</v>
      </c>
      <c r="N69" s="184"/>
      <c r="O69" s="185">
        <v>63</v>
      </c>
      <c r="P69" s="185"/>
      <c r="Q69" s="185">
        <v>-4722030.87</v>
      </c>
      <c r="R69" s="32"/>
      <c r="AB69" s="324"/>
      <c r="AC69" s="323" t="s">
        <v>704</v>
      </c>
      <c r="AD69" s="330">
        <v>2800</v>
      </c>
      <c r="AE69" s="331">
        <f t="shared" si="12"/>
        <v>2372.8813559322034</v>
      </c>
      <c r="AF69" s="323" t="s">
        <v>953</v>
      </c>
    </row>
    <row r="70" spans="1:32" ht="47" thickBot="1" x14ac:dyDescent="0.35">
      <c r="A70" s="180"/>
      <c r="B70" s="180"/>
      <c r="C70" s="180"/>
      <c r="D70" s="181">
        <v>29302</v>
      </c>
      <c r="E70" s="181">
        <v>50650</v>
      </c>
      <c r="F70" s="181">
        <v>303</v>
      </c>
      <c r="G70" s="182" t="s">
        <v>721</v>
      </c>
      <c r="H70" s="182" t="s">
        <v>726</v>
      </c>
      <c r="I70" s="183">
        <v>45935</v>
      </c>
      <c r="J70" s="183">
        <v>45935</v>
      </c>
      <c r="K70" s="181">
        <v>0</v>
      </c>
      <c r="L70" s="181">
        <v>5886</v>
      </c>
      <c r="M70" s="182" t="s">
        <v>727</v>
      </c>
      <c r="N70" s="184"/>
      <c r="O70" s="185">
        <v>2500</v>
      </c>
      <c r="P70" s="185"/>
      <c r="Q70" s="185">
        <v>-4724530.87</v>
      </c>
      <c r="R70" s="32"/>
      <c r="AB70" s="326"/>
      <c r="AC70" s="327" t="s">
        <v>714</v>
      </c>
      <c r="AD70" s="333"/>
      <c r="AE70" s="331">
        <f t="shared" si="12"/>
        <v>0</v>
      </c>
      <c r="AF70" s="327" t="s">
        <v>954</v>
      </c>
    </row>
    <row r="71" spans="1:32" ht="31.5" thickBot="1" x14ac:dyDescent="0.35">
      <c r="A71" s="180"/>
      <c r="B71" s="180"/>
      <c r="C71" s="180"/>
      <c r="D71" s="181">
        <v>29312</v>
      </c>
      <c r="E71" s="181">
        <v>50680</v>
      </c>
      <c r="F71" s="181">
        <v>303</v>
      </c>
      <c r="G71" s="182" t="s">
        <v>721</v>
      </c>
      <c r="H71" s="182" t="s">
        <v>740</v>
      </c>
      <c r="I71" s="183">
        <v>45935</v>
      </c>
      <c r="J71" s="183">
        <v>45935</v>
      </c>
      <c r="K71" s="181">
        <v>0</v>
      </c>
      <c r="L71" s="181">
        <v>3184</v>
      </c>
      <c r="M71" s="182" t="s">
        <v>741</v>
      </c>
      <c r="N71" s="184"/>
      <c r="O71" s="185">
        <v>3750</v>
      </c>
      <c r="P71" s="185"/>
      <c r="Q71" s="185">
        <v>-4728280.87</v>
      </c>
      <c r="R71" s="32"/>
      <c r="AB71" s="328" t="s">
        <v>655</v>
      </c>
      <c r="AC71" s="327" t="s">
        <v>715</v>
      </c>
      <c r="AD71" s="333">
        <v>49395</v>
      </c>
      <c r="AE71" s="331">
        <f t="shared" si="12"/>
        <v>41860.169491525427</v>
      </c>
      <c r="AF71" s="327" t="s">
        <v>700</v>
      </c>
    </row>
    <row r="72" spans="1:32" ht="31" x14ac:dyDescent="0.3">
      <c r="A72" s="180"/>
      <c r="B72" s="180"/>
      <c r="C72" s="180"/>
      <c r="D72" s="181">
        <v>28753</v>
      </c>
      <c r="E72" s="181">
        <v>49828</v>
      </c>
      <c r="F72" s="181">
        <v>300</v>
      </c>
      <c r="G72" s="184"/>
      <c r="H72" s="182" t="s">
        <v>728</v>
      </c>
      <c r="I72" s="183">
        <v>45939</v>
      </c>
      <c r="J72" s="183">
        <v>45939</v>
      </c>
      <c r="K72" s="181">
        <v>0</v>
      </c>
      <c r="L72" s="181">
        <v>2</v>
      </c>
      <c r="M72" s="182" t="s">
        <v>742</v>
      </c>
      <c r="N72" s="184"/>
      <c r="O72" s="185">
        <v>-45982</v>
      </c>
      <c r="P72" s="185"/>
      <c r="Q72" s="185">
        <v>-4682298.87</v>
      </c>
      <c r="R72" s="32"/>
      <c r="AB72" s="385" t="s">
        <v>654</v>
      </c>
      <c r="AC72" s="323" t="s">
        <v>716</v>
      </c>
      <c r="AD72" s="334">
        <v>4476.71</v>
      </c>
      <c r="AE72" s="331">
        <f t="shared" si="12"/>
        <v>3793.8220338983051</v>
      </c>
      <c r="AF72" s="323" t="s">
        <v>700</v>
      </c>
    </row>
    <row r="73" spans="1:32" ht="31" x14ac:dyDescent="0.3">
      <c r="A73" s="180"/>
      <c r="B73" s="180"/>
      <c r="C73" s="180"/>
      <c r="D73" s="181">
        <v>28754</v>
      </c>
      <c r="E73" s="181">
        <v>49830</v>
      </c>
      <c r="F73" s="181">
        <v>300</v>
      </c>
      <c r="G73" s="184"/>
      <c r="H73" s="182" t="s">
        <v>728</v>
      </c>
      <c r="I73" s="183">
        <v>45939</v>
      </c>
      <c r="J73" s="183">
        <v>45939</v>
      </c>
      <c r="K73" s="181">
        <v>0</v>
      </c>
      <c r="L73" s="181">
        <v>15</v>
      </c>
      <c r="M73" s="182" t="s">
        <v>729</v>
      </c>
      <c r="N73" s="184"/>
      <c r="O73" s="185">
        <v>45982</v>
      </c>
      <c r="P73" s="185"/>
      <c r="Q73" s="185">
        <v>-4728280.87</v>
      </c>
      <c r="R73" s="32"/>
      <c r="AB73" s="386"/>
      <c r="AC73" s="325" t="s">
        <v>717</v>
      </c>
      <c r="AD73" s="335">
        <v>14373.84</v>
      </c>
      <c r="AE73" s="331">
        <f t="shared" si="12"/>
        <v>12181.220338983052</v>
      </c>
      <c r="AF73" s="325" t="s">
        <v>700</v>
      </c>
    </row>
    <row r="74" spans="1:32" ht="31" x14ac:dyDescent="0.3">
      <c r="A74" s="180"/>
      <c r="B74" s="180"/>
      <c r="C74" s="180"/>
      <c r="D74" s="181">
        <v>28755</v>
      </c>
      <c r="E74" s="181">
        <v>49832</v>
      </c>
      <c r="F74" s="181">
        <v>300</v>
      </c>
      <c r="G74" s="182" t="s">
        <v>721</v>
      </c>
      <c r="H74" s="182" t="s">
        <v>728</v>
      </c>
      <c r="I74" s="183">
        <v>45942</v>
      </c>
      <c r="J74" s="183">
        <v>45942</v>
      </c>
      <c r="K74" s="181">
        <v>0</v>
      </c>
      <c r="L74" s="181">
        <v>26</v>
      </c>
      <c r="M74" s="182" t="s">
        <v>729</v>
      </c>
      <c r="N74" s="184"/>
      <c r="O74" s="185">
        <v>39178.370000000003</v>
      </c>
      <c r="P74" s="185"/>
      <c r="Q74" s="185">
        <v>-4767459.24</v>
      </c>
      <c r="R74" s="32"/>
      <c r="AB74" s="386"/>
      <c r="AC74" s="323" t="s">
        <v>718</v>
      </c>
      <c r="AD74" s="334">
        <v>9886.5</v>
      </c>
      <c r="AE74" s="331">
        <f t="shared" si="12"/>
        <v>8378.3898305084749</v>
      </c>
      <c r="AF74" s="323" t="s">
        <v>700</v>
      </c>
    </row>
    <row r="75" spans="1:32" ht="62" x14ac:dyDescent="0.3">
      <c r="A75" s="180"/>
      <c r="B75" s="180"/>
      <c r="C75" s="180"/>
      <c r="D75" s="181">
        <v>29277</v>
      </c>
      <c r="E75" s="181">
        <v>50594</v>
      </c>
      <c r="F75" s="181">
        <v>303</v>
      </c>
      <c r="G75" s="182" t="s">
        <v>721</v>
      </c>
      <c r="H75" s="182" t="s">
        <v>730</v>
      </c>
      <c r="I75" s="183">
        <v>45942</v>
      </c>
      <c r="J75" s="183">
        <v>45942</v>
      </c>
      <c r="K75" s="181">
        <v>0</v>
      </c>
      <c r="L75" s="181">
        <v>1524</v>
      </c>
      <c r="M75" s="182" t="s">
        <v>731</v>
      </c>
      <c r="N75" s="184"/>
      <c r="O75" s="185">
        <v>15843.22</v>
      </c>
      <c r="P75" s="185"/>
      <c r="Q75" s="185">
        <v>-4783302.46</v>
      </c>
      <c r="R75" s="32"/>
      <c r="AB75" s="386"/>
      <c r="AC75" s="325" t="s">
        <v>908</v>
      </c>
      <c r="AD75" s="335">
        <v>4250</v>
      </c>
      <c r="AE75" s="331">
        <f t="shared" si="12"/>
        <v>3601.6949152542375</v>
      </c>
      <c r="AF75" s="325" t="s">
        <v>955</v>
      </c>
    </row>
    <row r="76" spans="1:32" ht="15.5" x14ac:dyDescent="0.3">
      <c r="A76" s="180"/>
      <c r="B76" s="180"/>
      <c r="C76" s="180"/>
      <c r="D76" s="181">
        <v>29285</v>
      </c>
      <c r="E76" s="181">
        <v>50618</v>
      </c>
      <c r="F76" s="181">
        <v>303</v>
      </c>
      <c r="G76" s="182" t="s">
        <v>721</v>
      </c>
      <c r="H76" s="182" t="s">
        <v>734</v>
      </c>
      <c r="I76" s="183">
        <v>45942</v>
      </c>
      <c r="J76" s="183">
        <v>45942</v>
      </c>
      <c r="K76" s="181">
        <v>0</v>
      </c>
      <c r="L76" s="181">
        <v>3130</v>
      </c>
      <c r="M76" s="182" t="s">
        <v>735</v>
      </c>
      <c r="N76" s="184"/>
      <c r="O76" s="185">
        <v>10389.83</v>
      </c>
      <c r="P76" s="185"/>
      <c r="Q76" s="185">
        <v>-4793692.29</v>
      </c>
      <c r="R76" s="32"/>
      <c r="AB76" s="329"/>
    </row>
    <row r="77" spans="1:32" x14ac:dyDescent="0.3">
      <c r="A77" s="180"/>
      <c r="B77" s="180"/>
      <c r="C77" s="180"/>
      <c r="D77" s="181">
        <v>29303</v>
      </c>
      <c r="E77" s="181">
        <v>50653</v>
      </c>
      <c r="F77" s="181">
        <v>303</v>
      </c>
      <c r="G77" s="182" t="s">
        <v>721</v>
      </c>
      <c r="H77" s="182" t="s">
        <v>732</v>
      </c>
      <c r="I77" s="183">
        <v>45942</v>
      </c>
      <c r="J77" s="183">
        <v>45942</v>
      </c>
      <c r="K77" s="181">
        <v>0</v>
      </c>
      <c r="L77" s="181">
        <v>99</v>
      </c>
      <c r="M77" s="182" t="s">
        <v>733</v>
      </c>
      <c r="N77" s="184"/>
      <c r="O77" s="185">
        <v>142355.93</v>
      </c>
      <c r="P77" s="185"/>
      <c r="Q77" s="185">
        <v>-4936048.22</v>
      </c>
      <c r="R77" s="32"/>
    </row>
    <row r="78" spans="1:32" x14ac:dyDescent="0.3">
      <c r="A78" s="180"/>
      <c r="B78" s="180"/>
      <c r="C78" s="180"/>
      <c r="D78" s="181">
        <v>29276</v>
      </c>
      <c r="E78" s="181">
        <v>50591</v>
      </c>
      <c r="F78" s="181">
        <v>303</v>
      </c>
      <c r="G78" s="182" t="s">
        <v>721</v>
      </c>
      <c r="H78" s="182" t="s">
        <v>724</v>
      </c>
      <c r="I78" s="183">
        <v>45945</v>
      </c>
      <c r="J78" s="183">
        <v>45945</v>
      </c>
      <c r="K78" s="181">
        <v>0</v>
      </c>
      <c r="L78" s="181">
        <v>408</v>
      </c>
      <c r="M78" s="182" t="s">
        <v>725</v>
      </c>
      <c r="N78" s="184"/>
      <c r="O78" s="185">
        <v>600</v>
      </c>
      <c r="P78" s="185"/>
      <c r="Q78" s="185">
        <v>-4936648.22</v>
      </c>
      <c r="R78" s="32"/>
    </row>
    <row r="79" spans="1:32" ht="16" thickBot="1" x14ac:dyDescent="0.35">
      <c r="A79" s="180"/>
      <c r="B79" s="180"/>
      <c r="C79" s="180"/>
      <c r="D79" s="181">
        <v>29293</v>
      </c>
      <c r="E79" s="181">
        <v>50642</v>
      </c>
      <c r="F79" s="181">
        <v>303</v>
      </c>
      <c r="G79" s="182" t="s">
        <v>721</v>
      </c>
      <c r="H79" s="182" t="s">
        <v>738</v>
      </c>
      <c r="I79" s="183">
        <v>45956</v>
      </c>
      <c r="J79" s="183">
        <v>45956</v>
      </c>
      <c r="K79" s="181">
        <v>4407</v>
      </c>
      <c r="L79" s="181">
        <v>9125</v>
      </c>
      <c r="M79" s="182" t="s">
        <v>739</v>
      </c>
      <c r="N79" s="184"/>
      <c r="O79" s="185">
        <v>470</v>
      </c>
      <c r="P79" s="185"/>
      <c r="Q79" s="185">
        <v>-4937118.22</v>
      </c>
      <c r="R79" s="32"/>
      <c r="AB79" s="365" t="s">
        <v>694</v>
      </c>
      <c r="AC79" s="365" t="s">
        <v>695</v>
      </c>
      <c r="AD79" s="366" t="s">
        <v>948</v>
      </c>
      <c r="AE79" t="s">
        <v>494</v>
      </c>
      <c r="AF79" s="365" t="s">
        <v>949</v>
      </c>
    </row>
    <row r="80" spans="1:32" ht="31" x14ac:dyDescent="0.3">
      <c r="A80" s="180"/>
      <c r="B80" s="180"/>
      <c r="C80" s="180"/>
      <c r="D80" s="181">
        <v>30350</v>
      </c>
      <c r="E80" s="181">
        <v>52532</v>
      </c>
      <c r="F80" s="181">
        <v>315</v>
      </c>
      <c r="G80" s="182" t="s">
        <v>721</v>
      </c>
      <c r="H80" s="182" t="s">
        <v>743</v>
      </c>
      <c r="I80" s="183">
        <v>45964</v>
      </c>
      <c r="J80" s="183">
        <v>45964</v>
      </c>
      <c r="K80" s="181">
        <v>0</v>
      </c>
      <c r="L80" s="181">
        <v>62</v>
      </c>
      <c r="M80" s="182" t="s">
        <v>744</v>
      </c>
      <c r="N80" s="184"/>
      <c r="O80" s="185">
        <v>228.81</v>
      </c>
      <c r="P80" s="185"/>
      <c r="Q80" s="185">
        <v>-4937347.03</v>
      </c>
      <c r="R80" s="32"/>
      <c r="AB80" s="367" t="s">
        <v>649</v>
      </c>
      <c r="AC80" s="368" t="s">
        <v>699</v>
      </c>
      <c r="AD80" s="377" t="s">
        <v>984</v>
      </c>
      <c r="AE80" s="144">
        <f>227538/1.18</f>
        <v>192828.81355932204</v>
      </c>
      <c r="AF80" s="368" t="s">
        <v>700</v>
      </c>
    </row>
    <row r="81" spans="1:32" ht="31" x14ac:dyDescent="0.3">
      <c r="A81" s="180"/>
      <c r="B81" s="180"/>
      <c r="C81" s="180"/>
      <c r="D81" s="181">
        <v>30285</v>
      </c>
      <c r="E81" s="181">
        <v>52355</v>
      </c>
      <c r="F81" s="181">
        <v>313</v>
      </c>
      <c r="G81" s="182" t="s">
        <v>721</v>
      </c>
      <c r="H81" s="182" t="s">
        <v>726</v>
      </c>
      <c r="I81" s="183">
        <v>45966</v>
      </c>
      <c r="J81" s="183">
        <v>45966</v>
      </c>
      <c r="K81" s="181">
        <v>0</v>
      </c>
      <c r="L81" s="181">
        <v>7493</v>
      </c>
      <c r="M81" s="182" t="s">
        <v>727</v>
      </c>
      <c r="N81" s="184"/>
      <c r="O81" s="185">
        <v>2220</v>
      </c>
      <c r="P81" s="185"/>
      <c r="Q81" s="185">
        <v>-4939567.03</v>
      </c>
      <c r="R81" s="32"/>
      <c r="AB81" s="369"/>
      <c r="AC81" s="370" t="s">
        <v>950</v>
      </c>
      <c r="AD81" s="378" t="s">
        <v>985</v>
      </c>
      <c r="AE81" s="144">
        <f>79274/1.18</f>
        <v>67181.355932203398</v>
      </c>
      <c r="AF81" s="370" t="s">
        <v>700</v>
      </c>
    </row>
    <row r="82" spans="1:32" ht="31" x14ac:dyDescent="0.3">
      <c r="A82" s="180"/>
      <c r="B82" s="180"/>
      <c r="C82" s="180"/>
      <c r="D82" s="181">
        <v>30344</v>
      </c>
      <c r="E82" s="181">
        <v>52514</v>
      </c>
      <c r="F82" s="181">
        <v>315</v>
      </c>
      <c r="G82" s="182" t="s">
        <v>721</v>
      </c>
      <c r="H82" s="182" t="s">
        <v>736</v>
      </c>
      <c r="I82" s="183">
        <v>45967</v>
      </c>
      <c r="J82" s="183">
        <v>45967</v>
      </c>
      <c r="K82" s="181">
        <v>0</v>
      </c>
      <c r="L82" s="181">
        <v>6862</v>
      </c>
      <c r="M82" s="182" t="s">
        <v>737</v>
      </c>
      <c r="N82" s="184"/>
      <c r="O82" s="185">
        <v>389.83</v>
      </c>
      <c r="P82" s="185"/>
      <c r="Q82" s="185">
        <v>-4939956.8600000003</v>
      </c>
      <c r="R82" s="32"/>
      <c r="T82" s="123">
        <v>45930</v>
      </c>
      <c r="U82" s="123">
        <v>45961</v>
      </c>
      <c r="V82" s="123">
        <v>45991</v>
      </c>
      <c r="W82" s="123">
        <v>46022</v>
      </c>
      <c r="AB82" s="369"/>
      <c r="AC82" s="368" t="s">
        <v>704</v>
      </c>
      <c r="AD82" s="374" t="s">
        <v>974</v>
      </c>
      <c r="AE82" s="144">
        <f>17345/1.18</f>
        <v>14699.152542372882</v>
      </c>
      <c r="AF82" s="368" t="s">
        <v>700</v>
      </c>
    </row>
    <row r="83" spans="1:32" ht="31.5" thickBot="1" x14ac:dyDescent="0.35">
      <c r="A83" s="180"/>
      <c r="B83" s="180"/>
      <c r="C83" s="180"/>
      <c r="D83" s="181">
        <v>30307</v>
      </c>
      <c r="E83" s="181">
        <v>52416</v>
      </c>
      <c r="F83" s="181">
        <v>313</v>
      </c>
      <c r="G83" s="182" t="s">
        <v>721</v>
      </c>
      <c r="H83" s="182" t="s">
        <v>734</v>
      </c>
      <c r="I83" s="183">
        <v>45973</v>
      </c>
      <c r="J83" s="183">
        <v>45973</v>
      </c>
      <c r="K83" s="181">
        <v>0</v>
      </c>
      <c r="L83" s="181">
        <v>3135</v>
      </c>
      <c r="M83" s="182" t="s">
        <v>735</v>
      </c>
      <c r="N83" s="184"/>
      <c r="O83" s="185">
        <v>12203.39</v>
      </c>
      <c r="P83" s="185"/>
      <c r="Q83" s="185">
        <v>-4952160.25</v>
      </c>
      <c r="R83" s="32"/>
      <c r="S83" s="163" t="s">
        <v>752</v>
      </c>
      <c r="T83" s="133">
        <f>+O64</f>
        <v>152855.93</v>
      </c>
      <c r="U83" s="133">
        <f>+O77</f>
        <v>142355.93</v>
      </c>
      <c r="V83" s="133">
        <f>+O85</f>
        <v>160729.66</v>
      </c>
      <c r="W83" s="133">
        <f>+O92</f>
        <v>180990.68</v>
      </c>
      <c r="AB83" s="371"/>
      <c r="AC83" s="372" t="s">
        <v>706</v>
      </c>
      <c r="AD83" s="376" t="s">
        <v>983</v>
      </c>
      <c r="AE83" s="144">
        <f>15580/1.18</f>
        <v>13203.389830508475</v>
      </c>
      <c r="AF83" s="372" t="s">
        <v>700</v>
      </c>
    </row>
    <row r="84" spans="1:32" ht="31" x14ac:dyDescent="0.3">
      <c r="A84" s="180"/>
      <c r="B84" s="180"/>
      <c r="C84" s="180"/>
      <c r="D84" s="181">
        <v>30345</v>
      </c>
      <c r="E84" s="181">
        <v>52517</v>
      </c>
      <c r="F84" s="181">
        <v>315</v>
      </c>
      <c r="G84" s="182" t="s">
        <v>721</v>
      </c>
      <c r="H84" s="182" t="s">
        <v>730</v>
      </c>
      <c r="I84" s="183">
        <v>45973</v>
      </c>
      <c r="J84" s="183">
        <v>45973</v>
      </c>
      <c r="K84" s="181">
        <v>0</v>
      </c>
      <c r="L84" s="181">
        <v>1538</v>
      </c>
      <c r="M84" s="182" t="s">
        <v>731</v>
      </c>
      <c r="N84" s="184"/>
      <c r="O84" s="185">
        <v>13389.83</v>
      </c>
      <c r="P84" s="185"/>
      <c r="Q84" s="185">
        <v>-4965550.0800000001</v>
      </c>
      <c r="R84" s="32"/>
      <c r="S84" s="165" t="s">
        <v>753</v>
      </c>
      <c r="T84" s="133">
        <f>+O62</f>
        <v>76381.83</v>
      </c>
      <c r="U84" s="133">
        <f>+O74+O73+O72</f>
        <v>39178.369999999995</v>
      </c>
      <c r="V84" s="133">
        <f>+O86</f>
        <v>44536.1</v>
      </c>
      <c r="W84" s="133">
        <f>+O97</f>
        <v>75014.95</v>
      </c>
      <c r="AA84" s="307">
        <f>SUM(AE84:AE89)</f>
        <v>46014.406779661018</v>
      </c>
      <c r="AB84" s="367" t="s">
        <v>652</v>
      </c>
      <c r="AC84" s="368" t="s">
        <v>709</v>
      </c>
      <c r="AD84" s="374" t="s">
        <v>975</v>
      </c>
      <c r="AE84" s="144">
        <f>45398/1.18</f>
        <v>38472.881355932208</v>
      </c>
      <c r="AF84" s="387" t="s">
        <v>970</v>
      </c>
    </row>
    <row r="85" spans="1:32" ht="31" x14ac:dyDescent="0.3">
      <c r="A85" s="180"/>
      <c r="B85" s="180"/>
      <c r="C85" s="180"/>
      <c r="D85" s="181">
        <v>30308</v>
      </c>
      <c r="E85" s="181">
        <v>52419</v>
      </c>
      <c r="F85" s="181">
        <v>313</v>
      </c>
      <c r="G85" s="182" t="s">
        <v>721</v>
      </c>
      <c r="H85" s="182" t="s">
        <v>732</v>
      </c>
      <c r="I85" s="183">
        <v>45975</v>
      </c>
      <c r="J85" s="183">
        <v>45975</v>
      </c>
      <c r="K85" s="181">
        <v>0</v>
      </c>
      <c r="L85" s="181">
        <v>100</v>
      </c>
      <c r="M85" s="182" t="s">
        <v>733</v>
      </c>
      <c r="N85" s="184"/>
      <c r="O85" s="185">
        <v>160729.66</v>
      </c>
      <c r="P85" s="185"/>
      <c r="Q85" s="185">
        <v>-5126279.74</v>
      </c>
      <c r="R85" s="32"/>
      <c r="S85" s="165" t="s">
        <v>754</v>
      </c>
      <c r="T85" s="133">
        <f>+O66+O63</f>
        <v>8093.22</v>
      </c>
      <c r="U85" s="133">
        <f>+O75</f>
        <v>15843.22</v>
      </c>
      <c r="V85" s="133">
        <f>+O84</f>
        <v>13389.83</v>
      </c>
      <c r="W85" s="133">
        <f>+O93</f>
        <v>12838.98</v>
      </c>
      <c r="AB85" s="369"/>
      <c r="AC85" s="370" t="s">
        <v>711</v>
      </c>
      <c r="AD85" s="375" t="s">
        <v>976</v>
      </c>
      <c r="AE85" s="144">
        <f>2699/1.18</f>
        <v>2287.2881355932204</v>
      </c>
      <c r="AF85" s="388"/>
    </row>
    <row r="86" spans="1:32" ht="31" x14ac:dyDescent="0.3">
      <c r="A86" s="180"/>
      <c r="B86" s="180"/>
      <c r="C86" s="180"/>
      <c r="D86" s="181">
        <v>30256</v>
      </c>
      <c r="E86" s="181">
        <v>52272</v>
      </c>
      <c r="F86" s="181">
        <v>313</v>
      </c>
      <c r="G86" s="182" t="s">
        <v>721</v>
      </c>
      <c r="H86" s="182" t="s">
        <v>728</v>
      </c>
      <c r="I86" s="183">
        <v>45981</v>
      </c>
      <c r="J86" s="183">
        <v>45981</v>
      </c>
      <c r="K86" s="181">
        <v>0</v>
      </c>
      <c r="L86" s="181">
        <v>29</v>
      </c>
      <c r="M86" s="182" t="s">
        <v>729</v>
      </c>
      <c r="N86" s="184"/>
      <c r="O86" s="185">
        <v>44536.1</v>
      </c>
      <c r="P86" s="185"/>
      <c r="Q86" s="185">
        <v>-5170815.84</v>
      </c>
      <c r="R86" s="32"/>
      <c r="S86" s="163" t="s">
        <v>755</v>
      </c>
      <c r="T86" s="133">
        <f>+O65</f>
        <v>5720.34</v>
      </c>
      <c r="U86" s="133">
        <f>+O76</f>
        <v>10389.83</v>
      </c>
      <c r="V86" s="133">
        <f>+O83</f>
        <v>12203.39</v>
      </c>
      <c r="W86" s="133">
        <f>+O94</f>
        <v>11661.02</v>
      </c>
      <c r="AB86" s="369"/>
      <c r="AC86" s="368" t="s">
        <v>712</v>
      </c>
      <c r="AD86" s="374" t="s">
        <v>977</v>
      </c>
      <c r="AE86" s="144">
        <f>3800/1.18</f>
        <v>3220.3389830508477</v>
      </c>
      <c r="AF86" s="388"/>
    </row>
    <row r="87" spans="1:32" ht="31" x14ac:dyDescent="0.3">
      <c r="A87" s="180"/>
      <c r="B87" s="180"/>
      <c r="C87" s="180"/>
      <c r="D87" s="181">
        <v>30929</v>
      </c>
      <c r="E87" s="181">
        <v>53781</v>
      </c>
      <c r="F87" s="181">
        <v>322</v>
      </c>
      <c r="G87" s="182" t="s">
        <v>721</v>
      </c>
      <c r="H87" s="182" t="s">
        <v>743</v>
      </c>
      <c r="I87" s="183">
        <v>45984</v>
      </c>
      <c r="J87" s="183">
        <v>45984</v>
      </c>
      <c r="K87" s="181">
        <v>0</v>
      </c>
      <c r="L87" s="181">
        <v>840</v>
      </c>
      <c r="M87" s="182" t="s">
        <v>744</v>
      </c>
      <c r="N87" s="184"/>
      <c r="O87" s="185">
        <v>3754.24</v>
      </c>
      <c r="P87" s="185"/>
      <c r="Q87" s="185">
        <v>-5174570.08</v>
      </c>
      <c r="R87" s="32"/>
      <c r="S87" s="168" t="s">
        <v>756</v>
      </c>
      <c r="W87" s="194"/>
      <c r="AB87" s="369"/>
      <c r="AC87" s="370" t="s">
        <v>713</v>
      </c>
      <c r="AD87" s="375" t="s">
        <v>978</v>
      </c>
      <c r="AE87" s="144">
        <f>2400/1.18</f>
        <v>2033.898305084746</v>
      </c>
      <c r="AF87" s="388"/>
    </row>
    <row r="88" spans="1:32" ht="31" x14ac:dyDescent="0.3">
      <c r="A88" s="180"/>
      <c r="B88" s="180"/>
      <c r="C88" s="180"/>
      <c r="D88" s="181">
        <v>30305</v>
      </c>
      <c r="E88" s="181">
        <v>52410</v>
      </c>
      <c r="F88" s="181">
        <v>313</v>
      </c>
      <c r="G88" s="182" t="s">
        <v>721</v>
      </c>
      <c r="H88" s="182" t="s">
        <v>722</v>
      </c>
      <c r="I88" s="189">
        <v>45991</v>
      </c>
      <c r="J88" s="189">
        <v>45991</v>
      </c>
      <c r="K88" s="190">
        <v>0</v>
      </c>
      <c r="L88" s="190">
        <v>1296</v>
      </c>
      <c r="M88" s="191" t="s">
        <v>723</v>
      </c>
      <c r="N88" s="192"/>
      <c r="O88" s="193">
        <v>63</v>
      </c>
      <c r="P88" s="185"/>
      <c r="Q88" s="185">
        <v>-5174633.08</v>
      </c>
      <c r="R88" s="32"/>
      <c r="AB88" s="369"/>
      <c r="AC88" s="368" t="s">
        <v>704</v>
      </c>
      <c r="AD88" s="374" t="s">
        <v>971</v>
      </c>
      <c r="AE88" s="144"/>
      <c r="AF88" s="388"/>
    </row>
    <row r="89" spans="1:32" ht="47" thickBot="1" x14ac:dyDescent="0.35">
      <c r="A89" s="180"/>
      <c r="B89" s="180"/>
      <c r="C89" s="180"/>
      <c r="D89" s="181">
        <v>30971</v>
      </c>
      <c r="E89" s="181">
        <v>53888</v>
      </c>
      <c r="F89" s="181">
        <v>323</v>
      </c>
      <c r="G89" s="182" t="s">
        <v>721</v>
      </c>
      <c r="H89" s="182" t="s">
        <v>722</v>
      </c>
      <c r="I89" s="189">
        <v>45993</v>
      </c>
      <c r="J89" s="189">
        <v>45993</v>
      </c>
      <c r="K89" s="190">
        <v>0</v>
      </c>
      <c r="L89" s="190">
        <v>6303</v>
      </c>
      <c r="M89" s="191" t="s">
        <v>723</v>
      </c>
      <c r="N89" s="192"/>
      <c r="O89" s="193">
        <v>63</v>
      </c>
      <c r="P89" s="185"/>
      <c r="Q89" s="185">
        <v>-5174696.08</v>
      </c>
      <c r="R89" s="32"/>
      <c r="AB89" s="371"/>
      <c r="AC89" s="372" t="s">
        <v>714</v>
      </c>
      <c r="AD89" s="376" t="s">
        <v>971</v>
      </c>
      <c r="AE89" s="144"/>
      <c r="AF89" s="389"/>
    </row>
    <row r="90" spans="1:32" ht="31.5" thickBot="1" x14ac:dyDescent="0.35">
      <c r="A90" s="180"/>
      <c r="B90" s="180"/>
      <c r="C90" s="180"/>
      <c r="D90" s="181">
        <v>30973</v>
      </c>
      <c r="E90" s="181">
        <v>53894</v>
      </c>
      <c r="F90" s="181">
        <v>323</v>
      </c>
      <c r="G90" s="182" t="s">
        <v>721</v>
      </c>
      <c r="H90" s="182" t="s">
        <v>726</v>
      </c>
      <c r="I90" s="189">
        <v>45994</v>
      </c>
      <c r="J90" s="189">
        <v>45994</v>
      </c>
      <c r="K90" s="190">
        <v>0</v>
      </c>
      <c r="L90" s="190">
        <v>9130</v>
      </c>
      <c r="M90" s="191" t="s">
        <v>727</v>
      </c>
      <c r="N90" s="192"/>
      <c r="O90" s="193">
        <v>2420</v>
      </c>
      <c r="P90" s="185"/>
      <c r="Q90" s="185">
        <v>-5177116.08</v>
      </c>
      <c r="R90" s="32"/>
      <c r="AA90" s="307">
        <f>+AE90</f>
        <v>47957.627118644072</v>
      </c>
      <c r="AB90" s="373" t="s">
        <v>655</v>
      </c>
      <c r="AC90" s="372" t="s">
        <v>715</v>
      </c>
      <c r="AD90" s="376" t="s">
        <v>979</v>
      </c>
      <c r="AE90" s="144">
        <f>56590/1.18</f>
        <v>47957.627118644072</v>
      </c>
      <c r="AF90" s="372"/>
    </row>
    <row r="91" spans="1:32" ht="62" x14ac:dyDescent="0.3">
      <c r="A91" s="180"/>
      <c r="B91" s="180"/>
      <c r="C91" s="180"/>
      <c r="D91" s="181">
        <v>30943</v>
      </c>
      <c r="E91" s="181">
        <v>53815</v>
      </c>
      <c r="F91" s="181">
        <v>323</v>
      </c>
      <c r="G91" s="182" t="s">
        <v>721</v>
      </c>
      <c r="H91" s="182" t="s">
        <v>736</v>
      </c>
      <c r="I91" s="189">
        <v>46001</v>
      </c>
      <c r="J91" s="189">
        <v>46001</v>
      </c>
      <c r="K91" s="190">
        <v>0</v>
      </c>
      <c r="L91" s="190">
        <v>6901</v>
      </c>
      <c r="M91" s="191" t="s">
        <v>737</v>
      </c>
      <c r="N91" s="192"/>
      <c r="O91" s="193">
        <v>950</v>
      </c>
      <c r="P91" s="185"/>
      <c r="Q91" s="185">
        <v>-5178066.08</v>
      </c>
      <c r="R91" s="32"/>
      <c r="AB91" s="390" t="s">
        <v>654</v>
      </c>
      <c r="AC91" s="368" t="s">
        <v>716</v>
      </c>
      <c r="AD91" s="374" t="s">
        <v>972</v>
      </c>
      <c r="AE91" s="144"/>
      <c r="AF91" s="368" t="s">
        <v>973</v>
      </c>
    </row>
    <row r="92" spans="1:32" ht="31" x14ac:dyDescent="0.3">
      <c r="A92" s="180"/>
      <c r="B92" s="180"/>
      <c r="C92" s="180"/>
      <c r="D92" s="181">
        <v>30945</v>
      </c>
      <c r="E92" s="181">
        <v>53821</v>
      </c>
      <c r="F92" s="181">
        <v>323</v>
      </c>
      <c r="G92" s="182" t="s">
        <v>721</v>
      </c>
      <c r="H92" s="182" t="s">
        <v>732</v>
      </c>
      <c r="I92" s="189">
        <v>46002</v>
      </c>
      <c r="J92" s="189">
        <v>46002</v>
      </c>
      <c r="K92" s="190">
        <v>0</v>
      </c>
      <c r="L92" s="190">
        <v>101</v>
      </c>
      <c r="M92" s="191" t="s">
        <v>733</v>
      </c>
      <c r="N92" s="192"/>
      <c r="O92" s="193">
        <v>180990.68</v>
      </c>
      <c r="P92" s="185"/>
      <c r="Q92" s="185">
        <v>-5359056.76</v>
      </c>
      <c r="R92" s="32"/>
      <c r="AA92" s="307">
        <f>SUM(AE91:AE94)</f>
        <v>18249.152542372882</v>
      </c>
      <c r="AB92" s="391"/>
      <c r="AC92" s="370" t="s">
        <v>717</v>
      </c>
      <c r="AD92" s="375" t="s">
        <v>980</v>
      </c>
      <c r="AE92" s="144">
        <f>13958/1.18</f>
        <v>11828.813559322034</v>
      </c>
      <c r="AF92" s="370" t="s">
        <v>700</v>
      </c>
    </row>
    <row r="93" spans="1:32" ht="31" x14ac:dyDescent="0.3">
      <c r="A93" s="180"/>
      <c r="B93" s="180"/>
      <c r="C93" s="180"/>
      <c r="D93" s="181">
        <v>30928</v>
      </c>
      <c r="E93" s="181">
        <v>53778</v>
      </c>
      <c r="F93" s="181">
        <v>322</v>
      </c>
      <c r="G93" s="182" t="s">
        <v>721</v>
      </c>
      <c r="H93" s="182" t="s">
        <v>730</v>
      </c>
      <c r="I93" s="189">
        <v>46003</v>
      </c>
      <c r="J93" s="189">
        <v>46003</v>
      </c>
      <c r="K93" s="190">
        <v>0</v>
      </c>
      <c r="L93" s="190">
        <v>1564</v>
      </c>
      <c r="M93" s="191" t="s">
        <v>731</v>
      </c>
      <c r="N93" s="192"/>
      <c r="O93" s="193">
        <v>12838.98</v>
      </c>
      <c r="P93" s="185"/>
      <c r="Q93" s="185">
        <v>-5371895.7400000002</v>
      </c>
      <c r="R93" s="32"/>
      <c r="AB93" s="391"/>
      <c r="AC93" s="368" t="s">
        <v>718</v>
      </c>
      <c r="AD93" s="374" t="s">
        <v>981</v>
      </c>
      <c r="AE93" s="144">
        <f>4176/1.18</f>
        <v>3538.9830508474579</v>
      </c>
      <c r="AF93" s="368" t="s">
        <v>700</v>
      </c>
    </row>
    <row r="94" spans="1:32" ht="31" x14ac:dyDescent="0.3">
      <c r="A94" s="180"/>
      <c r="B94" s="180"/>
      <c r="C94" s="180"/>
      <c r="D94" s="181">
        <v>30930</v>
      </c>
      <c r="E94" s="181">
        <v>53784</v>
      </c>
      <c r="F94" s="181">
        <v>322</v>
      </c>
      <c r="G94" s="182" t="s">
        <v>721</v>
      </c>
      <c r="H94" s="182" t="s">
        <v>734</v>
      </c>
      <c r="I94" s="189">
        <v>46006</v>
      </c>
      <c r="J94" s="189">
        <v>46006</v>
      </c>
      <c r="K94" s="190">
        <v>0</v>
      </c>
      <c r="L94" s="190">
        <v>3138</v>
      </c>
      <c r="M94" s="191" t="s">
        <v>735</v>
      </c>
      <c r="N94" s="192"/>
      <c r="O94" s="193">
        <v>11661.02</v>
      </c>
      <c r="P94" s="185"/>
      <c r="Q94" s="185">
        <v>-5383556.7599999998</v>
      </c>
      <c r="R94" s="32"/>
      <c r="AB94" s="391"/>
      <c r="AC94" s="370" t="s">
        <v>908</v>
      </c>
      <c r="AD94" s="375" t="s">
        <v>982</v>
      </c>
      <c r="AE94" s="144">
        <f>3400/1.18</f>
        <v>2881.3559322033898</v>
      </c>
      <c r="AF94" s="370" t="s">
        <v>700</v>
      </c>
    </row>
    <row r="95" spans="1:32" x14ac:dyDescent="0.3">
      <c r="A95" s="180"/>
      <c r="B95" s="180"/>
      <c r="C95" s="180"/>
      <c r="D95" s="181">
        <v>30931</v>
      </c>
      <c r="E95" s="181">
        <v>53787</v>
      </c>
      <c r="F95" s="181">
        <v>322</v>
      </c>
      <c r="G95" s="182" t="s">
        <v>721</v>
      </c>
      <c r="H95" s="182" t="s">
        <v>745</v>
      </c>
      <c r="I95" s="189">
        <v>46006</v>
      </c>
      <c r="J95" s="189">
        <v>46006</v>
      </c>
      <c r="K95" s="190">
        <v>0</v>
      </c>
      <c r="L95" s="190">
        <v>349</v>
      </c>
      <c r="M95" s="191" t="s">
        <v>746</v>
      </c>
      <c r="N95" s="192"/>
      <c r="O95" s="193">
        <v>6779.66</v>
      </c>
      <c r="P95" s="185"/>
      <c r="Q95" s="185">
        <v>-5390336.4199999999</v>
      </c>
      <c r="R95" s="32"/>
    </row>
    <row r="96" spans="1:32" x14ac:dyDescent="0.3">
      <c r="A96" s="180"/>
      <c r="B96" s="180"/>
      <c r="C96" s="180"/>
      <c r="D96" s="181">
        <v>30932</v>
      </c>
      <c r="E96" s="181">
        <v>53790</v>
      </c>
      <c r="F96" s="181">
        <v>322</v>
      </c>
      <c r="G96" s="182" t="s">
        <v>721</v>
      </c>
      <c r="H96" s="182" t="s">
        <v>745</v>
      </c>
      <c r="I96" s="189">
        <v>46006</v>
      </c>
      <c r="J96" s="189">
        <v>46006</v>
      </c>
      <c r="K96" s="190">
        <v>0</v>
      </c>
      <c r="L96" s="190">
        <v>350</v>
      </c>
      <c r="M96" s="191" t="s">
        <v>746</v>
      </c>
      <c r="N96" s="192"/>
      <c r="O96" s="193">
        <v>8474.58</v>
      </c>
      <c r="P96" s="185"/>
      <c r="Q96" s="185">
        <v>-5398811</v>
      </c>
      <c r="R96" s="32"/>
    </row>
    <row r="97" spans="1:18" x14ac:dyDescent="0.3">
      <c r="A97" s="180"/>
      <c r="B97" s="180"/>
      <c r="C97" s="180"/>
      <c r="D97" s="181">
        <v>31005</v>
      </c>
      <c r="E97" s="181">
        <v>53990</v>
      </c>
      <c r="F97" s="181">
        <v>324</v>
      </c>
      <c r="G97" s="182" t="s">
        <v>721</v>
      </c>
      <c r="H97" s="182" t="s">
        <v>728</v>
      </c>
      <c r="I97" s="189">
        <v>46011</v>
      </c>
      <c r="J97" s="189">
        <v>46011</v>
      </c>
      <c r="K97" s="190">
        <v>0</v>
      </c>
      <c r="L97" s="190">
        <v>31</v>
      </c>
      <c r="M97" s="191" t="s">
        <v>729</v>
      </c>
      <c r="N97" s="192"/>
      <c r="O97" s="193">
        <v>75014.95</v>
      </c>
      <c r="P97" s="185"/>
      <c r="Q97" s="185">
        <v>-5473825.9500000002</v>
      </c>
      <c r="R97" s="32"/>
    </row>
    <row r="98" spans="1:18" x14ac:dyDescent="0.3">
      <c r="A98" s="180"/>
      <c r="B98" s="180"/>
      <c r="C98" s="180"/>
      <c r="D98" s="181">
        <v>30955</v>
      </c>
      <c r="E98" s="181">
        <v>53849</v>
      </c>
      <c r="F98" s="181">
        <v>323</v>
      </c>
      <c r="G98" s="182" t="s">
        <v>721</v>
      </c>
      <c r="H98" s="182" t="s">
        <v>738</v>
      </c>
      <c r="I98" s="189">
        <v>46012</v>
      </c>
      <c r="J98" s="189">
        <v>46012</v>
      </c>
      <c r="K98" s="190">
        <v>4407</v>
      </c>
      <c r="L98" s="190">
        <v>9564</v>
      </c>
      <c r="M98" s="191" t="s">
        <v>739</v>
      </c>
      <c r="N98" s="192"/>
      <c r="O98" s="193">
        <v>570</v>
      </c>
      <c r="P98" s="185"/>
      <c r="Q98" s="185">
        <v>-5474395.9500000002</v>
      </c>
      <c r="R98" s="32"/>
    </row>
    <row r="99" spans="1:18" x14ac:dyDescent="0.3">
      <c r="A99" s="180"/>
      <c r="B99" s="180"/>
      <c r="C99" s="180"/>
      <c r="D99" s="181">
        <v>31376</v>
      </c>
      <c r="E99" s="181">
        <v>54539</v>
      </c>
      <c r="F99" s="181">
        <v>329</v>
      </c>
      <c r="G99" s="184"/>
      <c r="H99" s="182" t="s">
        <v>747</v>
      </c>
      <c r="I99" s="189">
        <v>46022</v>
      </c>
      <c r="J99" s="189">
        <v>46022</v>
      </c>
      <c r="K99" s="190">
        <v>0</v>
      </c>
      <c r="L99" s="190">
        <v>0</v>
      </c>
      <c r="M99" s="191" t="s">
        <v>748</v>
      </c>
      <c r="N99" s="192"/>
      <c r="O99" s="193">
        <v>1600</v>
      </c>
      <c r="P99" s="185"/>
      <c r="Q99" s="185">
        <v>-5475995.9500000002</v>
      </c>
      <c r="R99" s="32"/>
    </row>
    <row r="100" spans="1:18" ht="15.5" x14ac:dyDescent="0.35">
      <c r="A100" s="186" t="s">
        <v>688</v>
      </c>
      <c r="B100" s="186" t="s">
        <v>749</v>
      </c>
      <c r="C100" s="187" t="s">
        <v>750</v>
      </c>
      <c r="D100" s="181"/>
      <c r="E100" s="181"/>
      <c r="F100" s="181"/>
      <c r="G100" s="184"/>
      <c r="H100" s="184"/>
      <c r="I100" s="183"/>
      <c r="J100" s="183"/>
      <c r="K100" s="181"/>
      <c r="L100" s="181"/>
      <c r="M100" s="184"/>
      <c r="N100" s="184"/>
      <c r="O100" s="185"/>
      <c r="P100" s="185" t="s">
        <v>751</v>
      </c>
      <c r="Q100" s="185"/>
      <c r="R100" s="32"/>
    </row>
    <row r="105" spans="1:18" x14ac:dyDescent="0.3">
      <c r="E105" s="125" t="s">
        <v>403</v>
      </c>
    </row>
    <row r="107" spans="1:18" x14ac:dyDescent="0.3">
      <c r="E107" t="s">
        <v>757</v>
      </c>
    </row>
    <row r="109" spans="1:18" x14ac:dyDescent="0.3">
      <c r="F109" t="s">
        <v>758</v>
      </c>
      <c r="G109">
        <v>2025</v>
      </c>
    </row>
    <row r="110" spans="1:18" x14ac:dyDescent="0.3">
      <c r="E110" t="s">
        <v>759</v>
      </c>
      <c r="F110" t="s">
        <v>760</v>
      </c>
      <c r="G110" t="s">
        <v>761</v>
      </c>
      <c r="H110" t="s">
        <v>762</v>
      </c>
      <c r="I110" t="s">
        <v>763</v>
      </c>
      <c r="J110" t="s">
        <v>764</v>
      </c>
      <c r="K110" t="s">
        <v>646</v>
      </c>
      <c r="L110" t="s">
        <v>765</v>
      </c>
      <c r="M110" t="s">
        <v>766</v>
      </c>
      <c r="N110" t="s">
        <v>767</v>
      </c>
    </row>
    <row r="112" spans="1:18" x14ac:dyDescent="0.3">
      <c r="E112" t="s">
        <v>768</v>
      </c>
      <c r="K112" s="133">
        <v>-5225</v>
      </c>
      <c r="L112" s="133">
        <v>5225</v>
      </c>
      <c r="M112">
        <v>0</v>
      </c>
      <c r="Q112" s="27">
        <f>+L112/1.18</f>
        <v>4427.9661016949158</v>
      </c>
    </row>
    <row r="113" spans="5:22" x14ac:dyDescent="0.3">
      <c r="E113" t="s">
        <v>769</v>
      </c>
      <c r="F113" t="s">
        <v>770</v>
      </c>
      <c r="G113">
        <v>248471</v>
      </c>
      <c r="H113">
        <v>248471</v>
      </c>
      <c r="I113" s="143">
        <v>45669</v>
      </c>
      <c r="J113" s="143">
        <v>45669</v>
      </c>
      <c r="K113" s="133">
        <v>35995</v>
      </c>
      <c r="L113">
        <v>0</v>
      </c>
      <c r="M113" s="133">
        <v>41220</v>
      </c>
      <c r="N113" t="s">
        <v>771</v>
      </c>
      <c r="Q113" s="27">
        <f t="shared" ref="Q113:Q135" si="13">+L113/1.18</f>
        <v>0</v>
      </c>
    </row>
    <row r="114" spans="5:22" x14ac:dyDescent="0.3">
      <c r="E114" t="s">
        <v>772</v>
      </c>
      <c r="F114" t="s">
        <v>773</v>
      </c>
      <c r="H114">
        <v>60169</v>
      </c>
      <c r="I114" s="143">
        <v>45670</v>
      </c>
      <c r="J114" s="143">
        <v>45670</v>
      </c>
      <c r="K114" s="133">
        <v>-5225</v>
      </c>
      <c r="L114" s="133">
        <v>41220</v>
      </c>
      <c r="M114">
        <v>0</v>
      </c>
      <c r="N114" t="s">
        <v>774</v>
      </c>
      <c r="Q114" s="27">
        <f t="shared" si="13"/>
        <v>34932.203389830509</v>
      </c>
    </row>
    <row r="115" spans="5:22" x14ac:dyDescent="0.3">
      <c r="E115" t="s">
        <v>769</v>
      </c>
      <c r="F115" t="s">
        <v>775</v>
      </c>
      <c r="G115">
        <v>213421</v>
      </c>
      <c r="H115">
        <v>213421</v>
      </c>
      <c r="I115" s="143">
        <v>45698</v>
      </c>
      <c r="J115" s="143">
        <v>45698</v>
      </c>
      <c r="K115" s="133">
        <v>35865</v>
      </c>
      <c r="L115">
        <v>0</v>
      </c>
      <c r="M115" s="133">
        <v>41090</v>
      </c>
      <c r="N115" t="s">
        <v>771</v>
      </c>
      <c r="Q115" s="27">
        <f t="shared" si="13"/>
        <v>0</v>
      </c>
    </row>
    <row r="116" spans="5:22" x14ac:dyDescent="0.3">
      <c r="E116" t="s">
        <v>772</v>
      </c>
      <c r="F116" t="s">
        <v>776</v>
      </c>
      <c r="H116">
        <v>60174</v>
      </c>
      <c r="I116" s="143">
        <v>45699</v>
      </c>
      <c r="J116" s="143">
        <v>45699</v>
      </c>
      <c r="K116" s="133">
        <v>-5225</v>
      </c>
      <c r="L116" s="133">
        <v>41090</v>
      </c>
      <c r="M116">
        <v>0</v>
      </c>
      <c r="N116" t="s">
        <v>774</v>
      </c>
      <c r="Q116" s="27">
        <f t="shared" si="13"/>
        <v>34822.03389830509</v>
      </c>
    </row>
    <row r="117" spans="5:22" x14ac:dyDescent="0.3">
      <c r="E117" t="s">
        <v>769</v>
      </c>
      <c r="F117" t="s">
        <v>777</v>
      </c>
      <c r="G117">
        <v>60980</v>
      </c>
      <c r="H117">
        <v>60980</v>
      </c>
      <c r="I117" s="143">
        <v>45729</v>
      </c>
      <c r="J117" s="143">
        <v>45729</v>
      </c>
      <c r="K117" s="133">
        <v>30980</v>
      </c>
      <c r="L117">
        <v>0</v>
      </c>
      <c r="M117" s="133">
        <v>36205</v>
      </c>
      <c r="N117" t="s">
        <v>771</v>
      </c>
      <c r="Q117" s="27">
        <f t="shared" si="13"/>
        <v>0</v>
      </c>
    </row>
    <row r="118" spans="5:22" x14ac:dyDescent="0.3">
      <c r="E118" t="s">
        <v>772</v>
      </c>
      <c r="F118" t="s">
        <v>778</v>
      </c>
      <c r="H118">
        <v>60181</v>
      </c>
      <c r="I118" s="143">
        <v>45730</v>
      </c>
      <c r="J118" s="143">
        <v>45730</v>
      </c>
      <c r="K118" s="133">
        <v>-5225</v>
      </c>
      <c r="L118" s="133">
        <v>36205</v>
      </c>
      <c r="M118">
        <v>0</v>
      </c>
      <c r="N118" t="s">
        <v>774</v>
      </c>
      <c r="Q118" s="27">
        <f t="shared" si="13"/>
        <v>30682.203389830509</v>
      </c>
    </row>
    <row r="119" spans="5:22" x14ac:dyDescent="0.3">
      <c r="E119" t="s">
        <v>769</v>
      </c>
      <c r="F119" t="s">
        <v>779</v>
      </c>
      <c r="G119">
        <v>53097</v>
      </c>
      <c r="H119">
        <v>53097</v>
      </c>
      <c r="I119" s="143">
        <v>45751</v>
      </c>
      <c r="J119" s="143">
        <v>45751</v>
      </c>
      <c r="K119" s="133">
        <v>37360</v>
      </c>
      <c r="L119">
        <v>0</v>
      </c>
      <c r="M119" s="133">
        <v>42585</v>
      </c>
      <c r="N119" t="s">
        <v>771</v>
      </c>
      <c r="Q119" s="27">
        <f t="shared" si="13"/>
        <v>0</v>
      </c>
    </row>
    <row r="120" spans="5:22" x14ac:dyDescent="0.3">
      <c r="E120" t="s">
        <v>772</v>
      </c>
      <c r="F120" t="s">
        <v>780</v>
      </c>
      <c r="H120">
        <v>60184</v>
      </c>
      <c r="I120" s="143">
        <v>45753</v>
      </c>
      <c r="J120" s="143">
        <v>45753</v>
      </c>
      <c r="K120" s="133">
        <v>-5225</v>
      </c>
      <c r="L120" s="133">
        <v>42585</v>
      </c>
      <c r="M120">
        <v>0</v>
      </c>
      <c r="N120" t="s">
        <v>774</v>
      </c>
      <c r="Q120" s="27">
        <f t="shared" si="13"/>
        <v>36088.983050847462</v>
      </c>
    </row>
    <row r="121" spans="5:22" x14ac:dyDescent="0.3">
      <c r="E121" t="s">
        <v>769</v>
      </c>
      <c r="F121" t="s">
        <v>781</v>
      </c>
      <c r="G121">
        <v>152577</v>
      </c>
      <c r="H121">
        <v>152577</v>
      </c>
      <c r="I121" s="143">
        <v>45783</v>
      </c>
      <c r="J121" s="143">
        <v>45783</v>
      </c>
      <c r="K121" s="133">
        <v>43700</v>
      </c>
      <c r="L121">
        <v>0</v>
      </c>
      <c r="M121" s="133">
        <v>48925</v>
      </c>
      <c r="N121" t="s">
        <v>771</v>
      </c>
      <c r="Q121" s="27">
        <f t="shared" si="13"/>
        <v>0</v>
      </c>
    </row>
    <row r="122" spans="5:22" x14ac:dyDescent="0.3">
      <c r="E122" t="s">
        <v>772</v>
      </c>
      <c r="F122" t="s">
        <v>782</v>
      </c>
      <c r="H122">
        <v>60190</v>
      </c>
      <c r="I122" s="143">
        <v>45784</v>
      </c>
      <c r="J122" s="143">
        <v>45784</v>
      </c>
      <c r="K122" s="133">
        <v>-5225</v>
      </c>
      <c r="L122" s="133">
        <v>48925</v>
      </c>
      <c r="M122">
        <v>0</v>
      </c>
      <c r="N122" t="s">
        <v>774</v>
      </c>
      <c r="Q122" s="27">
        <f t="shared" si="13"/>
        <v>41461.864406779663</v>
      </c>
    </row>
    <row r="123" spans="5:22" x14ac:dyDescent="0.3">
      <c r="E123" t="s">
        <v>769</v>
      </c>
      <c r="F123" t="s">
        <v>783</v>
      </c>
      <c r="G123">
        <v>15938</v>
      </c>
      <c r="H123">
        <v>15938</v>
      </c>
      <c r="I123" s="143">
        <v>45811</v>
      </c>
      <c r="J123" s="143">
        <v>45811</v>
      </c>
      <c r="K123" s="133">
        <v>44060</v>
      </c>
      <c r="L123">
        <v>0</v>
      </c>
      <c r="M123" s="133">
        <v>49285</v>
      </c>
      <c r="N123" t="s">
        <v>771</v>
      </c>
      <c r="Q123" s="27">
        <f t="shared" si="13"/>
        <v>0</v>
      </c>
    </row>
    <row r="124" spans="5:22" x14ac:dyDescent="0.3">
      <c r="E124" t="s">
        <v>772</v>
      </c>
      <c r="F124" t="s">
        <v>784</v>
      </c>
      <c r="H124">
        <v>60194</v>
      </c>
      <c r="I124" s="143">
        <v>45812</v>
      </c>
      <c r="J124" s="143">
        <v>45812</v>
      </c>
      <c r="K124" s="133">
        <v>-5225</v>
      </c>
      <c r="L124" s="133">
        <v>49285</v>
      </c>
      <c r="M124">
        <v>0</v>
      </c>
      <c r="N124" t="s">
        <v>774</v>
      </c>
      <c r="Q124" s="27">
        <f t="shared" si="13"/>
        <v>41766.949152542373</v>
      </c>
    </row>
    <row r="125" spans="5:22" x14ac:dyDescent="0.3">
      <c r="E125" t="s">
        <v>769</v>
      </c>
      <c r="F125" t="s">
        <v>785</v>
      </c>
      <c r="G125">
        <v>191195</v>
      </c>
      <c r="H125">
        <v>191195</v>
      </c>
      <c r="I125" s="143">
        <v>45844</v>
      </c>
      <c r="J125" s="143">
        <v>45844</v>
      </c>
      <c r="K125" s="133">
        <v>45145</v>
      </c>
      <c r="L125">
        <v>0</v>
      </c>
      <c r="M125" s="133">
        <v>50370</v>
      </c>
      <c r="N125" t="s">
        <v>771</v>
      </c>
      <c r="Q125" s="27">
        <f t="shared" si="13"/>
        <v>0</v>
      </c>
    </row>
    <row r="126" spans="5:22" x14ac:dyDescent="0.3">
      <c r="E126" t="s">
        <v>772</v>
      </c>
      <c r="F126" t="s">
        <v>786</v>
      </c>
      <c r="H126">
        <v>60200</v>
      </c>
      <c r="I126" s="143">
        <v>45845</v>
      </c>
      <c r="J126" s="143">
        <v>45845</v>
      </c>
      <c r="K126" s="133">
        <v>-5225</v>
      </c>
      <c r="L126" s="133">
        <v>50370</v>
      </c>
      <c r="M126">
        <v>0</v>
      </c>
      <c r="N126" t="s">
        <v>774</v>
      </c>
      <c r="Q126" s="27">
        <f t="shared" si="13"/>
        <v>42686.4406779661</v>
      </c>
      <c r="S126" s="123">
        <v>45930</v>
      </c>
      <c r="T126" s="123">
        <v>45961</v>
      </c>
      <c r="U126" s="123">
        <v>45991</v>
      </c>
      <c r="V126" s="123">
        <v>46022</v>
      </c>
    </row>
    <row r="127" spans="5:22" x14ac:dyDescent="0.3">
      <c r="E127" t="s">
        <v>769</v>
      </c>
      <c r="F127" t="s">
        <v>787</v>
      </c>
      <c r="G127">
        <v>16919</v>
      </c>
      <c r="H127">
        <v>16919</v>
      </c>
      <c r="I127" s="143">
        <v>45875</v>
      </c>
      <c r="J127" s="143">
        <v>45875</v>
      </c>
      <c r="K127" s="133">
        <v>47925</v>
      </c>
      <c r="L127">
        <v>0</v>
      </c>
      <c r="M127" s="133">
        <v>53150</v>
      </c>
      <c r="N127" t="s">
        <v>771</v>
      </c>
      <c r="Q127" s="27">
        <f t="shared" si="13"/>
        <v>0</v>
      </c>
      <c r="S127" s="31">
        <f>+Q130</f>
        <v>47838.983050847462</v>
      </c>
      <c r="T127" s="31">
        <f>+Q132</f>
        <v>38148.305084745763</v>
      </c>
      <c r="U127" s="31">
        <f>+Q134</f>
        <v>40618.644067796609</v>
      </c>
      <c r="V127" s="31">
        <f>+M135/1.18</f>
        <v>43029.661016949154</v>
      </c>
    </row>
    <row r="128" spans="5:22" x14ac:dyDescent="0.3">
      <c r="E128" t="s">
        <v>772</v>
      </c>
      <c r="F128" t="s">
        <v>788</v>
      </c>
      <c r="H128">
        <v>60205</v>
      </c>
      <c r="I128" s="143">
        <v>45876</v>
      </c>
      <c r="J128" s="143">
        <v>45876</v>
      </c>
      <c r="K128" s="133">
        <v>-5225</v>
      </c>
      <c r="L128" s="133">
        <v>53150</v>
      </c>
      <c r="M128">
        <v>0</v>
      </c>
      <c r="N128" t="s">
        <v>774</v>
      </c>
      <c r="Q128" s="27">
        <f t="shared" si="13"/>
        <v>45042.372881355936</v>
      </c>
    </row>
    <row r="129" spans="1:17" x14ac:dyDescent="0.3">
      <c r="E129" t="s">
        <v>769</v>
      </c>
      <c r="F129" t="s">
        <v>789</v>
      </c>
      <c r="G129">
        <v>93283</v>
      </c>
      <c r="H129">
        <v>93283</v>
      </c>
      <c r="I129" s="143">
        <v>45908</v>
      </c>
      <c r="J129" s="143">
        <v>45908</v>
      </c>
      <c r="K129" s="133">
        <v>51225</v>
      </c>
      <c r="L129">
        <v>0</v>
      </c>
      <c r="M129" s="133">
        <v>56450</v>
      </c>
      <c r="N129" t="s">
        <v>771</v>
      </c>
      <c r="Q129" s="27">
        <f t="shared" si="13"/>
        <v>0</v>
      </c>
    </row>
    <row r="130" spans="1:17" x14ac:dyDescent="0.3">
      <c r="E130" t="s">
        <v>772</v>
      </c>
      <c r="F130" t="s">
        <v>790</v>
      </c>
      <c r="H130">
        <v>60210</v>
      </c>
      <c r="I130" s="143">
        <v>45909</v>
      </c>
      <c r="J130" s="143">
        <v>45909</v>
      </c>
      <c r="K130" s="133">
        <v>-5225</v>
      </c>
      <c r="L130" s="133">
        <v>56450</v>
      </c>
      <c r="M130">
        <v>0</v>
      </c>
      <c r="N130" t="s">
        <v>774</v>
      </c>
      <c r="Q130" s="27">
        <f t="shared" si="13"/>
        <v>47838.983050847462</v>
      </c>
    </row>
    <row r="131" spans="1:17" x14ac:dyDescent="0.3">
      <c r="E131" t="s">
        <v>769</v>
      </c>
      <c r="F131" t="s">
        <v>791</v>
      </c>
      <c r="G131">
        <v>138989</v>
      </c>
      <c r="H131">
        <v>138989</v>
      </c>
      <c r="I131" s="143">
        <v>45946</v>
      </c>
      <c r="J131" s="143">
        <v>45946</v>
      </c>
      <c r="K131" s="133">
        <v>39790</v>
      </c>
      <c r="L131">
        <v>0</v>
      </c>
      <c r="M131" s="133">
        <v>45015</v>
      </c>
      <c r="N131" t="s">
        <v>771</v>
      </c>
      <c r="Q131" s="27">
        <f t="shared" si="13"/>
        <v>0</v>
      </c>
    </row>
    <row r="132" spans="1:17" x14ac:dyDescent="0.3">
      <c r="E132" t="s">
        <v>772</v>
      </c>
      <c r="F132" t="s">
        <v>792</v>
      </c>
      <c r="H132">
        <v>60215</v>
      </c>
      <c r="I132" s="143">
        <v>45947</v>
      </c>
      <c r="J132" s="143">
        <v>45947</v>
      </c>
      <c r="K132" s="133">
        <v>-5225</v>
      </c>
      <c r="L132" s="133">
        <v>45015</v>
      </c>
      <c r="M132">
        <v>0</v>
      </c>
      <c r="N132" t="s">
        <v>774</v>
      </c>
      <c r="Q132" s="27">
        <f t="shared" si="13"/>
        <v>38148.305084745763</v>
      </c>
    </row>
    <row r="133" spans="1:17" x14ac:dyDescent="0.3">
      <c r="E133" t="s">
        <v>769</v>
      </c>
      <c r="F133" t="s">
        <v>793</v>
      </c>
      <c r="G133">
        <v>70126</v>
      </c>
      <c r="H133">
        <v>70126</v>
      </c>
      <c r="I133" s="143">
        <v>45970</v>
      </c>
      <c r="J133" s="143">
        <v>45970</v>
      </c>
      <c r="K133" s="133">
        <v>42705</v>
      </c>
      <c r="L133">
        <v>0</v>
      </c>
      <c r="M133" s="133">
        <v>47930</v>
      </c>
      <c r="N133" t="s">
        <v>771</v>
      </c>
      <c r="Q133" s="27">
        <f t="shared" si="13"/>
        <v>0</v>
      </c>
    </row>
    <row r="134" spans="1:17" x14ac:dyDescent="0.3">
      <c r="E134" t="s">
        <v>772</v>
      </c>
      <c r="F134" t="s">
        <v>794</v>
      </c>
      <c r="H134">
        <v>60219</v>
      </c>
      <c r="I134" s="143">
        <v>45971</v>
      </c>
      <c r="J134" s="143">
        <v>45971</v>
      </c>
      <c r="K134" s="133">
        <v>-5225</v>
      </c>
      <c r="L134" s="133">
        <v>47930</v>
      </c>
      <c r="M134">
        <v>0</v>
      </c>
      <c r="N134" t="s">
        <v>774</v>
      </c>
      <c r="Q134" s="27">
        <f t="shared" si="13"/>
        <v>40618.644067796609</v>
      </c>
    </row>
    <row r="135" spans="1:17" x14ac:dyDescent="0.3">
      <c r="E135" t="s">
        <v>795</v>
      </c>
      <c r="F135" t="s">
        <v>796</v>
      </c>
      <c r="G135">
        <v>144104</v>
      </c>
      <c r="H135">
        <v>144104</v>
      </c>
      <c r="I135" s="143">
        <v>46007</v>
      </c>
      <c r="J135" s="143">
        <v>46007</v>
      </c>
      <c r="K135" s="133">
        <v>45550</v>
      </c>
      <c r="L135">
        <v>0</v>
      </c>
      <c r="M135" s="133">
        <v>50775</v>
      </c>
      <c r="N135" t="s">
        <v>771</v>
      </c>
      <c r="Q135" s="27">
        <f t="shared" si="13"/>
        <v>0</v>
      </c>
    </row>
    <row r="136" spans="1:17" x14ac:dyDescent="0.3">
      <c r="E136" s="133">
        <v>45550</v>
      </c>
      <c r="F136" s="133">
        <v>517450</v>
      </c>
      <c r="G136" s="133">
        <v>563000</v>
      </c>
    </row>
    <row r="137" spans="1:17" x14ac:dyDescent="0.3">
      <c r="E137" t="s">
        <v>797</v>
      </c>
    </row>
    <row r="144" spans="1:17" ht="15.5" x14ac:dyDescent="0.35">
      <c r="A144" s="195" t="s">
        <v>798</v>
      </c>
      <c r="B144" s="196" t="s">
        <v>799</v>
      </c>
      <c r="C144" s="195">
        <v>830</v>
      </c>
      <c r="D144" s="197"/>
      <c r="E144" s="197"/>
      <c r="F144" s="197"/>
      <c r="G144" s="198"/>
      <c r="H144" s="198"/>
      <c r="I144" s="199"/>
      <c r="J144" s="199"/>
      <c r="K144" s="197"/>
      <c r="L144" s="197"/>
      <c r="M144" s="198"/>
      <c r="N144" s="198"/>
      <c r="O144" s="200"/>
      <c r="P144" s="200"/>
      <c r="Q144" s="200"/>
    </row>
    <row r="145" spans="1:17" x14ac:dyDescent="0.3">
      <c r="A145" s="201" t="s">
        <v>500</v>
      </c>
      <c r="B145" s="156"/>
      <c r="C145" s="202" t="s">
        <v>660</v>
      </c>
      <c r="D145" s="157"/>
      <c r="E145" s="157"/>
      <c r="F145" s="157"/>
      <c r="G145" s="158"/>
      <c r="H145" s="158"/>
      <c r="I145" s="123"/>
      <c r="J145" s="123"/>
      <c r="K145" s="157"/>
      <c r="L145" s="157"/>
      <c r="M145" s="158"/>
      <c r="N145" s="158"/>
      <c r="O145" s="124"/>
      <c r="P145" s="124"/>
      <c r="Q145" s="124">
        <v>-711102.25</v>
      </c>
    </row>
    <row r="146" spans="1:17" x14ac:dyDescent="0.3">
      <c r="A146" s="156"/>
      <c r="B146" s="156"/>
      <c r="C146" s="156"/>
      <c r="D146" s="157">
        <v>3257</v>
      </c>
      <c r="E146" s="157">
        <v>6931</v>
      </c>
      <c r="F146" s="157">
        <v>111</v>
      </c>
      <c r="G146" s="203" t="s">
        <v>800</v>
      </c>
      <c r="H146" s="203" t="s">
        <v>801</v>
      </c>
      <c r="I146" s="123">
        <v>45658</v>
      </c>
      <c r="J146" s="123">
        <v>45658</v>
      </c>
      <c r="K146" s="157">
        <v>0</v>
      </c>
      <c r="L146" s="157">
        <v>2194</v>
      </c>
      <c r="M146" s="203" t="s">
        <v>802</v>
      </c>
      <c r="N146" s="158"/>
      <c r="O146" s="124">
        <v>680</v>
      </c>
      <c r="P146" s="124"/>
      <c r="Q146" s="124">
        <v>-711782.25</v>
      </c>
    </row>
    <row r="147" spans="1:17" x14ac:dyDescent="0.3">
      <c r="A147" s="156"/>
      <c r="B147" s="156"/>
      <c r="C147" s="156"/>
      <c r="D147" s="157">
        <v>3263</v>
      </c>
      <c r="E147" s="157">
        <v>6948</v>
      </c>
      <c r="F147" s="157">
        <v>111</v>
      </c>
      <c r="G147" s="203" t="s">
        <v>800</v>
      </c>
      <c r="H147" s="203" t="s">
        <v>803</v>
      </c>
      <c r="I147" s="123">
        <v>45662</v>
      </c>
      <c r="J147" s="123">
        <v>45662</v>
      </c>
      <c r="K147" s="157">
        <v>0</v>
      </c>
      <c r="L147" s="157">
        <v>10078</v>
      </c>
      <c r="M147" s="203" t="s">
        <v>804</v>
      </c>
      <c r="N147" s="158"/>
      <c r="O147" s="124">
        <v>12344.92</v>
      </c>
      <c r="P147" s="124"/>
      <c r="Q147" s="124">
        <v>-724127.17</v>
      </c>
    </row>
    <row r="148" spans="1:17" x14ac:dyDescent="0.3">
      <c r="A148" s="156"/>
      <c r="B148" s="156"/>
      <c r="C148" s="156"/>
      <c r="D148" s="157">
        <v>3555</v>
      </c>
      <c r="E148" s="157">
        <v>7559</v>
      </c>
      <c r="F148" s="157">
        <v>120</v>
      </c>
      <c r="G148" s="203" t="s">
        <v>800</v>
      </c>
      <c r="H148" s="203" t="s">
        <v>805</v>
      </c>
      <c r="I148" s="123">
        <v>45666</v>
      </c>
      <c r="J148" s="123">
        <v>45666</v>
      </c>
      <c r="K148" s="157">
        <v>0</v>
      </c>
      <c r="L148" s="157">
        <v>250000760</v>
      </c>
      <c r="M148" s="203" t="s">
        <v>806</v>
      </c>
      <c r="N148" s="158"/>
      <c r="O148" s="124">
        <v>4067.8</v>
      </c>
      <c r="P148" s="124"/>
      <c r="Q148" s="124">
        <v>-728194.97</v>
      </c>
    </row>
    <row r="149" spans="1:17" x14ac:dyDescent="0.3">
      <c r="A149" s="156"/>
      <c r="B149" s="156"/>
      <c r="C149" s="156"/>
      <c r="D149" s="157">
        <v>3557</v>
      </c>
      <c r="E149" s="157">
        <v>7565</v>
      </c>
      <c r="F149" s="157">
        <v>120</v>
      </c>
      <c r="G149" s="203" t="s">
        <v>800</v>
      </c>
      <c r="H149" s="203" t="s">
        <v>805</v>
      </c>
      <c r="I149" s="123">
        <v>45666</v>
      </c>
      <c r="J149" s="123">
        <v>45666</v>
      </c>
      <c r="K149" s="157">
        <v>0</v>
      </c>
      <c r="L149" s="157">
        <v>250000761</v>
      </c>
      <c r="M149" s="203" t="s">
        <v>807</v>
      </c>
      <c r="N149" s="158"/>
      <c r="O149" s="124">
        <v>2877.12</v>
      </c>
      <c r="P149" s="124"/>
      <c r="Q149" s="124">
        <v>-731072.09</v>
      </c>
    </row>
    <row r="150" spans="1:17" x14ac:dyDescent="0.3">
      <c r="A150" s="156"/>
      <c r="B150" s="156"/>
      <c r="C150" s="156"/>
      <c r="D150" s="157">
        <v>3278</v>
      </c>
      <c r="E150" s="157">
        <v>6990</v>
      </c>
      <c r="F150" s="157">
        <v>111</v>
      </c>
      <c r="G150" s="203" t="s">
        <v>800</v>
      </c>
      <c r="H150" s="203" t="s">
        <v>808</v>
      </c>
      <c r="I150" s="123">
        <v>45669</v>
      </c>
      <c r="J150" s="123">
        <v>45669</v>
      </c>
      <c r="K150" s="157">
        <v>0</v>
      </c>
      <c r="L150" s="157">
        <v>132980</v>
      </c>
      <c r="M150" s="203" t="s">
        <v>804</v>
      </c>
      <c r="N150" s="158"/>
      <c r="O150" s="124">
        <v>37877.120000000003</v>
      </c>
      <c r="P150" s="124"/>
      <c r="Q150" s="124">
        <v>-768949.21</v>
      </c>
    </row>
    <row r="151" spans="1:17" x14ac:dyDescent="0.3">
      <c r="A151" s="156"/>
      <c r="B151" s="156"/>
      <c r="C151" s="156"/>
      <c r="D151" s="157">
        <v>3299</v>
      </c>
      <c r="E151" s="157">
        <v>7052</v>
      </c>
      <c r="F151" s="157">
        <v>111</v>
      </c>
      <c r="G151" s="203" t="s">
        <v>800</v>
      </c>
      <c r="H151" s="203" t="s">
        <v>809</v>
      </c>
      <c r="I151" s="123">
        <v>45679</v>
      </c>
      <c r="J151" s="123">
        <v>45679</v>
      </c>
      <c r="K151" s="157">
        <v>0</v>
      </c>
      <c r="L151" s="157">
        <v>60026</v>
      </c>
      <c r="M151" s="203" t="s">
        <v>810</v>
      </c>
      <c r="N151" s="158"/>
      <c r="O151" s="124">
        <v>740.68</v>
      </c>
      <c r="P151" s="124"/>
      <c r="Q151" s="124">
        <v>-769689.89</v>
      </c>
    </row>
    <row r="152" spans="1:17" x14ac:dyDescent="0.3">
      <c r="A152" s="156"/>
      <c r="B152" s="156"/>
      <c r="C152" s="156"/>
      <c r="D152" s="157">
        <v>3564</v>
      </c>
      <c r="E152" s="157">
        <v>7586</v>
      </c>
      <c r="F152" s="157">
        <v>121</v>
      </c>
      <c r="G152" s="203" t="s">
        <v>800</v>
      </c>
      <c r="H152" s="203" t="s">
        <v>801</v>
      </c>
      <c r="I152" s="123">
        <v>45691</v>
      </c>
      <c r="J152" s="123">
        <v>45691</v>
      </c>
      <c r="K152" s="157">
        <v>0</v>
      </c>
      <c r="L152" s="157">
        <v>2204</v>
      </c>
      <c r="M152" s="203" t="s">
        <v>811</v>
      </c>
      <c r="N152" s="158"/>
      <c r="O152" s="124">
        <v>680</v>
      </c>
      <c r="P152" s="124"/>
      <c r="Q152" s="124">
        <v>-770369.89</v>
      </c>
    </row>
    <row r="153" spans="1:17" x14ac:dyDescent="0.3">
      <c r="A153" s="156"/>
      <c r="B153" s="156"/>
      <c r="C153" s="156"/>
      <c r="D153" s="157">
        <v>3565</v>
      </c>
      <c r="E153" s="157">
        <v>7589</v>
      </c>
      <c r="F153" s="157">
        <v>121</v>
      </c>
      <c r="G153" s="203" t="s">
        <v>800</v>
      </c>
      <c r="H153" s="203" t="s">
        <v>812</v>
      </c>
      <c r="I153" s="123">
        <v>45691</v>
      </c>
      <c r="J153" s="123">
        <v>45691</v>
      </c>
      <c r="K153" s="157">
        <v>0</v>
      </c>
      <c r="L153" s="157">
        <v>104130</v>
      </c>
      <c r="M153" s="203" t="s">
        <v>798</v>
      </c>
      <c r="N153" s="158"/>
      <c r="O153" s="124">
        <v>3389.83</v>
      </c>
      <c r="P153" s="124"/>
      <c r="Q153" s="124">
        <v>-773759.72</v>
      </c>
    </row>
    <row r="154" spans="1:17" x14ac:dyDescent="0.3">
      <c r="A154" s="156"/>
      <c r="B154" s="156"/>
      <c r="C154" s="156"/>
      <c r="D154" s="157">
        <v>3567</v>
      </c>
      <c r="E154" s="157">
        <v>7595</v>
      </c>
      <c r="F154" s="157">
        <v>121</v>
      </c>
      <c r="G154" s="203" t="s">
        <v>800</v>
      </c>
      <c r="H154" s="203" t="s">
        <v>813</v>
      </c>
      <c r="I154" s="123">
        <v>45692</v>
      </c>
      <c r="J154" s="123">
        <v>45692</v>
      </c>
      <c r="K154" s="157">
        <v>0</v>
      </c>
      <c r="L154" s="157">
        <v>61399</v>
      </c>
      <c r="M154" s="203" t="s">
        <v>806</v>
      </c>
      <c r="N154" s="158"/>
      <c r="O154" s="124">
        <v>3262.71</v>
      </c>
      <c r="P154" s="124"/>
      <c r="Q154" s="124">
        <v>-777022.43</v>
      </c>
    </row>
    <row r="155" spans="1:17" x14ac:dyDescent="0.3">
      <c r="A155" s="156"/>
      <c r="B155" s="156"/>
      <c r="C155" s="156"/>
      <c r="D155" s="157">
        <v>3568</v>
      </c>
      <c r="E155" s="157">
        <v>7598</v>
      </c>
      <c r="F155" s="157">
        <v>121</v>
      </c>
      <c r="G155" s="203" t="s">
        <v>800</v>
      </c>
      <c r="H155" s="203" t="s">
        <v>814</v>
      </c>
      <c r="I155" s="123">
        <v>45692</v>
      </c>
      <c r="J155" s="123">
        <v>45692</v>
      </c>
      <c r="K155" s="157">
        <v>0</v>
      </c>
      <c r="L155" s="157">
        <v>3098</v>
      </c>
      <c r="M155" s="203" t="s">
        <v>804</v>
      </c>
      <c r="N155" s="158"/>
      <c r="O155" s="124">
        <v>4152.54</v>
      </c>
      <c r="P155" s="124"/>
      <c r="Q155" s="124">
        <v>-781174.97</v>
      </c>
    </row>
    <row r="156" spans="1:17" x14ac:dyDescent="0.3">
      <c r="A156" s="156"/>
      <c r="B156" s="156"/>
      <c r="C156" s="156"/>
      <c r="D156" s="157">
        <v>3572</v>
      </c>
      <c r="E156" s="157">
        <v>7609</v>
      </c>
      <c r="F156" s="157">
        <v>121</v>
      </c>
      <c r="G156" s="203" t="s">
        <v>800</v>
      </c>
      <c r="H156" s="203" t="s">
        <v>803</v>
      </c>
      <c r="I156" s="123">
        <v>45694</v>
      </c>
      <c r="J156" s="123">
        <v>45694</v>
      </c>
      <c r="K156" s="157">
        <v>0</v>
      </c>
      <c r="L156" s="157">
        <v>10079</v>
      </c>
      <c r="M156" s="203" t="s">
        <v>806</v>
      </c>
      <c r="N156" s="158"/>
      <c r="O156" s="124">
        <v>6013.56</v>
      </c>
      <c r="P156" s="124"/>
      <c r="Q156" s="124">
        <v>-787188.53</v>
      </c>
    </row>
    <row r="157" spans="1:17" x14ac:dyDescent="0.3">
      <c r="A157" s="156"/>
      <c r="B157" s="156"/>
      <c r="C157" s="156"/>
      <c r="D157" s="157">
        <v>3577</v>
      </c>
      <c r="E157" s="157">
        <v>7624</v>
      </c>
      <c r="F157" s="157">
        <v>121</v>
      </c>
      <c r="G157" s="203" t="s">
        <v>800</v>
      </c>
      <c r="H157" s="203" t="s">
        <v>815</v>
      </c>
      <c r="I157" s="123">
        <v>45697</v>
      </c>
      <c r="J157" s="123">
        <v>45697</v>
      </c>
      <c r="K157" s="157">
        <v>0</v>
      </c>
      <c r="L157" s="157">
        <v>60253</v>
      </c>
      <c r="M157" s="203" t="s">
        <v>806</v>
      </c>
      <c r="N157" s="158"/>
      <c r="O157" s="124">
        <v>3050.85</v>
      </c>
      <c r="P157" s="124"/>
      <c r="Q157" s="124">
        <v>-790239.38</v>
      </c>
    </row>
    <row r="158" spans="1:17" x14ac:dyDescent="0.3">
      <c r="A158" s="156"/>
      <c r="B158" s="156"/>
      <c r="C158" s="156"/>
      <c r="D158" s="157">
        <v>3588</v>
      </c>
      <c r="E158" s="157">
        <v>7655</v>
      </c>
      <c r="F158" s="157">
        <v>121</v>
      </c>
      <c r="G158" s="203" t="s">
        <v>800</v>
      </c>
      <c r="H158" s="203" t="s">
        <v>816</v>
      </c>
      <c r="I158" s="123">
        <v>45705</v>
      </c>
      <c r="J158" s="123">
        <v>45705</v>
      </c>
      <c r="K158" s="157">
        <v>0</v>
      </c>
      <c r="L158" s="157">
        <v>138250</v>
      </c>
      <c r="M158" s="203" t="s">
        <v>817</v>
      </c>
      <c r="N158" s="158"/>
      <c r="O158" s="124">
        <v>1623.73</v>
      </c>
      <c r="P158" s="124"/>
      <c r="Q158" s="124">
        <v>-791863.11</v>
      </c>
    </row>
    <row r="159" spans="1:17" x14ac:dyDescent="0.3">
      <c r="A159" s="156"/>
      <c r="B159" s="156"/>
      <c r="C159" s="156"/>
      <c r="D159" s="157">
        <v>3571</v>
      </c>
      <c r="E159" s="157">
        <v>7606</v>
      </c>
      <c r="F159" s="157">
        <v>121</v>
      </c>
      <c r="G159" s="203" t="s">
        <v>800</v>
      </c>
      <c r="H159" s="203" t="s">
        <v>808</v>
      </c>
      <c r="I159" s="123">
        <v>45706</v>
      </c>
      <c r="J159" s="123">
        <v>45706</v>
      </c>
      <c r="K159" s="157">
        <v>0</v>
      </c>
      <c r="L159" s="157">
        <v>132982</v>
      </c>
      <c r="M159" s="203" t="s">
        <v>806</v>
      </c>
      <c r="N159" s="158"/>
      <c r="O159" s="124">
        <v>28872.03</v>
      </c>
      <c r="P159" s="124"/>
      <c r="Q159" s="124">
        <v>-820735.14</v>
      </c>
    </row>
    <row r="160" spans="1:17" x14ac:dyDescent="0.3">
      <c r="A160" s="156"/>
      <c r="B160" s="156"/>
      <c r="C160" s="156"/>
      <c r="D160" s="157">
        <v>3595</v>
      </c>
      <c r="E160" s="157">
        <v>7676</v>
      </c>
      <c r="F160" s="157">
        <v>121</v>
      </c>
      <c r="G160" s="203" t="s">
        <v>800</v>
      </c>
      <c r="H160" s="203" t="s">
        <v>805</v>
      </c>
      <c r="I160" s="123">
        <v>45715</v>
      </c>
      <c r="J160" s="123">
        <v>45715</v>
      </c>
      <c r="K160" s="157">
        <v>0</v>
      </c>
      <c r="L160" s="157">
        <v>250005516</v>
      </c>
      <c r="M160" s="203" t="s">
        <v>806</v>
      </c>
      <c r="N160" s="158"/>
      <c r="O160" s="124">
        <v>5508.48</v>
      </c>
      <c r="P160" s="124"/>
      <c r="Q160" s="124">
        <v>-826243.62</v>
      </c>
    </row>
    <row r="161" spans="1:17" x14ac:dyDescent="0.3">
      <c r="A161" s="156"/>
      <c r="B161" s="156"/>
      <c r="C161" s="156"/>
      <c r="D161" s="157">
        <v>3596</v>
      </c>
      <c r="E161" s="157">
        <v>7679</v>
      </c>
      <c r="F161" s="157">
        <v>121</v>
      </c>
      <c r="G161" s="203" t="s">
        <v>800</v>
      </c>
      <c r="H161" s="203" t="s">
        <v>805</v>
      </c>
      <c r="I161" s="123">
        <v>45715</v>
      </c>
      <c r="J161" s="123">
        <v>45715</v>
      </c>
      <c r="K161" s="157">
        <v>0</v>
      </c>
      <c r="L161" s="157">
        <v>250005518</v>
      </c>
      <c r="M161" s="203" t="s">
        <v>818</v>
      </c>
      <c r="N161" s="158"/>
      <c r="O161" s="124">
        <v>2406.7800000000002</v>
      </c>
      <c r="P161" s="124"/>
      <c r="Q161" s="124">
        <v>-828650.4</v>
      </c>
    </row>
    <row r="162" spans="1:17" x14ac:dyDescent="0.3">
      <c r="A162" s="156"/>
      <c r="B162" s="156"/>
      <c r="C162" s="156"/>
      <c r="D162" s="157">
        <v>3597</v>
      </c>
      <c r="E162" s="157">
        <v>7682</v>
      </c>
      <c r="F162" s="157">
        <v>121</v>
      </c>
      <c r="G162" s="203" t="s">
        <v>800</v>
      </c>
      <c r="H162" s="203" t="s">
        <v>805</v>
      </c>
      <c r="I162" s="123">
        <v>45715</v>
      </c>
      <c r="J162" s="123">
        <v>45715</v>
      </c>
      <c r="K162" s="157">
        <v>0</v>
      </c>
      <c r="L162" s="157">
        <v>250005520</v>
      </c>
      <c r="M162" s="203" t="s">
        <v>818</v>
      </c>
      <c r="N162" s="158"/>
      <c r="O162" s="124">
        <v>2707.63</v>
      </c>
      <c r="P162" s="124"/>
      <c r="Q162" s="124">
        <v>-831358.03</v>
      </c>
    </row>
    <row r="163" spans="1:17" x14ac:dyDescent="0.3">
      <c r="A163" s="156"/>
      <c r="B163" s="156"/>
      <c r="C163" s="156"/>
      <c r="D163" s="157">
        <v>3598</v>
      </c>
      <c r="E163" s="157">
        <v>7685</v>
      </c>
      <c r="F163" s="157">
        <v>121</v>
      </c>
      <c r="G163" s="203" t="s">
        <v>800</v>
      </c>
      <c r="H163" s="203" t="s">
        <v>805</v>
      </c>
      <c r="I163" s="123">
        <v>45715</v>
      </c>
      <c r="J163" s="123">
        <v>45715</v>
      </c>
      <c r="K163" s="157">
        <v>0</v>
      </c>
      <c r="L163" s="157">
        <v>250005522</v>
      </c>
      <c r="M163" s="203" t="s">
        <v>806</v>
      </c>
      <c r="N163" s="158"/>
      <c r="O163" s="124">
        <v>5593.22</v>
      </c>
      <c r="P163" s="124"/>
      <c r="Q163" s="124">
        <v>-836951.25</v>
      </c>
    </row>
    <row r="164" spans="1:17" x14ac:dyDescent="0.3">
      <c r="A164" s="156"/>
      <c r="B164" s="156"/>
      <c r="C164" s="156"/>
      <c r="D164" s="157">
        <v>3599</v>
      </c>
      <c r="E164" s="157">
        <v>7688</v>
      </c>
      <c r="F164" s="157">
        <v>121</v>
      </c>
      <c r="G164" s="203" t="s">
        <v>800</v>
      </c>
      <c r="H164" s="203" t="s">
        <v>805</v>
      </c>
      <c r="I164" s="123">
        <v>45715</v>
      </c>
      <c r="J164" s="123">
        <v>45715</v>
      </c>
      <c r="K164" s="157">
        <v>0</v>
      </c>
      <c r="L164" s="157">
        <v>250005527</v>
      </c>
      <c r="M164" s="203" t="s">
        <v>818</v>
      </c>
      <c r="N164" s="158"/>
      <c r="O164" s="124">
        <v>3216.1</v>
      </c>
      <c r="P164" s="124"/>
      <c r="Q164" s="124">
        <v>-840167.35</v>
      </c>
    </row>
    <row r="165" spans="1:17" x14ac:dyDescent="0.3">
      <c r="A165" s="156"/>
      <c r="B165" s="156"/>
      <c r="C165" s="156"/>
      <c r="D165" s="157">
        <v>7419</v>
      </c>
      <c r="E165" s="157">
        <v>12600</v>
      </c>
      <c r="F165" s="157">
        <v>144</v>
      </c>
      <c r="G165" s="203" t="s">
        <v>800</v>
      </c>
      <c r="H165" s="203" t="s">
        <v>805</v>
      </c>
      <c r="I165" s="123">
        <v>45715</v>
      </c>
      <c r="J165" s="123">
        <v>45715</v>
      </c>
      <c r="K165" s="157">
        <v>0</v>
      </c>
      <c r="L165" s="157">
        <v>250005514</v>
      </c>
      <c r="M165" s="203" t="s">
        <v>806</v>
      </c>
      <c r="N165" s="158"/>
      <c r="O165" s="124">
        <v>11355.93</v>
      </c>
      <c r="P165" s="124"/>
      <c r="Q165" s="124">
        <v>-851523.28</v>
      </c>
    </row>
    <row r="166" spans="1:17" x14ac:dyDescent="0.3">
      <c r="A166" s="156"/>
      <c r="B166" s="156"/>
      <c r="C166" s="156"/>
      <c r="D166" s="157">
        <v>5815</v>
      </c>
      <c r="E166" s="157">
        <v>10142</v>
      </c>
      <c r="F166" s="157">
        <v>129</v>
      </c>
      <c r="G166" s="203" t="s">
        <v>800</v>
      </c>
      <c r="H166" s="203" t="s">
        <v>801</v>
      </c>
      <c r="I166" s="123">
        <v>45718</v>
      </c>
      <c r="J166" s="123">
        <v>45718</v>
      </c>
      <c r="K166" s="157">
        <v>0</v>
      </c>
      <c r="L166" s="157">
        <v>2213</v>
      </c>
      <c r="M166" s="203" t="s">
        <v>819</v>
      </c>
      <c r="N166" s="158"/>
      <c r="O166" s="124">
        <v>680</v>
      </c>
      <c r="P166" s="124"/>
      <c r="Q166" s="124">
        <v>-852203.28</v>
      </c>
    </row>
    <row r="167" spans="1:17" x14ac:dyDescent="0.3">
      <c r="A167" s="156"/>
      <c r="B167" s="156"/>
      <c r="C167" s="156"/>
      <c r="D167" s="157">
        <v>5819</v>
      </c>
      <c r="E167" s="157">
        <v>10154</v>
      </c>
      <c r="F167" s="157">
        <v>129</v>
      </c>
      <c r="G167" s="203" t="s">
        <v>800</v>
      </c>
      <c r="H167" s="203" t="s">
        <v>813</v>
      </c>
      <c r="I167" s="123">
        <v>45719</v>
      </c>
      <c r="J167" s="123">
        <v>45719</v>
      </c>
      <c r="K167" s="157">
        <v>0</v>
      </c>
      <c r="L167" s="157">
        <v>61419</v>
      </c>
      <c r="M167" s="203" t="s">
        <v>818</v>
      </c>
      <c r="N167" s="158"/>
      <c r="O167" s="124">
        <v>2372.88</v>
      </c>
      <c r="P167" s="124"/>
      <c r="Q167" s="124">
        <v>-854576.16</v>
      </c>
    </row>
    <row r="168" spans="1:17" x14ac:dyDescent="0.3">
      <c r="A168" s="156"/>
      <c r="B168" s="156"/>
      <c r="C168" s="156"/>
      <c r="D168" s="157">
        <v>5828</v>
      </c>
      <c r="E168" s="157">
        <v>10178</v>
      </c>
      <c r="F168" s="157">
        <v>129</v>
      </c>
      <c r="G168" s="203" t="s">
        <v>800</v>
      </c>
      <c r="H168" s="203" t="s">
        <v>812</v>
      </c>
      <c r="I168" s="123">
        <v>45720</v>
      </c>
      <c r="J168" s="123">
        <v>45720</v>
      </c>
      <c r="K168" s="157">
        <v>0</v>
      </c>
      <c r="L168" s="157">
        <v>104148</v>
      </c>
      <c r="M168" s="203" t="s">
        <v>798</v>
      </c>
      <c r="N168" s="158"/>
      <c r="O168" s="124">
        <v>9322.0300000000007</v>
      </c>
      <c r="P168" s="124"/>
      <c r="Q168" s="124">
        <v>-863898.19</v>
      </c>
    </row>
    <row r="169" spans="1:17" x14ac:dyDescent="0.3">
      <c r="A169" s="156"/>
      <c r="B169" s="156"/>
      <c r="C169" s="156"/>
      <c r="D169" s="157">
        <v>5830</v>
      </c>
      <c r="E169" s="157">
        <v>10184</v>
      </c>
      <c r="F169" s="157">
        <v>129</v>
      </c>
      <c r="G169" s="203" t="s">
        <v>800</v>
      </c>
      <c r="H169" s="203" t="s">
        <v>803</v>
      </c>
      <c r="I169" s="123">
        <v>45725</v>
      </c>
      <c r="J169" s="123">
        <v>45725</v>
      </c>
      <c r="K169" s="157">
        <v>0</v>
      </c>
      <c r="L169" s="157">
        <v>10080</v>
      </c>
      <c r="M169" s="203" t="s">
        <v>818</v>
      </c>
      <c r="N169" s="158"/>
      <c r="O169" s="124">
        <v>4827.12</v>
      </c>
      <c r="P169" s="124"/>
      <c r="Q169" s="124">
        <v>-868725.31</v>
      </c>
    </row>
    <row r="170" spans="1:17" x14ac:dyDescent="0.3">
      <c r="A170" s="156"/>
      <c r="B170" s="156"/>
      <c r="C170" s="156"/>
      <c r="D170" s="157">
        <v>5832</v>
      </c>
      <c r="E170" s="157">
        <v>10190</v>
      </c>
      <c r="F170" s="157">
        <v>129</v>
      </c>
      <c r="G170" s="203" t="s">
        <v>800</v>
      </c>
      <c r="H170" s="203" t="s">
        <v>814</v>
      </c>
      <c r="I170" s="123">
        <v>45725</v>
      </c>
      <c r="J170" s="123">
        <v>45725</v>
      </c>
      <c r="K170" s="157">
        <v>0</v>
      </c>
      <c r="L170" s="157">
        <v>3102</v>
      </c>
      <c r="M170" s="203" t="s">
        <v>818</v>
      </c>
      <c r="N170" s="158"/>
      <c r="O170" s="124">
        <v>3050.85</v>
      </c>
      <c r="P170" s="124"/>
      <c r="Q170" s="124">
        <v>-871776.16</v>
      </c>
    </row>
    <row r="171" spans="1:17" x14ac:dyDescent="0.3">
      <c r="A171" s="156"/>
      <c r="B171" s="156"/>
      <c r="C171" s="156"/>
      <c r="D171" s="157">
        <v>5856</v>
      </c>
      <c r="E171" s="157">
        <v>10259</v>
      </c>
      <c r="F171" s="157">
        <v>129</v>
      </c>
      <c r="G171" s="203" t="s">
        <v>800</v>
      </c>
      <c r="H171" s="203" t="s">
        <v>809</v>
      </c>
      <c r="I171" s="123">
        <v>45735</v>
      </c>
      <c r="J171" s="123">
        <v>45735</v>
      </c>
      <c r="K171" s="157">
        <v>0</v>
      </c>
      <c r="L171" s="157">
        <v>60035</v>
      </c>
      <c r="M171" s="203" t="s">
        <v>810</v>
      </c>
      <c r="N171" s="158"/>
      <c r="O171" s="124">
        <v>1322.03</v>
      </c>
      <c r="P171" s="124"/>
      <c r="Q171" s="124">
        <v>-873098.19</v>
      </c>
    </row>
    <row r="172" spans="1:17" x14ac:dyDescent="0.3">
      <c r="A172" s="156"/>
      <c r="B172" s="156"/>
      <c r="C172" s="156"/>
      <c r="D172" s="157">
        <v>5827</v>
      </c>
      <c r="E172" s="157">
        <v>10175</v>
      </c>
      <c r="F172" s="157">
        <v>129</v>
      </c>
      <c r="G172" s="203" t="s">
        <v>800</v>
      </c>
      <c r="H172" s="203" t="s">
        <v>808</v>
      </c>
      <c r="I172" s="123">
        <v>45737</v>
      </c>
      <c r="J172" s="123">
        <v>45737</v>
      </c>
      <c r="K172" s="157">
        <v>0</v>
      </c>
      <c r="L172" s="157">
        <v>132986</v>
      </c>
      <c r="M172" s="203" t="s">
        <v>818</v>
      </c>
      <c r="N172" s="158"/>
      <c r="O172" s="124">
        <v>28957.63</v>
      </c>
      <c r="P172" s="124"/>
      <c r="Q172" s="124">
        <v>-902055.82</v>
      </c>
    </row>
    <row r="173" spans="1:17" x14ac:dyDescent="0.3">
      <c r="A173" s="156"/>
      <c r="B173" s="156"/>
      <c r="C173" s="156"/>
      <c r="D173" s="157">
        <v>5999</v>
      </c>
      <c r="E173" s="157">
        <v>10544</v>
      </c>
      <c r="F173" s="157">
        <v>136</v>
      </c>
      <c r="G173" s="203" t="s">
        <v>800</v>
      </c>
      <c r="H173" s="203" t="s">
        <v>813</v>
      </c>
      <c r="I173" s="123">
        <v>45749</v>
      </c>
      <c r="J173" s="123">
        <v>45749</v>
      </c>
      <c r="K173" s="157">
        <v>0</v>
      </c>
      <c r="L173" s="157">
        <v>61434</v>
      </c>
      <c r="M173" s="203" t="s">
        <v>820</v>
      </c>
      <c r="N173" s="158"/>
      <c r="O173" s="124">
        <v>2966.1</v>
      </c>
      <c r="P173" s="124"/>
      <c r="Q173" s="124">
        <v>-905021.92</v>
      </c>
    </row>
    <row r="174" spans="1:17" x14ac:dyDescent="0.3">
      <c r="A174" s="156"/>
      <c r="B174" s="156"/>
      <c r="C174" s="156"/>
      <c r="D174" s="157">
        <v>6000</v>
      </c>
      <c r="E174" s="157">
        <v>10547</v>
      </c>
      <c r="F174" s="157">
        <v>136</v>
      </c>
      <c r="G174" s="203" t="s">
        <v>800</v>
      </c>
      <c r="H174" s="203" t="s">
        <v>801</v>
      </c>
      <c r="I174" s="123">
        <v>45749</v>
      </c>
      <c r="J174" s="123">
        <v>45749</v>
      </c>
      <c r="K174" s="157">
        <v>0</v>
      </c>
      <c r="L174" s="157">
        <v>2221</v>
      </c>
      <c r="M174" s="203" t="s">
        <v>821</v>
      </c>
      <c r="N174" s="158"/>
      <c r="O174" s="124">
        <v>680</v>
      </c>
      <c r="P174" s="124"/>
      <c r="Q174" s="124">
        <v>-905701.92</v>
      </c>
    </row>
    <row r="175" spans="1:17" x14ac:dyDescent="0.3">
      <c r="A175" s="156"/>
      <c r="B175" s="156"/>
      <c r="C175" s="156"/>
      <c r="D175" s="157">
        <v>6001</v>
      </c>
      <c r="E175" s="157">
        <v>10550</v>
      </c>
      <c r="F175" s="157">
        <v>136</v>
      </c>
      <c r="G175" s="203" t="s">
        <v>800</v>
      </c>
      <c r="H175" s="203" t="s">
        <v>812</v>
      </c>
      <c r="I175" s="123">
        <v>45749</v>
      </c>
      <c r="J175" s="123">
        <v>45749</v>
      </c>
      <c r="K175" s="157">
        <v>0</v>
      </c>
      <c r="L175" s="157">
        <v>104170</v>
      </c>
      <c r="M175" s="203" t="s">
        <v>798</v>
      </c>
      <c r="N175" s="158"/>
      <c r="O175" s="124">
        <v>8559.32</v>
      </c>
      <c r="P175" s="124"/>
      <c r="Q175" s="124">
        <v>-914261.24</v>
      </c>
    </row>
    <row r="176" spans="1:17" x14ac:dyDescent="0.3">
      <c r="A176" s="156"/>
      <c r="B176" s="156"/>
      <c r="C176" s="156"/>
      <c r="D176" s="157">
        <v>6012</v>
      </c>
      <c r="E176" s="157">
        <v>10583</v>
      </c>
      <c r="F176" s="157">
        <v>136</v>
      </c>
      <c r="G176" s="203" t="s">
        <v>800</v>
      </c>
      <c r="H176" s="203" t="s">
        <v>808</v>
      </c>
      <c r="I176" s="123">
        <v>45754</v>
      </c>
      <c r="J176" s="123">
        <v>45754</v>
      </c>
      <c r="K176" s="157">
        <v>0</v>
      </c>
      <c r="L176" s="157">
        <v>132988</v>
      </c>
      <c r="M176" s="203" t="s">
        <v>822</v>
      </c>
      <c r="N176" s="158"/>
      <c r="O176" s="124">
        <v>1840.68</v>
      </c>
      <c r="P176" s="124"/>
      <c r="Q176" s="124">
        <v>-916101.92</v>
      </c>
    </row>
    <row r="177" spans="1:17" x14ac:dyDescent="0.3">
      <c r="A177" s="156"/>
      <c r="B177" s="156"/>
      <c r="C177" s="156"/>
      <c r="D177" s="157">
        <v>6018</v>
      </c>
      <c r="E177" s="157">
        <v>10600</v>
      </c>
      <c r="F177" s="157">
        <v>136</v>
      </c>
      <c r="G177" s="203" t="s">
        <v>800</v>
      </c>
      <c r="H177" s="203" t="s">
        <v>803</v>
      </c>
      <c r="I177" s="123">
        <v>45754</v>
      </c>
      <c r="J177" s="123">
        <v>45754</v>
      </c>
      <c r="K177" s="157">
        <v>0</v>
      </c>
      <c r="L177" s="157">
        <v>10081</v>
      </c>
      <c r="M177" s="203" t="s">
        <v>820</v>
      </c>
      <c r="N177" s="158"/>
      <c r="O177" s="124">
        <v>3687.75</v>
      </c>
      <c r="P177" s="124"/>
      <c r="Q177" s="124">
        <v>-919789.67</v>
      </c>
    </row>
    <row r="178" spans="1:17" x14ac:dyDescent="0.3">
      <c r="A178" s="156"/>
      <c r="B178" s="156"/>
      <c r="C178" s="156"/>
      <c r="D178" s="157">
        <v>6338</v>
      </c>
      <c r="E178" s="157">
        <v>11376</v>
      </c>
      <c r="F178" s="157">
        <v>143</v>
      </c>
      <c r="G178" s="203" t="s">
        <v>800</v>
      </c>
      <c r="H178" s="203" t="s">
        <v>809</v>
      </c>
      <c r="I178" s="123">
        <v>45755</v>
      </c>
      <c r="J178" s="123">
        <v>45755</v>
      </c>
      <c r="K178" s="157">
        <v>0</v>
      </c>
      <c r="L178" s="157">
        <v>60040</v>
      </c>
      <c r="M178" s="203" t="s">
        <v>810</v>
      </c>
      <c r="N178" s="158"/>
      <c r="O178" s="124">
        <v>338.98</v>
      </c>
      <c r="P178" s="124"/>
      <c r="Q178" s="124">
        <v>-920128.65</v>
      </c>
    </row>
    <row r="179" spans="1:17" x14ac:dyDescent="0.3">
      <c r="A179" s="156"/>
      <c r="B179" s="156"/>
      <c r="C179" s="156"/>
      <c r="D179" s="157">
        <v>6025</v>
      </c>
      <c r="E179" s="157">
        <v>10620</v>
      </c>
      <c r="F179" s="157">
        <v>136</v>
      </c>
      <c r="G179" s="203" t="s">
        <v>800</v>
      </c>
      <c r="H179" s="203" t="s">
        <v>814</v>
      </c>
      <c r="I179" s="123">
        <v>45759</v>
      </c>
      <c r="J179" s="123">
        <v>45759</v>
      </c>
      <c r="K179" s="157">
        <v>0</v>
      </c>
      <c r="L179" s="157">
        <v>3105</v>
      </c>
      <c r="M179" s="203" t="s">
        <v>820</v>
      </c>
      <c r="N179" s="158"/>
      <c r="O179" s="124">
        <v>3432.2</v>
      </c>
      <c r="P179" s="124"/>
      <c r="Q179" s="124">
        <v>-923560.85</v>
      </c>
    </row>
    <row r="180" spans="1:17" x14ac:dyDescent="0.3">
      <c r="A180" s="156"/>
      <c r="B180" s="156"/>
      <c r="C180" s="156"/>
      <c r="D180" s="157">
        <v>6013</v>
      </c>
      <c r="E180" s="157">
        <v>10586</v>
      </c>
      <c r="F180" s="157">
        <v>136</v>
      </c>
      <c r="G180" s="203" t="s">
        <v>800</v>
      </c>
      <c r="H180" s="203" t="s">
        <v>808</v>
      </c>
      <c r="I180" s="123">
        <v>45762</v>
      </c>
      <c r="J180" s="123">
        <v>45762</v>
      </c>
      <c r="K180" s="157">
        <v>0</v>
      </c>
      <c r="L180" s="157">
        <v>132989</v>
      </c>
      <c r="M180" s="203" t="s">
        <v>820</v>
      </c>
      <c r="N180" s="158"/>
      <c r="O180" s="124">
        <v>32366.95</v>
      </c>
      <c r="P180" s="124"/>
      <c r="Q180" s="124">
        <v>-955927.8</v>
      </c>
    </row>
    <row r="181" spans="1:17" x14ac:dyDescent="0.3">
      <c r="A181" s="156"/>
      <c r="B181" s="156"/>
      <c r="C181" s="156"/>
      <c r="D181" s="157">
        <v>6178</v>
      </c>
      <c r="E181" s="157">
        <v>10935</v>
      </c>
      <c r="F181" s="157">
        <v>142</v>
      </c>
      <c r="G181" s="203" t="s">
        <v>800</v>
      </c>
      <c r="H181" s="203" t="s">
        <v>813</v>
      </c>
      <c r="I181" s="123">
        <v>45781</v>
      </c>
      <c r="J181" s="123">
        <v>45781</v>
      </c>
      <c r="K181" s="157">
        <v>0</v>
      </c>
      <c r="L181" s="157">
        <v>61456</v>
      </c>
      <c r="M181" s="203" t="s">
        <v>823</v>
      </c>
      <c r="N181" s="158"/>
      <c r="O181" s="124">
        <v>2372.88</v>
      </c>
      <c r="P181" s="124"/>
      <c r="Q181" s="124">
        <v>-958300.68</v>
      </c>
    </row>
    <row r="182" spans="1:17" x14ac:dyDescent="0.3">
      <c r="A182" s="156"/>
      <c r="B182" s="156"/>
      <c r="C182" s="156"/>
      <c r="D182" s="157">
        <v>6339</v>
      </c>
      <c r="E182" s="157">
        <v>11379</v>
      </c>
      <c r="F182" s="157">
        <v>143</v>
      </c>
      <c r="G182" s="203" t="s">
        <v>800</v>
      </c>
      <c r="H182" s="203" t="s">
        <v>809</v>
      </c>
      <c r="I182" s="123">
        <v>45781</v>
      </c>
      <c r="J182" s="123">
        <v>45781</v>
      </c>
      <c r="K182" s="157">
        <v>0</v>
      </c>
      <c r="L182" s="157">
        <v>60049</v>
      </c>
      <c r="M182" s="203" t="s">
        <v>810</v>
      </c>
      <c r="N182" s="158"/>
      <c r="O182" s="124">
        <v>1440.68</v>
      </c>
      <c r="P182" s="124"/>
      <c r="Q182" s="124">
        <v>-959741.36</v>
      </c>
    </row>
    <row r="183" spans="1:17" x14ac:dyDescent="0.3">
      <c r="A183" s="156"/>
      <c r="B183" s="156"/>
      <c r="C183" s="156"/>
      <c r="D183" s="157">
        <v>6194</v>
      </c>
      <c r="E183" s="157">
        <v>10983</v>
      </c>
      <c r="F183" s="157">
        <v>142</v>
      </c>
      <c r="G183" s="203" t="s">
        <v>800</v>
      </c>
      <c r="H183" s="203" t="s">
        <v>812</v>
      </c>
      <c r="I183" s="123">
        <v>45782</v>
      </c>
      <c r="J183" s="123">
        <v>45782</v>
      </c>
      <c r="K183" s="157">
        <v>0</v>
      </c>
      <c r="L183" s="157">
        <v>104194</v>
      </c>
      <c r="M183" s="203" t="s">
        <v>798</v>
      </c>
      <c r="N183" s="158"/>
      <c r="O183" s="124">
        <v>4915.25</v>
      </c>
      <c r="P183" s="124"/>
      <c r="Q183" s="124">
        <v>-964656.61</v>
      </c>
    </row>
    <row r="184" spans="1:17" x14ac:dyDescent="0.3">
      <c r="A184" s="156"/>
      <c r="B184" s="156"/>
      <c r="C184" s="156"/>
      <c r="D184" s="157">
        <v>6195</v>
      </c>
      <c r="E184" s="157">
        <v>10986</v>
      </c>
      <c r="F184" s="157">
        <v>142</v>
      </c>
      <c r="G184" s="203" t="s">
        <v>800</v>
      </c>
      <c r="H184" s="203" t="s">
        <v>814</v>
      </c>
      <c r="I184" s="123">
        <v>45783</v>
      </c>
      <c r="J184" s="123">
        <v>45783</v>
      </c>
      <c r="K184" s="157">
        <v>0</v>
      </c>
      <c r="L184" s="157">
        <v>3110</v>
      </c>
      <c r="M184" s="203" t="s">
        <v>823</v>
      </c>
      <c r="N184" s="158"/>
      <c r="O184" s="124">
        <v>2711.86</v>
      </c>
      <c r="P184" s="124"/>
      <c r="Q184" s="124">
        <v>-967368.47</v>
      </c>
    </row>
    <row r="185" spans="1:17" x14ac:dyDescent="0.3">
      <c r="A185" s="156"/>
      <c r="B185" s="156"/>
      <c r="C185" s="156"/>
      <c r="D185" s="157">
        <v>6196</v>
      </c>
      <c r="E185" s="157">
        <v>10989</v>
      </c>
      <c r="F185" s="157">
        <v>142</v>
      </c>
      <c r="G185" s="203" t="s">
        <v>800</v>
      </c>
      <c r="H185" s="203" t="s">
        <v>803</v>
      </c>
      <c r="I185" s="123">
        <v>45784</v>
      </c>
      <c r="J185" s="123">
        <v>45784</v>
      </c>
      <c r="K185" s="157">
        <v>0</v>
      </c>
      <c r="L185" s="157">
        <v>10082</v>
      </c>
      <c r="M185" s="203" t="s">
        <v>823</v>
      </c>
      <c r="N185" s="158"/>
      <c r="O185" s="124">
        <v>15567.8</v>
      </c>
      <c r="P185" s="124"/>
      <c r="Q185" s="124">
        <v>-982936.27</v>
      </c>
    </row>
    <row r="186" spans="1:17" x14ac:dyDescent="0.3">
      <c r="A186" s="156"/>
      <c r="B186" s="156"/>
      <c r="C186" s="156"/>
      <c r="D186" s="157">
        <v>6197</v>
      </c>
      <c r="E186" s="157">
        <v>10992</v>
      </c>
      <c r="F186" s="157">
        <v>142</v>
      </c>
      <c r="G186" s="203" t="s">
        <v>800</v>
      </c>
      <c r="H186" s="203" t="s">
        <v>805</v>
      </c>
      <c r="I186" s="123">
        <v>45784</v>
      </c>
      <c r="J186" s="123">
        <v>45784</v>
      </c>
      <c r="K186" s="157">
        <v>0</v>
      </c>
      <c r="L186" s="157">
        <v>250012127</v>
      </c>
      <c r="M186" s="203" t="s">
        <v>820</v>
      </c>
      <c r="N186" s="158"/>
      <c r="O186" s="124">
        <v>6271.19</v>
      </c>
      <c r="P186" s="124"/>
      <c r="Q186" s="124">
        <v>-989207.46</v>
      </c>
    </row>
    <row r="187" spans="1:17" x14ac:dyDescent="0.3">
      <c r="A187" s="156"/>
      <c r="B187" s="156"/>
      <c r="C187" s="156"/>
      <c r="D187" s="157">
        <v>6198</v>
      </c>
      <c r="E187" s="157">
        <v>10995</v>
      </c>
      <c r="F187" s="157">
        <v>142</v>
      </c>
      <c r="G187" s="203" t="s">
        <v>800</v>
      </c>
      <c r="H187" s="203" t="s">
        <v>805</v>
      </c>
      <c r="I187" s="123">
        <v>45784</v>
      </c>
      <c r="J187" s="123">
        <v>45784</v>
      </c>
      <c r="K187" s="157">
        <v>0</v>
      </c>
      <c r="L187" s="157">
        <v>250012134</v>
      </c>
      <c r="M187" s="203" t="s">
        <v>820</v>
      </c>
      <c r="N187" s="158"/>
      <c r="O187" s="124">
        <v>3805.09</v>
      </c>
      <c r="P187" s="124"/>
      <c r="Q187" s="124">
        <v>-993012.55</v>
      </c>
    </row>
    <row r="188" spans="1:17" x14ac:dyDescent="0.3">
      <c r="A188" s="156"/>
      <c r="B188" s="156"/>
      <c r="C188" s="156"/>
      <c r="D188" s="157">
        <v>6199</v>
      </c>
      <c r="E188" s="157">
        <v>10998</v>
      </c>
      <c r="F188" s="157">
        <v>142</v>
      </c>
      <c r="G188" s="203" t="s">
        <v>800</v>
      </c>
      <c r="H188" s="203" t="s">
        <v>805</v>
      </c>
      <c r="I188" s="123">
        <v>45784</v>
      </c>
      <c r="J188" s="123">
        <v>45784</v>
      </c>
      <c r="K188" s="157">
        <v>0</v>
      </c>
      <c r="L188" s="157">
        <v>250012136</v>
      </c>
      <c r="M188" s="203" t="s">
        <v>823</v>
      </c>
      <c r="N188" s="158"/>
      <c r="O188" s="124">
        <v>4237.29</v>
      </c>
      <c r="P188" s="124"/>
      <c r="Q188" s="124">
        <v>-997249.84</v>
      </c>
    </row>
    <row r="189" spans="1:17" x14ac:dyDescent="0.3">
      <c r="A189" s="156"/>
      <c r="B189" s="156"/>
      <c r="C189" s="156"/>
      <c r="D189" s="157">
        <v>6200</v>
      </c>
      <c r="E189" s="157">
        <v>11001</v>
      </c>
      <c r="F189" s="157">
        <v>142</v>
      </c>
      <c r="G189" s="203" t="s">
        <v>800</v>
      </c>
      <c r="H189" s="203" t="s">
        <v>805</v>
      </c>
      <c r="I189" s="123">
        <v>45784</v>
      </c>
      <c r="J189" s="123">
        <v>45784</v>
      </c>
      <c r="K189" s="157">
        <v>0</v>
      </c>
      <c r="L189" s="157">
        <v>250012138</v>
      </c>
      <c r="M189" s="203" t="s">
        <v>823</v>
      </c>
      <c r="N189" s="158"/>
      <c r="O189" s="124">
        <v>5656.78</v>
      </c>
      <c r="P189" s="124"/>
      <c r="Q189" s="124">
        <v>-1002906.62</v>
      </c>
    </row>
    <row r="190" spans="1:17" x14ac:dyDescent="0.3">
      <c r="A190" s="156"/>
      <c r="B190" s="156"/>
      <c r="C190" s="156"/>
      <c r="D190" s="157">
        <v>6201</v>
      </c>
      <c r="E190" s="157">
        <v>11004</v>
      </c>
      <c r="F190" s="157">
        <v>142</v>
      </c>
      <c r="G190" s="203" t="s">
        <v>800</v>
      </c>
      <c r="H190" s="203" t="s">
        <v>805</v>
      </c>
      <c r="I190" s="123">
        <v>45784</v>
      </c>
      <c r="J190" s="123">
        <v>45784</v>
      </c>
      <c r="K190" s="157">
        <v>0</v>
      </c>
      <c r="L190" s="157">
        <v>250012140</v>
      </c>
      <c r="M190" s="203" t="s">
        <v>824</v>
      </c>
      <c r="N190" s="158"/>
      <c r="O190" s="124">
        <v>3559.32</v>
      </c>
      <c r="P190" s="124"/>
      <c r="Q190" s="124">
        <v>-1006465.94</v>
      </c>
    </row>
    <row r="191" spans="1:17" x14ac:dyDescent="0.3">
      <c r="A191" s="156"/>
      <c r="B191" s="156"/>
      <c r="C191" s="156"/>
      <c r="D191" s="157">
        <v>6192</v>
      </c>
      <c r="E191" s="157">
        <v>10977</v>
      </c>
      <c r="F191" s="157">
        <v>142</v>
      </c>
      <c r="G191" s="203" t="s">
        <v>800</v>
      </c>
      <c r="H191" s="203" t="s">
        <v>808</v>
      </c>
      <c r="I191" s="123">
        <v>45790</v>
      </c>
      <c r="J191" s="123">
        <v>45790</v>
      </c>
      <c r="K191" s="157">
        <v>0</v>
      </c>
      <c r="L191" s="157">
        <v>132991</v>
      </c>
      <c r="M191" s="203" t="s">
        <v>823</v>
      </c>
      <c r="N191" s="158"/>
      <c r="O191" s="124">
        <v>16581.36</v>
      </c>
      <c r="P191" s="124"/>
      <c r="Q191" s="124">
        <v>-1023047.3</v>
      </c>
    </row>
    <row r="192" spans="1:17" x14ac:dyDescent="0.3">
      <c r="A192" s="156"/>
      <c r="B192" s="156"/>
      <c r="C192" s="156"/>
      <c r="D192" s="157">
        <v>7806</v>
      </c>
      <c r="E192" s="157">
        <v>13465</v>
      </c>
      <c r="F192" s="157">
        <v>153</v>
      </c>
      <c r="G192" s="203" t="s">
        <v>800</v>
      </c>
      <c r="H192" s="203" t="s">
        <v>803</v>
      </c>
      <c r="I192" s="123">
        <v>45811</v>
      </c>
      <c r="J192" s="123">
        <v>45811</v>
      </c>
      <c r="K192" s="157">
        <v>0</v>
      </c>
      <c r="L192" s="157">
        <v>10083</v>
      </c>
      <c r="M192" s="203" t="s">
        <v>824</v>
      </c>
      <c r="N192" s="158"/>
      <c r="O192" s="124">
        <v>11515.51</v>
      </c>
      <c r="P192" s="124"/>
      <c r="Q192" s="124">
        <v>-1034562.81</v>
      </c>
    </row>
    <row r="193" spans="1:17" x14ac:dyDescent="0.3">
      <c r="A193" s="156"/>
      <c r="B193" s="156"/>
      <c r="C193" s="156"/>
      <c r="D193" s="157">
        <v>7536</v>
      </c>
      <c r="E193" s="157">
        <v>12901</v>
      </c>
      <c r="F193" s="157">
        <v>149</v>
      </c>
      <c r="G193" s="203" t="s">
        <v>800</v>
      </c>
      <c r="H193" s="203" t="s">
        <v>805</v>
      </c>
      <c r="I193" s="123">
        <v>45813</v>
      </c>
      <c r="J193" s="123">
        <v>45813</v>
      </c>
      <c r="K193" s="157">
        <v>0</v>
      </c>
      <c r="L193" s="157">
        <v>250014971</v>
      </c>
      <c r="M193" s="203" t="s">
        <v>825</v>
      </c>
      <c r="N193" s="158"/>
      <c r="O193" s="124">
        <v>3220.34</v>
      </c>
      <c r="P193" s="124"/>
      <c r="Q193" s="124">
        <v>-1037783.15</v>
      </c>
    </row>
    <row r="194" spans="1:17" x14ac:dyDescent="0.3">
      <c r="A194" s="156"/>
      <c r="B194" s="156"/>
      <c r="C194" s="156"/>
      <c r="D194" s="157">
        <v>7537</v>
      </c>
      <c r="E194" s="157">
        <v>12904</v>
      </c>
      <c r="F194" s="157">
        <v>149</v>
      </c>
      <c r="G194" s="203" t="s">
        <v>800</v>
      </c>
      <c r="H194" s="203" t="s">
        <v>805</v>
      </c>
      <c r="I194" s="123">
        <v>45813</v>
      </c>
      <c r="J194" s="123">
        <v>45813</v>
      </c>
      <c r="K194" s="157">
        <v>0</v>
      </c>
      <c r="L194" s="157">
        <v>250014973</v>
      </c>
      <c r="M194" s="203" t="s">
        <v>826</v>
      </c>
      <c r="N194" s="158"/>
      <c r="O194" s="124">
        <v>5000</v>
      </c>
      <c r="P194" s="124"/>
      <c r="Q194" s="124">
        <v>-1042783.15</v>
      </c>
    </row>
    <row r="195" spans="1:17" x14ac:dyDescent="0.3">
      <c r="A195" s="156"/>
      <c r="B195" s="156"/>
      <c r="C195" s="156"/>
      <c r="D195" s="157">
        <v>7538</v>
      </c>
      <c r="E195" s="157">
        <v>12907</v>
      </c>
      <c r="F195" s="157">
        <v>149</v>
      </c>
      <c r="G195" s="203" t="s">
        <v>800</v>
      </c>
      <c r="H195" s="203" t="s">
        <v>805</v>
      </c>
      <c r="I195" s="123">
        <v>45813</v>
      </c>
      <c r="J195" s="123">
        <v>45813</v>
      </c>
      <c r="K195" s="157">
        <v>0</v>
      </c>
      <c r="L195" s="157">
        <v>250014974</v>
      </c>
      <c r="M195" s="203" t="s">
        <v>826</v>
      </c>
      <c r="N195" s="158"/>
      <c r="O195" s="124">
        <v>4406.78</v>
      </c>
      <c r="P195" s="124"/>
      <c r="Q195" s="124">
        <v>-1047189.93</v>
      </c>
    </row>
    <row r="196" spans="1:17" x14ac:dyDescent="0.3">
      <c r="A196" s="156"/>
      <c r="B196" s="156"/>
      <c r="C196" s="156"/>
      <c r="D196" s="157">
        <v>7539</v>
      </c>
      <c r="E196" s="157">
        <v>12910</v>
      </c>
      <c r="F196" s="157">
        <v>149</v>
      </c>
      <c r="G196" s="203" t="s">
        <v>800</v>
      </c>
      <c r="H196" s="203" t="s">
        <v>814</v>
      </c>
      <c r="I196" s="123">
        <v>45814</v>
      </c>
      <c r="J196" s="123">
        <v>45814</v>
      </c>
      <c r="K196" s="157">
        <v>0</v>
      </c>
      <c r="L196" s="157">
        <v>3113</v>
      </c>
      <c r="M196" s="203" t="s">
        <v>824</v>
      </c>
      <c r="N196" s="158"/>
      <c r="O196" s="124">
        <v>3559.32</v>
      </c>
      <c r="P196" s="124"/>
      <c r="Q196" s="124">
        <v>-1050749.25</v>
      </c>
    </row>
    <row r="197" spans="1:17" x14ac:dyDescent="0.3">
      <c r="A197" s="156"/>
      <c r="B197" s="156"/>
      <c r="C197" s="156"/>
      <c r="D197" s="157">
        <v>7541</v>
      </c>
      <c r="E197" s="157">
        <v>12915</v>
      </c>
      <c r="F197" s="157">
        <v>149</v>
      </c>
      <c r="G197" s="203" t="s">
        <v>800</v>
      </c>
      <c r="H197" s="203" t="s">
        <v>812</v>
      </c>
      <c r="I197" s="123">
        <v>45815</v>
      </c>
      <c r="J197" s="123">
        <v>45815</v>
      </c>
      <c r="K197" s="157">
        <v>0</v>
      </c>
      <c r="L197" s="157">
        <v>104216</v>
      </c>
      <c r="M197" s="203" t="s">
        <v>798</v>
      </c>
      <c r="N197" s="158"/>
      <c r="O197" s="124">
        <v>4915.25</v>
      </c>
      <c r="P197" s="124"/>
      <c r="Q197" s="124">
        <v>-1055664.5</v>
      </c>
    </row>
    <row r="198" spans="1:17" x14ac:dyDescent="0.3">
      <c r="A198" s="156"/>
      <c r="B198" s="156"/>
      <c r="C198" s="156"/>
      <c r="D198" s="157">
        <v>7542</v>
      </c>
      <c r="E198" s="157">
        <v>12918</v>
      </c>
      <c r="F198" s="157">
        <v>149</v>
      </c>
      <c r="G198" s="203" t="s">
        <v>800</v>
      </c>
      <c r="H198" s="203" t="s">
        <v>812</v>
      </c>
      <c r="I198" s="123">
        <v>45815</v>
      </c>
      <c r="J198" s="123">
        <v>45815</v>
      </c>
      <c r="K198" s="157">
        <v>0</v>
      </c>
      <c r="L198" s="157">
        <v>104217</v>
      </c>
      <c r="M198" s="203" t="s">
        <v>798</v>
      </c>
      <c r="N198" s="158"/>
      <c r="O198" s="124">
        <v>2542.37</v>
      </c>
      <c r="P198" s="124"/>
      <c r="Q198" s="124">
        <v>-1058206.8700000001</v>
      </c>
    </row>
    <row r="199" spans="1:17" x14ac:dyDescent="0.3">
      <c r="A199" s="156"/>
      <c r="B199" s="156"/>
      <c r="C199" s="156"/>
      <c r="D199" s="157">
        <v>7808</v>
      </c>
      <c r="E199" s="157">
        <v>13471</v>
      </c>
      <c r="F199" s="157">
        <v>153</v>
      </c>
      <c r="G199" s="203" t="s">
        <v>800</v>
      </c>
      <c r="H199" s="203" t="s">
        <v>813</v>
      </c>
      <c r="I199" s="123">
        <v>45816</v>
      </c>
      <c r="J199" s="123">
        <v>45816</v>
      </c>
      <c r="K199" s="157">
        <v>0</v>
      </c>
      <c r="L199" s="157">
        <v>61473</v>
      </c>
      <c r="M199" s="203" t="s">
        <v>824</v>
      </c>
      <c r="N199" s="158"/>
      <c r="O199" s="124">
        <v>1779.66</v>
      </c>
      <c r="P199" s="124"/>
      <c r="Q199" s="124">
        <v>-1059986.53</v>
      </c>
    </row>
    <row r="200" spans="1:17" x14ac:dyDescent="0.3">
      <c r="A200" s="156"/>
      <c r="B200" s="156"/>
      <c r="C200" s="156"/>
      <c r="D200" s="157">
        <v>7809</v>
      </c>
      <c r="E200" s="157">
        <v>13474</v>
      </c>
      <c r="F200" s="157">
        <v>153</v>
      </c>
      <c r="G200" s="203" t="s">
        <v>800</v>
      </c>
      <c r="H200" s="203" t="s">
        <v>805</v>
      </c>
      <c r="I200" s="123">
        <v>45817</v>
      </c>
      <c r="J200" s="123">
        <v>45817</v>
      </c>
      <c r="K200" s="157">
        <v>0</v>
      </c>
      <c r="L200" s="157">
        <v>250015330</v>
      </c>
      <c r="M200" s="203" t="s">
        <v>825</v>
      </c>
      <c r="N200" s="158"/>
      <c r="O200" s="124">
        <v>4957.63</v>
      </c>
      <c r="P200" s="124"/>
      <c r="Q200" s="124">
        <v>-1064944.1599999999</v>
      </c>
    </row>
    <row r="201" spans="1:17" x14ac:dyDescent="0.3">
      <c r="A201" s="156"/>
      <c r="B201" s="156"/>
      <c r="C201" s="156"/>
      <c r="D201" s="157">
        <v>7547</v>
      </c>
      <c r="E201" s="157">
        <v>12933</v>
      </c>
      <c r="F201" s="157">
        <v>149</v>
      </c>
      <c r="G201" s="203" t="s">
        <v>800</v>
      </c>
      <c r="H201" s="203" t="s">
        <v>808</v>
      </c>
      <c r="I201" s="123">
        <v>45818</v>
      </c>
      <c r="J201" s="123">
        <v>45818</v>
      </c>
      <c r="K201" s="157">
        <v>0</v>
      </c>
      <c r="L201" s="157">
        <v>132993</v>
      </c>
      <c r="M201" s="203" t="s">
        <v>824</v>
      </c>
      <c r="N201" s="158"/>
      <c r="O201" s="124">
        <v>41575.42</v>
      </c>
      <c r="P201" s="124"/>
      <c r="Q201" s="124">
        <v>-1106519.58</v>
      </c>
    </row>
    <row r="202" spans="1:17" x14ac:dyDescent="0.3">
      <c r="A202" s="156"/>
      <c r="B202" s="156"/>
      <c r="C202" s="156"/>
      <c r="D202" s="157">
        <v>7839</v>
      </c>
      <c r="E202" s="157">
        <v>13566</v>
      </c>
      <c r="F202" s="157">
        <v>154</v>
      </c>
      <c r="G202" s="203" t="s">
        <v>800</v>
      </c>
      <c r="H202" s="203" t="s">
        <v>813</v>
      </c>
      <c r="I202" s="123">
        <v>45841</v>
      </c>
      <c r="J202" s="123">
        <v>45841</v>
      </c>
      <c r="K202" s="157">
        <v>0</v>
      </c>
      <c r="L202" s="157">
        <v>61486</v>
      </c>
      <c r="M202" s="203" t="s">
        <v>826</v>
      </c>
      <c r="N202" s="158"/>
      <c r="O202" s="124">
        <v>6228.81</v>
      </c>
      <c r="P202" s="124"/>
      <c r="Q202" s="124">
        <v>-1112748.3899999999</v>
      </c>
    </row>
    <row r="203" spans="1:17" x14ac:dyDescent="0.3">
      <c r="A203" s="156"/>
      <c r="B203" s="156"/>
      <c r="C203" s="156"/>
      <c r="D203" s="157">
        <v>7822</v>
      </c>
      <c r="E203" s="157">
        <v>13515</v>
      </c>
      <c r="F203" s="157">
        <v>154</v>
      </c>
      <c r="G203" s="203" t="s">
        <v>800</v>
      </c>
      <c r="H203" s="203" t="s">
        <v>808</v>
      </c>
      <c r="I203" s="123">
        <v>45845</v>
      </c>
      <c r="J203" s="123">
        <v>45845</v>
      </c>
      <c r="K203" s="157">
        <v>0</v>
      </c>
      <c r="L203" s="157">
        <v>132995</v>
      </c>
      <c r="M203" s="203" t="s">
        <v>826</v>
      </c>
      <c r="N203" s="158"/>
      <c r="O203" s="124">
        <v>27086.44</v>
      </c>
      <c r="P203" s="124"/>
      <c r="Q203" s="124">
        <v>-1139834.83</v>
      </c>
    </row>
    <row r="204" spans="1:17" x14ac:dyDescent="0.3">
      <c r="A204" s="156"/>
      <c r="B204" s="156"/>
      <c r="C204" s="156"/>
      <c r="D204" s="157">
        <v>7853</v>
      </c>
      <c r="E204" s="157">
        <v>13607</v>
      </c>
      <c r="F204" s="157">
        <v>154</v>
      </c>
      <c r="G204" s="203" t="s">
        <v>800</v>
      </c>
      <c r="H204" s="203" t="s">
        <v>812</v>
      </c>
      <c r="I204" s="123">
        <v>45845</v>
      </c>
      <c r="J204" s="123">
        <v>45845</v>
      </c>
      <c r="K204" s="157">
        <v>0</v>
      </c>
      <c r="L204" s="157">
        <v>104241</v>
      </c>
      <c r="M204" s="203" t="s">
        <v>798</v>
      </c>
      <c r="N204" s="158"/>
      <c r="O204" s="124">
        <v>14237.29</v>
      </c>
      <c r="P204" s="124"/>
      <c r="Q204" s="124">
        <v>-1154072.1200000001</v>
      </c>
    </row>
    <row r="205" spans="1:17" x14ac:dyDescent="0.3">
      <c r="A205" s="156"/>
      <c r="B205" s="156"/>
      <c r="C205" s="156"/>
      <c r="D205" s="157">
        <v>9641</v>
      </c>
      <c r="E205" s="157">
        <v>16499</v>
      </c>
      <c r="F205" s="157">
        <v>165</v>
      </c>
      <c r="G205" s="203" t="s">
        <v>800</v>
      </c>
      <c r="H205" s="203" t="s">
        <v>805</v>
      </c>
      <c r="I205" s="123">
        <v>45845</v>
      </c>
      <c r="J205" s="123">
        <v>45845</v>
      </c>
      <c r="K205" s="157">
        <v>0</v>
      </c>
      <c r="L205" s="157">
        <v>250017770</v>
      </c>
      <c r="M205" s="203" t="s">
        <v>827</v>
      </c>
      <c r="N205" s="158"/>
      <c r="O205" s="124">
        <v>11694.92</v>
      </c>
      <c r="P205" s="124"/>
      <c r="Q205" s="124">
        <v>-1165767.04</v>
      </c>
    </row>
    <row r="206" spans="1:17" x14ac:dyDescent="0.3">
      <c r="A206" s="156"/>
      <c r="B206" s="156"/>
      <c r="C206" s="156"/>
      <c r="D206" s="157">
        <v>9642</v>
      </c>
      <c r="E206" s="157">
        <v>16502</v>
      </c>
      <c r="F206" s="157">
        <v>165</v>
      </c>
      <c r="G206" s="203" t="s">
        <v>800</v>
      </c>
      <c r="H206" s="203" t="s">
        <v>805</v>
      </c>
      <c r="I206" s="123">
        <v>45845</v>
      </c>
      <c r="J206" s="123">
        <v>45845</v>
      </c>
      <c r="K206" s="157">
        <v>0</v>
      </c>
      <c r="L206" s="157">
        <v>250017771</v>
      </c>
      <c r="M206" s="203" t="s">
        <v>827</v>
      </c>
      <c r="N206" s="158"/>
      <c r="O206" s="124">
        <v>8474.58</v>
      </c>
      <c r="P206" s="124"/>
      <c r="Q206" s="124">
        <v>-1174241.6200000001</v>
      </c>
    </row>
    <row r="207" spans="1:17" x14ac:dyDescent="0.3">
      <c r="A207" s="156"/>
      <c r="B207" s="156"/>
      <c r="C207" s="156"/>
      <c r="D207" s="157">
        <v>9643</v>
      </c>
      <c r="E207" s="157">
        <v>16505</v>
      </c>
      <c r="F207" s="157">
        <v>165</v>
      </c>
      <c r="G207" s="203" t="s">
        <v>800</v>
      </c>
      <c r="H207" s="203" t="s">
        <v>805</v>
      </c>
      <c r="I207" s="123">
        <v>45845</v>
      </c>
      <c r="J207" s="123">
        <v>45845</v>
      </c>
      <c r="K207" s="157">
        <v>0</v>
      </c>
      <c r="L207" s="157">
        <v>250017772</v>
      </c>
      <c r="M207" s="203" t="s">
        <v>828</v>
      </c>
      <c r="N207" s="158"/>
      <c r="O207" s="124">
        <v>7542.37</v>
      </c>
      <c r="P207" s="124"/>
      <c r="Q207" s="124">
        <v>-1181783.99</v>
      </c>
    </row>
    <row r="208" spans="1:17" x14ac:dyDescent="0.3">
      <c r="A208" s="156"/>
      <c r="B208" s="156"/>
      <c r="C208" s="156"/>
      <c r="D208" s="157">
        <v>9644</v>
      </c>
      <c r="E208" s="157">
        <v>16508</v>
      </c>
      <c r="F208" s="157">
        <v>165</v>
      </c>
      <c r="G208" s="203" t="s">
        <v>800</v>
      </c>
      <c r="H208" s="203" t="s">
        <v>805</v>
      </c>
      <c r="I208" s="123">
        <v>45845</v>
      </c>
      <c r="J208" s="123">
        <v>45845</v>
      </c>
      <c r="K208" s="157">
        <v>0</v>
      </c>
      <c r="L208" s="157">
        <v>250017773</v>
      </c>
      <c r="M208" s="203" t="s">
        <v>828</v>
      </c>
      <c r="N208" s="158"/>
      <c r="O208" s="124">
        <v>3728.81</v>
      </c>
      <c r="P208" s="124"/>
      <c r="Q208" s="124">
        <v>-1185512.8</v>
      </c>
    </row>
    <row r="209" spans="1:17" x14ac:dyDescent="0.3">
      <c r="A209" s="156"/>
      <c r="B209" s="156"/>
      <c r="C209" s="156"/>
      <c r="D209" s="157">
        <v>7857</v>
      </c>
      <c r="E209" s="157">
        <v>13618</v>
      </c>
      <c r="F209" s="157">
        <v>154</v>
      </c>
      <c r="G209" s="203" t="s">
        <v>800</v>
      </c>
      <c r="H209" s="203" t="s">
        <v>803</v>
      </c>
      <c r="I209" s="123">
        <v>45847</v>
      </c>
      <c r="J209" s="123">
        <v>45847</v>
      </c>
      <c r="K209" s="157">
        <v>0</v>
      </c>
      <c r="L209" s="157">
        <v>10084</v>
      </c>
      <c r="M209" s="203" t="s">
        <v>826</v>
      </c>
      <c r="N209" s="158"/>
      <c r="O209" s="124">
        <v>3116.1</v>
      </c>
      <c r="P209" s="124"/>
      <c r="Q209" s="124">
        <v>-1188628.8999999999</v>
      </c>
    </row>
    <row r="210" spans="1:17" x14ac:dyDescent="0.3">
      <c r="A210" s="156"/>
      <c r="B210" s="156"/>
      <c r="C210" s="156"/>
      <c r="D210" s="157">
        <v>7858</v>
      </c>
      <c r="E210" s="157">
        <v>13621</v>
      </c>
      <c r="F210" s="157">
        <v>154</v>
      </c>
      <c r="G210" s="203" t="s">
        <v>800</v>
      </c>
      <c r="H210" s="203" t="s">
        <v>814</v>
      </c>
      <c r="I210" s="123">
        <v>45847</v>
      </c>
      <c r="J210" s="123">
        <v>45847</v>
      </c>
      <c r="K210" s="157">
        <v>0</v>
      </c>
      <c r="L210" s="157">
        <v>3118</v>
      </c>
      <c r="M210" s="203" t="s">
        <v>826</v>
      </c>
      <c r="N210" s="158"/>
      <c r="O210" s="124">
        <v>6059.32</v>
      </c>
      <c r="P210" s="124"/>
      <c r="Q210" s="124">
        <v>-1194688.22</v>
      </c>
    </row>
    <row r="211" spans="1:17" x14ac:dyDescent="0.3">
      <c r="A211" s="156"/>
      <c r="B211" s="156"/>
      <c r="C211" s="156"/>
      <c r="D211" s="157">
        <v>7860</v>
      </c>
      <c r="E211" s="157">
        <v>13627</v>
      </c>
      <c r="F211" s="157">
        <v>154</v>
      </c>
      <c r="G211" s="203" t="s">
        <v>800</v>
      </c>
      <c r="H211" s="203" t="s">
        <v>809</v>
      </c>
      <c r="I211" s="123">
        <v>45848</v>
      </c>
      <c r="J211" s="123">
        <v>45848</v>
      </c>
      <c r="K211" s="157">
        <v>0</v>
      </c>
      <c r="L211" s="157">
        <v>60080</v>
      </c>
      <c r="M211" s="203" t="s">
        <v>829</v>
      </c>
      <c r="N211" s="158"/>
      <c r="O211" s="124">
        <v>826.27</v>
      </c>
      <c r="P211" s="124"/>
      <c r="Q211" s="124">
        <v>-1195514.49</v>
      </c>
    </row>
    <row r="212" spans="1:17" x14ac:dyDescent="0.3">
      <c r="A212" s="156"/>
      <c r="B212" s="156"/>
      <c r="C212" s="156"/>
      <c r="D212" s="157">
        <v>9439</v>
      </c>
      <c r="E212" s="157">
        <v>15978</v>
      </c>
      <c r="F212" s="157">
        <v>165</v>
      </c>
      <c r="G212" s="203" t="s">
        <v>800</v>
      </c>
      <c r="H212" s="203" t="s">
        <v>801</v>
      </c>
      <c r="I212" s="123">
        <v>45858</v>
      </c>
      <c r="J212" s="123">
        <v>45858</v>
      </c>
      <c r="K212" s="157">
        <v>0</v>
      </c>
      <c r="L212" s="157">
        <v>2248</v>
      </c>
      <c r="M212" s="203" t="s">
        <v>830</v>
      </c>
      <c r="N212" s="158"/>
      <c r="O212" s="124">
        <v>500</v>
      </c>
      <c r="P212" s="124"/>
      <c r="Q212" s="124">
        <v>-1196014.49</v>
      </c>
    </row>
    <row r="213" spans="1:17" x14ac:dyDescent="0.3">
      <c r="A213" s="156"/>
      <c r="B213" s="156"/>
      <c r="C213" s="156"/>
      <c r="D213" s="157">
        <v>9192</v>
      </c>
      <c r="E213" s="157">
        <v>15395</v>
      </c>
      <c r="F213" s="157">
        <v>160</v>
      </c>
      <c r="G213" s="203" t="s">
        <v>800</v>
      </c>
      <c r="H213" s="203" t="s">
        <v>809</v>
      </c>
      <c r="I213" s="123">
        <v>45873</v>
      </c>
      <c r="J213" s="123">
        <v>45873</v>
      </c>
      <c r="K213" s="157">
        <v>0</v>
      </c>
      <c r="L213" s="157">
        <v>60099</v>
      </c>
      <c r="M213" s="203" t="s">
        <v>810</v>
      </c>
      <c r="N213" s="158"/>
      <c r="O213" s="124">
        <v>677.97</v>
      </c>
      <c r="P213" s="124"/>
      <c r="Q213" s="124">
        <v>-1196692.46</v>
      </c>
    </row>
    <row r="214" spans="1:17" x14ac:dyDescent="0.3">
      <c r="A214" s="156"/>
      <c r="B214" s="156"/>
      <c r="C214" s="156"/>
      <c r="D214" s="157">
        <v>9196</v>
      </c>
      <c r="E214" s="157">
        <v>15407</v>
      </c>
      <c r="F214" s="157">
        <v>160</v>
      </c>
      <c r="G214" s="203" t="s">
        <v>800</v>
      </c>
      <c r="H214" s="203" t="s">
        <v>813</v>
      </c>
      <c r="I214" s="123">
        <v>45874</v>
      </c>
      <c r="J214" s="123">
        <v>45874</v>
      </c>
      <c r="K214" s="157">
        <v>0</v>
      </c>
      <c r="L214" s="157">
        <v>61501</v>
      </c>
      <c r="M214" s="203" t="s">
        <v>828</v>
      </c>
      <c r="N214" s="158"/>
      <c r="O214" s="124">
        <v>6228.81</v>
      </c>
      <c r="P214" s="124"/>
      <c r="Q214" s="124">
        <v>-1202921.27</v>
      </c>
    </row>
    <row r="215" spans="1:17" x14ac:dyDescent="0.3">
      <c r="A215" s="156"/>
      <c r="B215" s="156"/>
      <c r="C215" s="156"/>
      <c r="D215" s="157">
        <v>9197</v>
      </c>
      <c r="E215" s="157">
        <v>15410</v>
      </c>
      <c r="F215" s="157">
        <v>160</v>
      </c>
      <c r="G215" s="203" t="s">
        <v>800</v>
      </c>
      <c r="H215" s="203" t="s">
        <v>803</v>
      </c>
      <c r="I215" s="123">
        <v>45874</v>
      </c>
      <c r="J215" s="123">
        <v>45874</v>
      </c>
      <c r="K215" s="157">
        <v>0</v>
      </c>
      <c r="L215" s="157">
        <v>10085</v>
      </c>
      <c r="M215" s="203" t="s">
        <v>828</v>
      </c>
      <c r="N215" s="158"/>
      <c r="O215" s="124">
        <v>9754.24</v>
      </c>
      <c r="P215" s="124"/>
      <c r="Q215" s="124">
        <v>-1212675.51</v>
      </c>
    </row>
    <row r="216" spans="1:17" x14ac:dyDescent="0.3">
      <c r="A216" s="156"/>
      <c r="B216" s="156"/>
      <c r="C216" s="156"/>
      <c r="D216" s="157">
        <v>9194</v>
      </c>
      <c r="E216" s="157">
        <v>15401</v>
      </c>
      <c r="F216" s="157">
        <v>160</v>
      </c>
      <c r="G216" s="203" t="s">
        <v>800</v>
      </c>
      <c r="H216" s="203" t="s">
        <v>808</v>
      </c>
      <c r="I216" s="123">
        <v>45876</v>
      </c>
      <c r="J216" s="123">
        <v>45876</v>
      </c>
      <c r="K216" s="157">
        <v>0</v>
      </c>
      <c r="L216" s="157">
        <v>132998</v>
      </c>
      <c r="M216" s="203" t="s">
        <v>828</v>
      </c>
      <c r="N216" s="158"/>
      <c r="O216" s="124">
        <v>32414.41</v>
      </c>
      <c r="P216" s="124"/>
      <c r="Q216" s="124">
        <v>-1245089.92</v>
      </c>
    </row>
    <row r="217" spans="1:17" x14ac:dyDescent="0.3">
      <c r="A217" s="156"/>
      <c r="B217" s="156"/>
      <c r="C217" s="156"/>
      <c r="D217" s="157">
        <v>9208</v>
      </c>
      <c r="E217" s="157">
        <v>15440</v>
      </c>
      <c r="F217" s="157">
        <v>160</v>
      </c>
      <c r="G217" s="203" t="s">
        <v>800</v>
      </c>
      <c r="H217" s="203" t="s">
        <v>812</v>
      </c>
      <c r="I217" s="123">
        <v>45877</v>
      </c>
      <c r="J217" s="123">
        <v>45877</v>
      </c>
      <c r="K217" s="157">
        <v>0</v>
      </c>
      <c r="L217" s="157">
        <v>104268</v>
      </c>
      <c r="M217" s="203" t="s">
        <v>798</v>
      </c>
      <c r="N217" s="158"/>
      <c r="O217" s="124">
        <v>11949.15</v>
      </c>
      <c r="P217" s="124"/>
      <c r="Q217" s="124">
        <v>-1257039.07</v>
      </c>
    </row>
    <row r="218" spans="1:17" x14ac:dyDescent="0.3">
      <c r="A218" s="156"/>
      <c r="B218" s="156"/>
      <c r="C218" s="156"/>
      <c r="D218" s="157">
        <v>9645</v>
      </c>
      <c r="E218" s="157">
        <v>16511</v>
      </c>
      <c r="F218" s="157">
        <v>165</v>
      </c>
      <c r="G218" s="203" t="s">
        <v>800</v>
      </c>
      <c r="H218" s="203" t="s">
        <v>805</v>
      </c>
      <c r="I218" s="123">
        <v>45880</v>
      </c>
      <c r="J218" s="123">
        <v>45880</v>
      </c>
      <c r="K218" s="157">
        <v>0</v>
      </c>
      <c r="L218" s="157">
        <v>250021286</v>
      </c>
      <c r="M218" s="203" t="s">
        <v>831</v>
      </c>
      <c r="N218" s="158"/>
      <c r="O218" s="124">
        <v>9449.15</v>
      </c>
      <c r="P218" s="124"/>
      <c r="Q218" s="124">
        <v>-1266488.22</v>
      </c>
    </row>
    <row r="219" spans="1:17" x14ac:dyDescent="0.3">
      <c r="A219" s="156"/>
      <c r="B219" s="156"/>
      <c r="C219" s="156"/>
      <c r="D219" s="157">
        <v>9646</v>
      </c>
      <c r="E219" s="157">
        <v>16514</v>
      </c>
      <c r="F219" s="157">
        <v>165</v>
      </c>
      <c r="G219" s="203" t="s">
        <v>800</v>
      </c>
      <c r="H219" s="203" t="s">
        <v>805</v>
      </c>
      <c r="I219" s="123">
        <v>45880</v>
      </c>
      <c r="J219" s="123">
        <v>45880</v>
      </c>
      <c r="K219" s="157">
        <v>0</v>
      </c>
      <c r="L219" s="157">
        <v>250021287</v>
      </c>
      <c r="M219" s="203" t="s">
        <v>831</v>
      </c>
      <c r="N219" s="158"/>
      <c r="O219" s="124">
        <v>2542.37</v>
      </c>
      <c r="P219" s="124"/>
      <c r="Q219" s="124">
        <v>-1269030.5900000001</v>
      </c>
    </row>
    <row r="220" spans="1:17" x14ac:dyDescent="0.3">
      <c r="A220" s="156"/>
      <c r="B220" s="156"/>
      <c r="C220" s="156"/>
      <c r="D220" s="157">
        <v>9227</v>
      </c>
      <c r="E220" s="157">
        <v>15495</v>
      </c>
      <c r="F220" s="157">
        <v>160</v>
      </c>
      <c r="G220" s="203" t="s">
        <v>800</v>
      </c>
      <c r="H220" s="203" t="s">
        <v>816</v>
      </c>
      <c r="I220" s="123">
        <v>45899</v>
      </c>
      <c r="J220" s="123">
        <v>45899</v>
      </c>
      <c r="K220" s="157">
        <v>0</v>
      </c>
      <c r="L220" s="157">
        <v>148553</v>
      </c>
      <c r="M220" s="203" t="s">
        <v>817</v>
      </c>
      <c r="N220" s="158"/>
      <c r="O220" s="124">
        <v>1398.31</v>
      </c>
      <c r="P220" s="124"/>
      <c r="Q220" s="124">
        <v>-1270428.8999999999</v>
      </c>
    </row>
    <row r="221" spans="1:17" x14ac:dyDescent="0.3">
      <c r="A221" s="156"/>
      <c r="B221" s="156"/>
      <c r="C221" s="156"/>
      <c r="D221" s="157">
        <v>9483</v>
      </c>
      <c r="E221" s="157">
        <v>16106</v>
      </c>
      <c r="F221" s="157">
        <v>166</v>
      </c>
      <c r="G221" s="203" t="s">
        <v>800</v>
      </c>
      <c r="H221" s="203" t="s">
        <v>801</v>
      </c>
      <c r="I221" s="123">
        <v>45901</v>
      </c>
      <c r="J221" s="123">
        <v>45901</v>
      </c>
      <c r="K221" s="157">
        <v>0</v>
      </c>
      <c r="L221" s="157">
        <v>2263</v>
      </c>
      <c r="M221" s="203" t="s">
        <v>832</v>
      </c>
      <c r="N221" s="158"/>
      <c r="O221" s="124">
        <v>1000</v>
      </c>
      <c r="P221" s="124"/>
      <c r="Q221" s="124">
        <v>-1271428.8999999999</v>
      </c>
    </row>
    <row r="222" spans="1:17" x14ac:dyDescent="0.3">
      <c r="A222" s="156"/>
      <c r="B222" s="156"/>
      <c r="C222" s="156"/>
      <c r="D222" s="157">
        <v>9491</v>
      </c>
      <c r="E222" s="157">
        <v>16127</v>
      </c>
      <c r="F222" s="157">
        <v>166</v>
      </c>
      <c r="G222" s="203" t="s">
        <v>800</v>
      </c>
      <c r="H222" s="203" t="s">
        <v>812</v>
      </c>
      <c r="I222" s="123">
        <v>45902</v>
      </c>
      <c r="J222" s="123">
        <v>45902</v>
      </c>
      <c r="K222" s="157">
        <v>0</v>
      </c>
      <c r="L222" s="157">
        <v>104288</v>
      </c>
      <c r="M222" s="203" t="s">
        <v>798</v>
      </c>
      <c r="N222" s="158"/>
      <c r="O222" s="124">
        <v>20423.73</v>
      </c>
      <c r="P222" s="124"/>
      <c r="Q222" s="124">
        <v>-1291852.6299999999</v>
      </c>
    </row>
    <row r="223" spans="1:17" x14ac:dyDescent="0.3">
      <c r="A223" s="156"/>
      <c r="B223" s="156"/>
      <c r="C223" s="156"/>
      <c r="D223" s="157">
        <v>9650</v>
      </c>
      <c r="E223" s="157">
        <v>16524</v>
      </c>
      <c r="F223" s="157">
        <v>166</v>
      </c>
      <c r="G223" s="203" t="s">
        <v>800</v>
      </c>
      <c r="H223" s="203" t="s">
        <v>805</v>
      </c>
      <c r="I223" s="123">
        <v>45902</v>
      </c>
      <c r="J223" s="123">
        <v>45902</v>
      </c>
      <c r="K223" s="157">
        <v>0</v>
      </c>
      <c r="L223" s="157">
        <v>250023489</v>
      </c>
      <c r="M223" s="203" t="s">
        <v>833</v>
      </c>
      <c r="N223" s="158"/>
      <c r="O223" s="124">
        <v>14073.73</v>
      </c>
      <c r="P223" s="124"/>
      <c r="Q223" s="124">
        <v>-1305926.3600000001</v>
      </c>
    </row>
    <row r="224" spans="1:17" x14ac:dyDescent="0.3">
      <c r="A224" s="156"/>
      <c r="B224" s="156"/>
      <c r="C224" s="156"/>
      <c r="D224" s="157">
        <v>9651</v>
      </c>
      <c r="E224" s="157">
        <v>16527</v>
      </c>
      <c r="F224" s="157">
        <v>166</v>
      </c>
      <c r="G224" s="203" t="s">
        <v>800</v>
      </c>
      <c r="H224" s="203" t="s">
        <v>805</v>
      </c>
      <c r="I224" s="123">
        <v>45902</v>
      </c>
      <c r="J224" s="123">
        <v>45902</v>
      </c>
      <c r="K224" s="157">
        <v>0</v>
      </c>
      <c r="L224" s="157">
        <v>250023490</v>
      </c>
      <c r="M224" s="203" t="s">
        <v>833</v>
      </c>
      <c r="N224" s="158"/>
      <c r="O224" s="124">
        <v>3813.56</v>
      </c>
      <c r="P224" s="124"/>
      <c r="Q224" s="124">
        <v>-1309739.92</v>
      </c>
    </row>
    <row r="225" spans="1:22" x14ac:dyDescent="0.3">
      <c r="A225" s="156"/>
      <c r="B225" s="156"/>
      <c r="C225" s="156"/>
      <c r="D225" s="157">
        <v>9652</v>
      </c>
      <c r="E225" s="157">
        <v>16530</v>
      </c>
      <c r="F225" s="157">
        <v>166</v>
      </c>
      <c r="G225" s="203" t="s">
        <v>800</v>
      </c>
      <c r="H225" s="203" t="s">
        <v>805</v>
      </c>
      <c r="I225" s="123">
        <v>45902</v>
      </c>
      <c r="J225" s="123">
        <v>45902</v>
      </c>
      <c r="K225" s="157">
        <v>0</v>
      </c>
      <c r="L225" s="157">
        <v>250023491</v>
      </c>
      <c r="M225" s="203" t="s">
        <v>833</v>
      </c>
      <c r="N225" s="158"/>
      <c r="O225" s="124">
        <v>10932.2</v>
      </c>
      <c r="P225" s="124"/>
      <c r="Q225" s="124">
        <v>-1320672.1200000001</v>
      </c>
    </row>
    <row r="226" spans="1:22" x14ac:dyDescent="0.3">
      <c r="A226" s="156"/>
      <c r="B226" s="156"/>
      <c r="C226" s="156"/>
      <c r="D226" s="157">
        <v>9653</v>
      </c>
      <c r="E226" s="157">
        <v>16533</v>
      </c>
      <c r="F226" s="157">
        <v>166</v>
      </c>
      <c r="G226" s="203" t="s">
        <v>800</v>
      </c>
      <c r="H226" s="203" t="s">
        <v>805</v>
      </c>
      <c r="I226" s="123">
        <v>45902</v>
      </c>
      <c r="J226" s="123">
        <v>45902</v>
      </c>
      <c r="K226" s="157">
        <v>0</v>
      </c>
      <c r="L226" s="157">
        <v>250023492</v>
      </c>
      <c r="M226" s="203" t="s">
        <v>833</v>
      </c>
      <c r="N226" s="158"/>
      <c r="O226" s="124">
        <v>10542.37</v>
      </c>
      <c r="P226" s="124"/>
      <c r="Q226" s="124">
        <v>-1331214.49</v>
      </c>
    </row>
    <row r="227" spans="1:22" x14ac:dyDescent="0.3">
      <c r="A227" s="156"/>
      <c r="B227" s="156"/>
      <c r="C227" s="156"/>
      <c r="D227" s="157">
        <v>9654</v>
      </c>
      <c r="E227" s="157">
        <v>16536</v>
      </c>
      <c r="F227" s="157">
        <v>166</v>
      </c>
      <c r="G227" s="203" t="s">
        <v>800</v>
      </c>
      <c r="H227" s="203" t="s">
        <v>805</v>
      </c>
      <c r="I227" s="123">
        <v>45902</v>
      </c>
      <c r="J227" s="123">
        <v>45902</v>
      </c>
      <c r="K227" s="157">
        <v>0</v>
      </c>
      <c r="L227" s="157">
        <v>250023493</v>
      </c>
      <c r="M227" s="203" t="s">
        <v>833</v>
      </c>
      <c r="N227" s="158"/>
      <c r="O227" s="124">
        <v>16483.05</v>
      </c>
      <c r="P227" s="124"/>
      <c r="Q227" s="124">
        <v>-1347697.54</v>
      </c>
    </row>
    <row r="228" spans="1:22" x14ac:dyDescent="0.3">
      <c r="A228" s="156"/>
      <c r="B228" s="156"/>
      <c r="C228" s="156"/>
      <c r="D228" s="157">
        <v>9748</v>
      </c>
      <c r="E228" s="157">
        <v>16689</v>
      </c>
      <c r="F228" s="157">
        <v>170</v>
      </c>
      <c r="G228" s="203" t="s">
        <v>800</v>
      </c>
      <c r="H228" s="203" t="s">
        <v>805</v>
      </c>
      <c r="I228" s="123">
        <v>45902</v>
      </c>
      <c r="J228" s="123">
        <v>45902</v>
      </c>
      <c r="K228" s="157">
        <v>0</v>
      </c>
      <c r="L228" s="157">
        <v>250023489</v>
      </c>
      <c r="M228" s="203" t="s">
        <v>834</v>
      </c>
      <c r="N228" s="158"/>
      <c r="O228" s="124">
        <v>-14073.73</v>
      </c>
      <c r="P228" s="124"/>
      <c r="Q228" s="124">
        <v>-1333623.81</v>
      </c>
    </row>
    <row r="229" spans="1:22" x14ac:dyDescent="0.3">
      <c r="A229" s="156"/>
      <c r="B229" s="156"/>
      <c r="C229" s="156"/>
      <c r="D229" s="157">
        <v>9857</v>
      </c>
      <c r="E229" s="157">
        <v>17001</v>
      </c>
      <c r="F229" s="157">
        <v>170</v>
      </c>
      <c r="G229" s="203" t="s">
        <v>800</v>
      </c>
      <c r="H229" s="203" t="s">
        <v>812</v>
      </c>
      <c r="I229" s="123">
        <v>45902</v>
      </c>
      <c r="J229" s="123">
        <v>45902</v>
      </c>
      <c r="K229" s="157">
        <v>0</v>
      </c>
      <c r="L229" s="157">
        <v>104288</v>
      </c>
      <c r="M229" s="203" t="s">
        <v>835</v>
      </c>
      <c r="N229" s="158"/>
      <c r="O229" s="124">
        <v>-20423.73</v>
      </c>
      <c r="P229" s="124"/>
      <c r="Q229" s="124">
        <v>-1313200.08</v>
      </c>
    </row>
    <row r="230" spans="1:22" x14ac:dyDescent="0.3">
      <c r="A230" s="156"/>
      <c r="B230" s="156"/>
      <c r="C230" s="156"/>
      <c r="D230" s="157">
        <v>9493</v>
      </c>
      <c r="E230" s="157">
        <v>16133</v>
      </c>
      <c r="F230" s="157">
        <v>166</v>
      </c>
      <c r="G230" s="203" t="s">
        <v>800</v>
      </c>
      <c r="H230" s="203" t="s">
        <v>813</v>
      </c>
      <c r="I230" s="123">
        <v>45903</v>
      </c>
      <c r="J230" s="123">
        <v>45903</v>
      </c>
      <c r="K230" s="157">
        <v>0</v>
      </c>
      <c r="L230" s="157">
        <v>61510</v>
      </c>
      <c r="M230" s="203" t="s">
        <v>833</v>
      </c>
      <c r="N230" s="158"/>
      <c r="O230" s="124">
        <v>1779.66</v>
      </c>
      <c r="P230" s="124"/>
      <c r="Q230" s="124">
        <v>-1314979.74</v>
      </c>
    </row>
    <row r="231" spans="1:22" x14ac:dyDescent="0.3">
      <c r="A231" s="156"/>
      <c r="B231" s="156"/>
      <c r="C231" s="156"/>
      <c r="D231" s="157">
        <v>9497</v>
      </c>
      <c r="E231" s="157">
        <v>16145</v>
      </c>
      <c r="F231" s="157">
        <v>166</v>
      </c>
      <c r="G231" s="203" t="s">
        <v>800</v>
      </c>
      <c r="H231" s="203" t="s">
        <v>814</v>
      </c>
      <c r="I231" s="123">
        <v>45904</v>
      </c>
      <c r="J231" s="123">
        <v>45904</v>
      </c>
      <c r="K231" s="157">
        <v>0</v>
      </c>
      <c r="L231" s="157">
        <v>3123</v>
      </c>
      <c r="M231" s="203" t="s">
        <v>833</v>
      </c>
      <c r="N231" s="158"/>
      <c r="O231" s="124">
        <v>6101.7</v>
      </c>
      <c r="P231" s="124"/>
      <c r="Q231" s="124">
        <v>-1321081.44</v>
      </c>
      <c r="S231" s="150">
        <v>45930</v>
      </c>
      <c r="T231" s="150">
        <v>45961</v>
      </c>
      <c r="U231" s="150">
        <v>45991</v>
      </c>
      <c r="V231" s="150">
        <v>46022</v>
      </c>
    </row>
    <row r="232" spans="1:22" x14ac:dyDescent="0.3">
      <c r="A232" s="156"/>
      <c r="B232" s="156"/>
      <c r="C232" s="156"/>
      <c r="D232" s="157">
        <v>9499</v>
      </c>
      <c r="E232" s="157">
        <v>16151</v>
      </c>
      <c r="F232" s="157">
        <v>166</v>
      </c>
      <c r="G232" s="203" t="s">
        <v>800</v>
      </c>
      <c r="H232" s="203" t="s">
        <v>808</v>
      </c>
      <c r="I232" s="123">
        <v>45907</v>
      </c>
      <c r="J232" s="123">
        <v>45907</v>
      </c>
      <c r="K232" s="157">
        <v>0</v>
      </c>
      <c r="L232" s="157">
        <v>133000</v>
      </c>
      <c r="M232" s="203" t="s">
        <v>833</v>
      </c>
      <c r="N232" s="158"/>
      <c r="O232" s="124">
        <v>43702.54</v>
      </c>
      <c r="P232" s="124"/>
      <c r="Q232" s="124">
        <v>-1364783.98</v>
      </c>
      <c r="S232" s="41">
        <f>SUM(O230:O233,O222:O229)</f>
        <v>102499.15</v>
      </c>
      <c r="T232" s="41">
        <f>SUM(O245,O243,O238:O242,O235)</f>
        <v>92387.28</v>
      </c>
      <c r="U232" s="41">
        <f>SUM(O247:O254)</f>
        <v>68870.34</v>
      </c>
      <c r="V232" s="41">
        <f>SUM(O257:O265)</f>
        <v>97279.66</v>
      </c>
    </row>
    <row r="233" spans="1:22" x14ac:dyDescent="0.3">
      <c r="A233" s="156"/>
      <c r="B233" s="156"/>
      <c r="C233" s="156"/>
      <c r="D233" s="157">
        <v>9504</v>
      </c>
      <c r="E233" s="157">
        <v>16166</v>
      </c>
      <c r="F233" s="157">
        <v>166</v>
      </c>
      <c r="G233" s="203" t="s">
        <v>800</v>
      </c>
      <c r="H233" s="203" t="s">
        <v>803</v>
      </c>
      <c r="I233" s="123">
        <v>45907</v>
      </c>
      <c r="J233" s="123">
        <v>45907</v>
      </c>
      <c r="K233" s="157">
        <v>0</v>
      </c>
      <c r="L233" s="157">
        <v>10086</v>
      </c>
      <c r="M233" s="203" t="s">
        <v>833</v>
      </c>
      <c r="N233" s="158"/>
      <c r="O233" s="124">
        <v>9144.07</v>
      </c>
      <c r="P233" s="124"/>
      <c r="Q233" s="124">
        <v>-1373928.05</v>
      </c>
    </row>
    <row r="234" spans="1:22" x14ac:dyDescent="0.3">
      <c r="A234" s="156"/>
      <c r="B234" s="156"/>
      <c r="C234" s="156"/>
      <c r="D234" s="157">
        <v>9510</v>
      </c>
      <c r="E234" s="157">
        <v>16184</v>
      </c>
      <c r="F234" s="157">
        <v>166</v>
      </c>
      <c r="G234" s="203" t="s">
        <v>800</v>
      </c>
      <c r="H234" s="203" t="s">
        <v>809</v>
      </c>
      <c r="I234" s="123">
        <v>45910</v>
      </c>
      <c r="J234" s="123">
        <v>45910</v>
      </c>
      <c r="K234" s="157">
        <v>0</v>
      </c>
      <c r="L234" s="157">
        <v>60124</v>
      </c>
      <c r="M234" s="203" t="s">
        <v>810</v>
      </c>
      <c r="N234" s="158"/>
      <c r="O234" s="124">
        <v>1355.93</v>
      </c>
      <c r="P234" s="124"/>
      <c r="Q234" s="124">
        <v>-1375283.98</v>
      </c>
    </row>
    <row r="235" spans="1:22" x14ac:dyDescent="0.3">
      <c r="A235" s="156"/>
      <c r="B235" s="156"/>
      <c r="C235" s="156"/>
      <c r="D235" s="157">
        <v>9756</v>
      </c>
      <c r="E235" s="157">
        <v>16716</v>
      </c>
      <c r="F235" s="157">
        <v>171</v>
      </c>
      <c r="G235" s="203" t="s">
        <v>800</v>
      </c>
      <c r="H235" s="203" t="s">
        <v>814</v>
      </c>
      <c r="I235" s="123">
        <v>45931</v>
      </c>
      <c r="J235" s="123">
        <v>45931</v>
      </c>
      <c r="K235" s="157">
        <v>0</v>
      </c>
      <c r="L235" s="157">
        <v>3127</v>
      </c>
      <c r="M235" s="203" t="s">
        <v>836</v>
      </c>
      <c r="N235" s="158"/>
      <c r="O235" s="124">
        <v>6525.42</v>
      </c>
      <c r="P235" s="124"/>
      <c r="Q235" s="124">
        <v>-1381809.4</v>
      </c>
    </row>
    <row r="236" spans="1:22" x14ac:dyDescent="0.3">
      <c r="A236" s="156"/>
      <c r="B236" s="156"/>
      <c r="C236" s="156"/>
      <c r="D236" s="157">
        <v>9792</v>
      </c>
      <c r="E236" s="157">
        <v>16824</v>
      </c>
      <c r="F236" s="157">
        <v>171</v>
      </c>
      <c r="G236" s="203" t="s">
        <v>800</v>
      </c>
      <c r="H236" s="203" t="s">
        <v>837</v>
      </c>
      <c r="I236" s="123">
        <v>45933</v>
      </c>
      <c r="J236" s="123">
        <v>45933</v>
      </c>
      <c r="K236" s="157">
        <v>0</v>
      </c>
      <c r="L236" s="157">
        <v>2271</v>
      </c>
      <c r="M236" s="203" t="s">
        <v>838</v>
      </c>
      <c r="N236" s="158"/>
      <c r="O236" s="124">
        <v>500</v>
      </c>
      <c r="P236" s="124"/>
      <c r="Q236" s="124">
        <v>-1382309.4</v>
      </c>
    </row>
    <row r="237" spans="1:22" x14ac:dyDescent="0.3">
      <c r="A237" s="156"/>
      <c r="B237" s="156"/>
      <c r="C237" s="156"/>
      <c r="D237" s="157">
        <v>10335</v>
      </c>
      <c r="E237" s="157">
        <v>18111</v>
      </c>
      <c r="F237" s="157">
        <v>183</v>
      </c>
      <c r="G237" s="203" t="s">
        <v>800</v>
      </c>
      <c r="H237" s="203" t="s">
        <v>801</v>
      </c>
      <c r="I237" s="123">
        <v>45933</v>
      </c>
      <c r="J237" s="123">
        <v>45933</v>
      </c>
      <c r="K237" s="157">
        <v>0</v>
      </c>
      <c r="L237" s="157">
        <v>2271</v>
      </c>
      <c r="M237" s="203" t="s">
        <v>838</v>
      </c>
      <c r="N237" s="158"/>
      <c r="O237" s="124">
        <v>500</v>
      </c>
      <c r="P237" s="124"/>
      <c r="Q237" s="124">
        <v>-1382809.4</v>
      </c>
    </row>
    <row r="238" spans="1:22" x14ac:dyDescent="0.3">
      <c r="A238" s="156"/>
      <c r="B238" s="156"/>
      <c r="C238" s="156"/>
      <c r="D238" s="157">
        <v>9796</v>
      </c>
      <c r="E238" s="157">
        <v>16836</v>
      </c>
      <c r="F238" s="157">
        <v>171</v>
      </c>
      <c r="G238" s="203" t="s">
        <v>800</v>
      </c>
      <c r="H238" s="203" t="s">
        <v>812</v>
      </c>
      <c r="I238" s="123">
        <v>45935</v>
      </c>
      <c r="J238" s="123">
        <v>45935</v>
      </c>
      <c r="K238" s="157">
        <v>0</v>
      </c>
      <c r="L238" s="157">
        <v>104306</v>
      </c>
      <c r="M238" s="203" t="s">
        <v>798</v>
      </c>
      <c r="N238" s="158"/>
      <c r="O238" s="124">
        <v>17500</v>
      </c>
      <c r="P238" s="124"/>
      <c r="Q238" s="124">
        <v>-1400309.4</v>
      </c>
    </row>
    <row r="239" spans="1:22" x14ac:dyDescent="0.3">
      <c r="A239" s="156"/>
      <c r="B239" s="156"/>
      <c r="C239" s="156"/>
      <c r="D239" s="157">
        <v>9799</v>
      </c>
      <c r="E239" s="157">
        <v>16845</v>
      </c>
      <c r="F239" s="157">
        <v>171</v>
      </c>
      <c r="G239" s="203" t="s">
        <v>800</v>
      </c>
      <c r="H239" s="203" t="s">
        <v>813</v>
      </c>
      <c r="I239" s="123">
        <v>45937</v>
      </c>
      <c r="J239" s="123">
        <v>45937</v>
      </c>
      <c r="K239" s="157">
        <v>0</v>
      </c>
      <c r="L239" s="157">
        <v>61522</v>
      </c>
      <c r="M239" s="203" t="s">
        <v>836</v>
      </c>
      <c r="N239" s="158"/>
      <c r="O239" s="124">
        <v>2669.49</v>
      </c>
      <c r="P239" s="124"/>
      <c r="Q239" s="124">
        <v>-1402978.89</v>
      </c>
    </row>
    <row r="240" spans="1:22" x14ac:dyDescent="0.3">
      <c r="A240" s="156"/>
      <c r="B240" s="156"/>
      <c r="C240" s="156"/>
      <c r="D240" s="157">
        <v>9803</v>
      </c>
      <c r="E240" s="157">
        <v>16857</v>
      </c>
      <c r="F240" s="157">
        <v>171</v>
      </c>
      <c r="G240" s="203" t="s">
        <v>800</v>
      </c>
      <c r="H240" s="203" t="s">
        <v>803</v>
      </c>
      <c r="I240" s="123">
        <v>45939</v>
      </c>
      <c r="J240" s="123">
        <v>45939</v>
      </c>
      <c r="K240" s="157">
        <v>0</v>
      </c>
      <c r="L240" s="157">
        <v>10087</v>
      </c>
      <c r="M240" s="203" t="s">
        <v>836</v>
      </c>
      <c r="N240" s="158"/>
      <c r="O240" s="124">
        <v>4946.6099999999997</v>
      </c>
      <c r="P240" s="124"/>
      <c r="Q240" s="124">
        <v>-1407925.5</v>
      </c>
    </row>
    <row r="241" spans="1:17" x14ac:dyDescent="0.3">
      <c r="A241" s="156"/>
      <c r="B241" s="156"/>
      <c r="C241" s="156"/>
      <c r="D241" s="157">
        <v>9902</v>
      </c>
      <c r="E241" s="157">
        <v>17135</v>
      </c>
      <c r="F241" s="157">
        <v>172</v>
      </c>
      <c r="G241" s="203" t="s">
        <v>800</v>
      </c>
      <c r="H241" s="203" t="s">
        <v>805</v>
      </c>
      <c r="I241" s="123">
        <v>45942</v>
      </c>
      <c r="J241" s="123">
        <v>45942</v>
      </c>
      <c r="K241" s="157">
        <v>0</v>
      </c>
      <c r="L241" s="157">
        <v>250027672</v>
      </c>
      <c r="M241" s="203" t="s">
        <v>839</v>
      </c>
      <c r="N241" s="158"/>
      <c r="O241" s="124">
        <v>2796.61</v>
      </c>
      <c r="P241" s="124"/>
      <c r="Q241" s="124">
        <v>-1410722.11</v>
      </c>
    </row>
    <row r="242" spans="1:17" x14ac:dyDescent="0.3">
      <c r="A242" s="156"/>
      <c r="B242" s="156"/>
      <c r="C242" s="156"/>
      <c r="D242" s="157">
        <v>9903</v>
      </c>
      <c r="E242" s="157">
        <v>17138</v>
      </c>
      <c r="F242" s="157">
        <v>172</v>
      </c>
      <c r="G242" s="203" t="s">
        <v>800</v>
      </c>
      <c r="H242" s="203" t="s">
        <v>805</v>
      </c>
      <c r="I242" s="123">
        <v>45942</v>
      </c>
      <c r="J242" s="123">
        <v>45942</v>
      </c>
      <c r="K242" s="157">
        <v>0</v>
      </c>
      <c r="L242" s="157">
        <v>250027673</v>
      </c>
      <c r="M242" s="203" t="s">
        <v>839</v>
      </c>
      <c r="N242" s="158"/>
      <c r="O242" s="124">
        <v>7838.98</v>
      </c>
      <c r="P242" s="124"/>
      <c r="Q242" s="124">
        <v>-1418561.09</v>
      </c>
    </row>
    <row r="243" spans="1:17" x14ac:dyDescent="0.3">
      <c r="A243" s="156"/>
      <c r="B243" s="156"/>
      <c r="C243" s="156"/>
      <c r="D243" s="157">
        <v>9838</v>
      </c>
      <c r="E243" s="157">
        <v>16955</v>
      </c>
      <c r="F243" s="157">
        <v>171</v>
      </c>
      <c r="G243" s="203" t="s">
        <v>800</v>
      </c>
      <c r="H243" s="203" t="s">
        <v>808</v>
      </c>
      <c r="I243" s="123">
        <v>45947</v>
      </c>
      <c r="J243" s="123">
        <v>45947</v>
      </c>
      <c r="K243" s="157">
        <v>0</v>
      </c>
      <c r="L243" s="157">
        <v>133002</v>
      </c>
      <c r="M243" s="203" t="s">
        <v>836</v>
      </c>
      <c r="N243" s="158"/>
      <c r="O243" s="124">
        <v>29686.44</v>
      </c>
      <c r="P243" s="124"/>
      <c r="Q243" s="124">
        <v>-1448247.53</v>
      </c>
    </row>
    <row r="244" spans="1:17" x14ac:dyDescent="0.3">
      <c r="A244" s="156"/>
      <c r="B244" s="156"/>
      <c r="C244" s="156"/>
      <c r="D244" s="157">
        <v>9816</v>
      </c>
      <c r="E244" s="157">
        <v>16896</v>
      </c>
      <c r="F244" s="157">
        <v>171</v>
      </c>
      <c r="G244" s="203" t="s">
        <v>800</v>
      </c>
      <c r="H244" s="203" t="s">
        <v>809</v>
      </c>
      <c r="I244" s="123">
        <v>45952</v>
      </c>
      <c r="J244" s="123">
        <v>45952</v>
      </c>
      <c r="K244" s="157">
        <v>0</v>
      </c>
      <c r="L244" s="157">
        <v>60148</v>
      </c>
      <c r="M244" s="203" t="s">
        <v>810</v>
      </c>
      <c r="N244" s="158"/>
      <c r="O244" s="124">
        <v>338.98</v>
      </c>
      <c r="P244" s="124"/>
      <c r="Q244" s="124">
        <v>-1448586.51</v>
      </c>
    </row>
    <row r="245" spans="1:17" x14ac:dyDescent="0.3">
      <c r="A245" s="156"/>
      <c r="B245" s="156"/>
      <c r="C245" s="156"/>
      <c r="D245" s="157">
        <v>9858</v>
      </c>
      <c r="E245" s="157">
        <v>17004</v>
      </c>
      <c r="F245" s="157">
        <v>171</v>
      </c>
      <c r="G245" s="203" t="s">
        <v>800</v>
      </c>
      <c r="H245" s="203" t="s">
        <v>812</v>
      </c>
      <c r="I245" s="123">
        <v>45958</v>
      </c>
      <c r="J245" s="123">
        <v>45958</v>
      </c>
      <c r="K245" s="157">
        <v>0</v>
      </c>
      <c r="L245" s="157">
        <v>104322</v>
      </c>
      <c r="M245" s="203" t="s">
        <v>798</v>
      </c>
      <c r="N245" s="158"/>
      <c r="O245" s="124">
        <v>20423.73</v>
      </c>
      <c r="P245" s="124"/>
      <c r="Q245" s="124">
        <v>-1469010.24</v>
      </c>
    </row>
    <row r="246" spans="1:17" x14ac:dyDescent="0.3">
      <c r="A246" s="156"/>
      <c r="B246" s="156"/>
      <c r="C246" s="156"/>
      <c r="D246" s="157">
        <v>10126</v>
      </c>
      <c r="E246" s="157">
        <v>17659</v>
      </c>
      <c r="F246" s="157">
        <v>177</v>
      </c>
      <c r="G246" s="203" t="s">
        <v>800</v>
      </c>
      <c r="H246" s="203" t="s">
        <v>801</v>
      </c>
      <c r="I246" s="123">
        <v>45963</v>
      </c>
      <c r="J246" s="123">
        <v>45963</v>
      </c>
      <c r="K246" s="157">
        <v>0</v>
      </c>
      <c r="L246" s="157">
        <v>2280</v>
      </c>
      <c r="M246" s="203" t="s">
        <v>840</v>
      </c>
      <c r="N246" s="158"/>
      <c r="O246" s="124">
        <v>500</v>
      </c>
      <c r="P246" s="124"/>
      <c r="Q246" s="124">
        <v>-1469510.24</v>
      </c>
    </row>
    <row r="247" spans="1:17" x14ac:dyDescent="0.3">
      <c r="A247" s="156"/>
      <c r="B247" s="156"/>
      <c r="C247" s="156"/>
      <c r="D247" s="157">
        <v>10133</v>
      </c>
      <c r="E247" s="157">
        <v>17683</v>
      </c>
      <c r="F247" s="157">
        <v>177</v>
      </c>
      <c r="G247" s="203" t="s">
        <v>800</v>
      </c>
      <c r="H247" s="203" t="s">
        <v>813</v>
      </c>
      <c r="I247" s="123">
        <v>45965</v>
      </c>
      <c r="J247" s="123">
        <v>45965</v>
      </c>
      <c r="K247" s="157">
        <v>0</v>
      </c>
      <c r="L247" s="157">
        <v>61535</v>
      </c>
      <c r="M247" s="203" t="s">
        <v>841</v>
      </c>
      <c r="N247" s="158"/>
      <c r="O247" s="124">
        <v>2372.88</v>
      </c>
      <c r="P247" s="124"/>
      <c r="Q247" s="124">
        <v>-1471883.12</v>
      </c>
    </row>
    <row r="248" spans="1:17" x14ac:dyDescent="0.3">
      <c r="A248" s="156"/>
      <c r="B248" s="156"/>
      <c r="C248" s="156"/>
      <c r="D248" s="157">
        <v>10339</v>
      </c>
      <c r="E248" s="157">
        <v>18122</v>
      </c>
      <c r="F248" s="157">
        <v>183</v>
      </c>
      <c r="G248" s="203" t="s">
        <v>800</v>
      </c>
      <c r="H248" s="203" t="s">
        <v>805</v>
      </c>
      <c r="I248" s="123">
        <v>45965</v>
      </c>
      <c r="J248" s="123">
        <v>45965</v>
      </c>
      <c r="K248" s="157">
        <v>0</v>
      </c>
      <c r="L248" s="157">
        <v>250030066</v>
      </c>
      <c r="M248" s="203" t="s">
        <v>841</v>
      </c>
      <c r="N248" s="158"/>
      <c r="O248" s="124">
        <v>5042.37</v>
      </c>
      <c r="P248" s="124"/>
      <c r="Q248" s="124">
        <v>-1476925.49</v>
      </c>
    </row>
    <row r="249" spans="1:17" x14ac:dyDescent="0.3">
      <c r="A249" s="156"/>
      <c r="B249" s="156"/>
      <c r="C249" s="156"/>
      <c r="D249" s="157">
        <v>10139</v>
      </c>
      <c r="E249" s="157">
        <v>17701</v>
      </c>
      <c r="F249" s="157">
        <v>177</v>
      </c>
      <c r="G249" s="203" t="s">
        <v>800</v>
      </c>
      <c r="H249" s="203" t="s">
        <v>812</v>
      </c>
      <c r="I249" s="123">
        <v>45966</v>
      </c>
      <c r="J249" s="123">
        <v>45966</v>
      </c>
      <c r="K249" s="157">
        <v>0</v>
      </c>
      <c r="L249" s="157">
        <v>104333</v>
      </c>
      <c r="M249" s="203" t="s">
        <v>798</v>
      </c>
      <c r="N249" s="158"/>
      <c r="O249" s="124">
        <v>7627.12</v>
      </c>
      <c r="P249" s="124"/>
      <c r="Q249" s="124">
        <v>-1484552.61</v>
      </c>
    </row>
    <row r="250" spans="1:17" x14ac:dyDescent="0.3">
      <c r="A250" s="156"/>
      <c r="B250" s="156"/>
      <c r="C250" s="156"/>
      <c r="D250" s="157">
        <v>10129</v>
      </c>
      <c r="E250" s="157">
        <v>17671</v>
      </c>
      <c r="F250" s="157">
        <v>177</v>
      </c>
      <c r="G250" s="203" t="s">
        <v>800</v>
      </c>
      <c r="H250" s="203" t="s">
        <v>808</v>
      </c>
      <c r="I250" s="123">
        <v>45967</v>
      </c>
      <c r="J250" s="123">
        <v>45967</v>
      </c>
      <c r="K250" s="157">
        <v>0</v>
      </c>
      <c r="L250" s="157">
        <v>133029</v>
      </c>
      <c r="M250" s="203" t="s">
        <v>841</v>
      </c>
      <c r="N250" s="158"/>
      <c r="O250" s="124">
        <v>26185.59</v>
      </c>
      <c r="P250" s="124"/>
      <c r="Q250" s="124">
        <v>-1510738.2</v>
      </c>
    </row>
    <row r="251" spans="1:17" x14ac:dyDescent="0.3">
      <c r="A251" s="156"/>
      <c r="B251" s="156"/>
      <c r="C251" s="156"/>
      <c r="D251" s="157">
        <v>10140</v>
      </c>
      <c r="E251" s="157">
        <v>17704</v>
      </c>
      <c r="F251" s="157">
        <v>177</v>
      </c>
      <c r="G251" s="203" t="s">
        <v>800</v>
      </c>
      <c r="H251" s="203" t="s">
        <v>803</v>
      </c>
      <c r="I251" s="123">
        <v>45967</v>
      </c>
      <c r="J251" s="123">
        <v>45967</v>
      </c>
      <c r="K251" s="157">
        <v>0</v>
      </c>
      <c r="L251" s="157">
        <v>10088</v>
      </c>
      <c r="M251" s="203" t="s">
        <v>841</v>
      </c>
      <c r="N251" s="158"/>
      <c r="O251" s="124">
        <v>7327.12</v>
      </c>
      <c r="P251" s="124"/>
      <c r="Q251" s="124">
        <v>-1518065.32</v>
      </c>
    </row>
    <row r="252" spans="1:17" x14ac:dyDescent="0.3">
      <c r="A252" s="156"/>
      <c r="B252" s="156"/>
      <c r="C252" s="156"/>
      <c r="D252" s="157">
        <v>10555</v>
      </c>
      <c r="E252" s="157">
        <v>18684</v>
      </c>
      <c r="F252" s="157">
        <v>185</v>
      </c>
      <c r="G252" s="203" t="s">
        <v>800</v>
      </c>
      <c r="H252" s="203" t="s">
        <v>805</v>
      </c>
      <c r="I252" s="123">
        <v>45971</v>
      </c>
      <c r="J252" s="123">
        <v>45971</v>
      </c>
      <c r="K252" s="157">
        <v>0</v>
      </c>
      <c r="L252" s="157">
        <v>250030696</v>
      </c>
      <c r="M252" s="203" t="s">
        <v>842</v>
      </c>
      <c r="N252" s="158"/>
      <c r="O252" s="124">
        <v>7094.92</v>
      </c>
      <c r="P252" s="124"/>
      <c r="Q252" s="124">
        <v>-1525160.24</v>
      </c>
    </row>
    <row r="253" spans="1:17" x14ac:dyDescent="0.3">
      <c r="A253" s="156"/>
      <c r="B253" s="156"/>
      <c r="C253" s="156"/>
      <c r="D253" s="157">
        <v>10556</v>
      </c>
      <c r="E253" s="157">
        <v>18687</v>
      </c>
      <c r="F253" s="157">
        <v>185</v>
      </c>
      <c r="G253" s="203" t="s">
        <v>800</v>
      </c>
      <c r="H253" s="203" t="s">
        <v>805</v>
      </c>
      <c r="I253" s="123">
        <v>45971</v>
      </c>
      <c r="J253" s="123">
        <v>45971</v>
      </c>
      <c r="K253" s="157">
        <v>0</v>
      </c>
      <c r="L253" s="157">
        <v>250030697</v>
      </c>
      <c r="M253" s="203" t="s">
        <v>842</v>
      </c>
      <c r="N253" s="158"/>
      <c r="O253" s="124">
        <v>8516.9500000000007</v>
      </c>
      <c r="P253" s="124"/>
      <c r="Q253" s="124">
        <v>-1533677.19</v>
      </c>
    </row>
    <row r="254" spans="1:17" x14ac:dyDescent="0.3">
      <c r="A254" s="156"/>
      <c r="B254" s="156"/>
      <c r="C254" s="156"/>
      <c r="D254" s="157">
        <v>10148</v>
      </c>
      <c r="E254" s="157">
        <v>17728</v>
      </c>
      <c r="F254" s="157">
        <v>177</v>
      </c>
      <c r="G254" s="203" t="s">
        <v>800</v>
      </c>
      <c r="H254" s="203" t="s">
        <v>814</v>
      </c>
      <c r="I254" s="123">
        <v>45973</v>
      </c>
      <c r="J254" s="123">
        <v>45973</v>
      </c>
      <c r="K254" s="157">
        <v>0</v>
      </c>
      <c r="L254" s="157">
        <v>3134</v>
      </c>
      <c r="M254" s="203" t="s">
        <v>841</v>
      </c>
      <c r="N254" s="158"/>
      <c r="O254" s="124">
        <v>4703.3900000000003</v>
      </c>
      <c r="P254" s="124"/>
      <c r="Q254" s="124">
        <v>-1538380.58</v>
      </c>
    </row>
    <row r="255" spans="1:17" x14ac:dyDescent="0.3">
      <c r="A255" s="156"/>
      <c r="B255" s="156"/>
      <c r="C255" s="156"/>
      <c r="D255" s="157">
        <v>10150</v>
      </c>
      <c r="E255" s="157">
        <v>17734</v>
      </c>
      <c r="F255" s="157">
        <v>177</v>
      </c>
      <c r="G255" s="203" t="s">
        <v>800</v>
      </c>
      <c r="H255" s="203" t="s">
        <v>809</v>
      </c>
      <c r="I255" s="123">
        <v>45974</v>
      </c>
      <c r="J255" s="123">
        <v>45974</v>
      </c>
      <c r="K255" s="157">
        <v>0</v>
      </c>
      <c r="L255" s="157">
        <v>60168</v>
      </c>
      <c r="M255" s="203" t="s">
        <v>843</v>
      </c>
      <c r="N255" s="158"/>
      <c r="O255" s="124">
        <v>338.98</v>
      </c>
      <c r="P255" s="124"/>
      <c r="Q255" s="124">
        <v>-1538719.56</v>
      </c>
    </row>
    <row r="256" spans="1:17" x14ac:dyDescent="0.3">
      <c r="A256" s="156"/>
      <c r="B256" s="156"/>
      <c r="C256" s="156"/>
      <c r="D256" s="157">
        <v>10385</v>
      </c>
      <c r="E256" s="157">
        <v>18258</v>
      </c>
      <c r="F256" s="157">
        <v>184</v>
      </c>
      <c r="G256" s="203" t="s">
        <v>800</v>
      </c>
      <c r="H256" s="203" t="s">
        <v>801</v>
      </c>
      <c r="I256" s="123">
        <v>45993</v>
      </c>
      <c r="J256" s="123">
        <v>45993</v>
      </c>
      <c r="K256" s="157">
        <v>0</v>
      </c>
      <c r="L256" s="157">
        <v>2292</v>
      </c>
      <c r="M256" s="203" t="s">
        <v>844</v>
      </c>
      <c r="N256" s="158"/>
      <c r="O256" s="124">
        <v>500</v>
      </c>
      <c r="P256" s="124"/>
      <c r="Q256" s="124">
        <v>-1539219.56</v>
      </c>
    </row>
    <row r="257" spans="1:17" x14ac:dyDescent="0.3">
      <c r="A257" s="156"/>
      <c r="B257" s="156"/>
      <c r="C257" s="156"/>
      <c r="D257" s="157">
        <v>10392</v>
      </c>
      <c r="E257" s="157">
        <v>18279</v>
      </c>
      <c r="F257" s="157">
        <v>184</v>
      </c>
      <c r="G257" s="203" t="s">
        <v>800</v>
      </c>
      <c r="H257" s="203" t="s">
        <v>812</v>
      </c>
      <c r="I257" s="123">
        <v>45995</v>
      </c>
      <c r="J257" s="123">
        <v>45995</v>
      </c>
      <c r="K257" s="157">
        <v>0</v>
      </c>
      <c r="L257" s="157">
        <v>104356</v>
      </c>
      <c r="M257" s="203" t="s">
        <v>798</v>
      </c>
      <c r="N257" s="158"/>
      <c r="O257" s="124">
        <v>12542.37</v>
      </c>
      <c r="P257" s="124"/>
      <c r="Q257" s="124">
        <v>-1551761.93</v>
      </c>
    </row>
    <row r="258" spans="1:17" x14ac:dyDescent="0.3">
      <c r="A258" s="156"/>
      <c r="B258" s="156"/>
      <c r="C258" s="156"/>
      <c r="D258" s="157">
        <v>10393</v>
      </c>
      <c r="E258" s="157">
        <v>18282</v>
      </c>
      <c r="F258" s="157">
        <v>184</v>
      </c>
      <c r="G258" s="203" t="s">
        <v>800</v>
      </c>
      <c r="H258" s="203" t="s">
        <v>813</v>
      </c>
      <c r="I258" s="123">
        <v>45998</v>
      </c>
      <c r="J258" s="123">
        <v>45998</v>
      </c>
      <c r="K258" s="157">
        <v>0</v>
      </c>
      <c r="L258" s="157">
        <v>61560</v>
      </c>
      <c r="M258" s="203" t="s">
        <v>842</v>
      </c>
      <c r="N258" s="158"/>
      <c r="O258" s="124">
        <v>1186.44</v>
      </c>
      <c r="P258" s="124"/>
      <c r="Q258" s="124">
        <v>-1552948.37</v>
      </c>
    </row>
    <row r="259" spans="1:17" x14ac:dyDescent="0.3">
      <c r="A259" s="156"/>
      <c r="B259" s="156"/>
      <c r="C259" s="156"/>
      <c r="D259" s="157">
        <v>10395</v>
      </c>
      <c r="E259" s="157">
        <v>18288</v>
      </c>
      <c r="F259" s="157">
        <v>184</v>
      </c>
      <c r="G259" s="203" t="s">
        <v>800</v>
      </c>
      <c r="H259" s="203" t="s">
        <v>803</v>
      </c>
      <c r="I259" s="123">
        <v>45998</v>
      </c>
      <c r="J259" s="123">
        <v>45998</v>
      </c>
      <c r="K259" s="157">
        <v>0</v>
      </c>
      <c r="L259" s="157">
        <v>10089</v>
      </c>
      <c r="M259" s="203" t="s">
        <v>842</v>
      </c>
      <c r="N259" s="158"/>
      <c r="O259" s="124">
        <v>9205.09</v>
      </c>
      <c r="P259" s="124"/>
      <c r="Q259" s="124">
        <v>-1562153.46</v>
      </c>
    </row>
    <row r="260" spans="1:17" x14ac:dyDescent="0.3">
      <c r="A260" s="156"/>
      <c r="B260" s="156"/>
      <c r="C260" s="156"/>
      <c r="D260" s="157">
        <v>10557</v>
      </c>
      <c r="E260" s="157">
        <v>18690</v>
      </c>
      <c r="F260" s="157">
        <v>185</v>
      </c>
      <c r="G260" s="203" t="s">
        <v>800</v>
      </c>
      <c r="H260" s="203" t="s">
        <v>805</v>
      </c>
      <c r="I260" s="123">
        <v>46000</v>
      </c>
      <c r="J260" s="123">
        <v>46000</v>
      </c>
      <c r="K260" s="157">
        <v>0</v>
      </c>
      <c r="L260" s="157">
        <v>250033921</v>
      </c>
      <c r="M260" s="203" t="s">
        <v>845</v>
      </c>
      <c r="N260" s="158"/>
      <c r="O260" s="124">
        <v>6906.78</v>
      </c>
      <c r="P260" s="124"/>
      <c r="Q260" s="124">
        <v>-1569060.24</v>
      </c>
    </row>
    <row r="261" spans="1:17" x14ac:dyDescent="0.3">
      <c r="A261" s="156"/>
      <c r="B261" s="156"/>
      <c r="C261" s="156"/>
      <c r="D261" s="157">
        <v>10558</v>
      </c>
      <c r="E261" s="157">
        <v>18693</v>
      </c>
      <c r="F261" s="157">
        <v>185</v>
      </c>
      <c r="G261" s="203" t="s">
        <v>800</v>
      </c>
      <c r="H261" s="203" t="s">
        <v>805</v>
      </c>
      <c r="I261" s="123">
        <v>46000</v>
      </c>
      <c r="J261" s="123">
        <v>46000</v>
      </c>
      <c r="K261" s="157">
        <v>0</v>
      </c>
      <c r="L261" s="157">
        <v>250033922</v>
      </c>
      <c r="M261" s="203" t="s">
        <v>845</v>
      </c>
      <c r="N261" s="158"/>
      <c r="O261" s="124">
        <v>6105.93</v>
      </c>
      <c r="P261" s="124"/>
      <c r="Q261" s="124">
        <v>-1575166.17</v>
      </c>
    </row>
    <row r="262" spans="1:17" x14ac:dyDescent="0.3">
      <c r="A262" s="156"/>
      <c r="B262" s="156"/>
      <c r="C262" s="156"/>
      <c r="D262" s="157">
        <v>10559</v>
      </c>
      <c r="E262" s="157">
        <v>18696</v>
      </c>
      <c r="F262" s="157">
        <v>185</v>
      </c>
      <c r="G262" s="203" t="s">
        <v>800</v>
      </c>
      <c r="H262" s="203" t="s">
        <v>805</v>
      </c>
      <c r="I262" s="123">
        <v>46000</v>
      </c>
      <c r="J262" s="123">
        <v>46000</v>
      </c>
      <c r="K262" s="157">
        <v>0</v>
      </c>
      <c r="L262" s="157">
        <v>250033923</v>
      </c>
      <c r="M262" s="203" t="s">
        <v>846</v>
      </c>
      <c r="N262" s="158"/>
      <c r="O262" s="124">
        <v>6601.7</v>
      </c>
      <c r="P262" s="124"/>
      <c r="Q262" s="124">
        <v>-1581767.87</v>
      </c>
    </row>
    <row r="263" spans="1:17" x14ac:dyDescent="0.3">
      <c r="A263" s="156"/>
      <c r="B263" s="156"/>
      <c r="C263" s="156"/>
      <c r="D263" s="157">
        <v>10391</v>
      </c>
      <c r="E263" s="157">
        <v>18276</v>
      </c>
      <c r="F263" s="157">
        <v>184</v>
      </c>
      <c r="G263" s="203" t="s">
        <v>800</v>
      </c>
      <c r="H263" s="203" t="s">
        <v>808</v>
      </c>
      <c r="I263" s="123">
        <v>46002</v>
      </c>
      <c r="J263" s="123">
        <v>46002</v>
      </c>
      <c r="K263" s="157">
        <v>0</v>
      </c>
      <c r="L263" s="157">
        <v>133003</v>
      </c>
      <c r="M263" s="203" t="s">
        <v>842</v>
      </c>
      <c r="N263" s="158"/>
      <c r="O263" s="124">
        <v>33585.589999999997</v>
      </c>
      <c r="P263" s="124"/>
      <c r="Q263" s="124">
        <v>-1615353.46</v>
      </c>
    </row>
    <row r="264" spans="1:17" x14ac:dyDescent="0.3">
      <c r="A264" s="156"/>
      <c r="B264" s="156"/>
      <c r="C264" s="156"/>
      <c r="D264" s="157">
        <v>10560</v>
      </c>
      <c r="E264" s="157">
        <v>18699</v>
      </c>
      <c r="F264" s="157">
        <v>185</v>
      </c>
      <c r="G264" s="203" t="s">
        <v>800</v>
      </c>
      <c r="H264" s="203" t="s">
        <v>805</v>
      </c>
      <c r="I264" s="123">
        <v>46012</v>
      </c>
      <c r="J264" s="123">
        <v>46012</v>
      </c>
      <c r="K264" s="157">
        <v>0</v>
      </c>
      <c r="L264" s="157">
        <v>250035138</v>
      </c>
      <c r="M264" s="203" t="s">
        <v>846</v>
      </c>
      <c r="N264" s="158"/>
      <c r="O264" s="124">
        <v>2296.61</v>
      </c>
      <c r="P264" s="124"/>
      <c r="Q264" s="124">
        <v>-1617650.07</v>
      </c>
    </row>
    <row r="265" spans="1:17" x14ac:dyDescent="0.3">
      <c r="A265" s="156"/>
      <c r="B265" s="156"/>
      <c r="C265" s="156"/>
      <c r="D265" s="157">
        <v>10561</v>
      </c>
      <c r="E265" s="157">
        <v>18702</v>
      </c>
      <c r="F265" s="157">
        <v>185</v>
      </c>
      <c r="G265" s="203" t="s">
        <v>800</v>
      </c>
      <c r="H265" s="203" t="s">
        <v>805</v>
      </c>
      <c r="I265" s="123">
        <v>46022</v>
      </c>
      <c r="J265" s="123">
        <v>46022</v>
      </c>
      <c r="K265" s="157">
        <v>0</v>
      </c>
      <c r="L265" s="157">
        <v>250036242</v>
      </c>
      <c r="M265" s="203" t="s">
        <v>846</v>
      </c>
      <c r="N265" s="158"/>
      <c r="O265" s="124">
        <v>18849.150000000001</v>
      </c>
      <c r="P265" s="124"/>
      <c r="Q265" s="124">
        <v>-1636499.22</v>
      </c>
    </row>
    <row r="266" spans="1:17" ht="15.5" x14ac:dyDescent="0.35">
      <c r="A266" s="204" t="s">
        <v>688</v>
      </c>
      <c r="B266" s="204" t="s">
        <v>799</v>
      </c>
      <c r="C266" s="205" t="s">
        <v>798</v>
      </c>
      <c r="D266" s="157"/>
      <c r="E266" s="157"/>
      <c r="F266" s="157"/>
      <c r="G266" s="158"/>
      <c r="H266" s="158"/>
      <c r="I266" s="123"/>
      <c r="J266" s="123"/>
      <c r="K266" s="157"/>
      <c r="L266" s="157"/>
      <c r="M266" s="158"/>
      <c r="N266" s="158"/>
      <c r="O266" s="124"/>
      <c r="P266" s="124" t="s">
        <v>847</v>
      </c>
      <c r="Q266" s="124"/>
    </row>
    <row r="267" spans="1:17" x14ac:dyDescent="0.3">
      <c r="A267" s="156"/>
      <c r="B267" s="156"/>
      <c r="C267" s="156"/>
      <c r="D267" s="157"/>
      <c r="E267" s="157"/>
      <c r="F267" s="157"/>
      <c r="G267" s="158"/>
      <c r="H267" s="158"/>
      <c r="I267" s="123"/>
      <c r="J267" s="123"/>
      <c r="K267" s="157"/>
      <c r="L267" s="157"/>
      <c r="M267" s="158"/>
      <c r="N267" s="158"/>
      <c r="O267" s="124"/>
      <c r="P267" s="124" t="s">
        <v>690</v>
      </c>
      <c r="Q267" s="124">
        <v>-1636499.22</v>
      </c>
    </row>
    <row r="268" spans="1:17" x14ac:dyDescent="0.3">
      <c r="A268" s="156"/>
      <c r="B268" s="156"/>
      <c r="C268" s="156"/>
      <c r="D268" s="157"/>
      <c r="E268" s="157"/>
      <c r="F268" s="157"/>
      <c r="G268" s="158"/>
      <c r="H268" s="158"/>
      <c r="I268" s="123"/>
      <c r="J268" s="123"/>
      <c r="K268" s="157"/>
      <c r="L268" s="157"/>
      <c r="M268" s="158"/>
      <c r="N268" s="158"/>
      <c r="O268" s="124"/>
      <c r="P268" s="124" t="s">
        <v>848</v>
      </c>
      <c r="Q268" s="124"/>
    </row>
  </sheetData>
  <mergeCells count="4">
    <mergeCell ref="AB47:AB50"/>
    <mergeCell ref="AB72:AB75"/>
    <mergeCell ref="AF84:AF89"/>
    <mergeCell ref="AB91:AB9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0A99-E1F6-4D19-AEAA-5AB626A0E30E}">
  <sheetPr>
    <tabColor rgb="FF92D050"/>
  </sheetPr>
  <dimension ref="A1:K64"/>
  <sheetViews>
    <sheetView rightToLeft="1" topLeftCell="A61" workbookViewId="0">
      <selection activeCell="A70" sqref="A70:XFD1048576"/>
    </sheetView>
  </sheetViews>
  <sheetFormatPr defaultRowHeight="14" x14ac:dyDescent="0.3"/>
  <cols>
    <col min="1" max="1" width="13" bestFit="1" customWidth="1"/>
    <col min="2" max="2" width="19" bestFit="1" customWidth="1"/>
    <col min="3" max="8" width="8.33203125" bestFit="1" customWidth="1"/>
    <col min="9" max="9" width="19" customWidth="1"/>
    <col min="10" max="11" width="10.33203125" bestFit="1" customWidth="1"/>
  </cols>
  <sheetData>
    <row r="1" spans="1:11" x14ac:dyDescent="0.3">
      <c r="A1" t="s">
        <v>909</v>
      </c>
      <c r="B1" s="1" t="s">
        <v>0</v>
      </c>
      <c r="C1" s="1">
        <v>8.25</v>
      </c>
      <c r="D1" s="1">
        <v>9.25</v>
      </c>
      <c r="E1" s="1">
        <v>10.25</v>
      </c>
      <c r="F1" s="1">
        <v>11.25</v>
      </c>
      <c r="G1" s="1">
        <v>12.25</v>
      </c>
      <c r="H1" s="1">
        <v>1.26</v>
      </c>
      <c r="I1" s="1">
        <v>2.2599999999999998</v>
      </c>
      <c r="J1" s="1">
        <v>3.26</v>
      </c>
      <c r="K1" s="1">
        <v>4.26</v>
      </c>
    </row>
    <row r="2" spans="1:11" x14ac:dyDescent="0.3">
      <c r="A2" s="298">
        <v>26</v>
      </c>
      <c r="B2" s="2" t="s">
        <v>1</v>
      </c>
      <c r="C2" s="39">
        <f>VLOOKUP(B2,[1]השוואה!$A$2:$G$56,2,FALSE)</f>
        <v>18212.310000000001</v>
      </c>
      <c r="D2" s="39">
        <f>VLOOKUP(B2,[1]השוואה!$A$2:$G$56,3,FALSE)</f>
        <v>17869.13</v>
      </c>
      <c r="E2" s="39">
        <f>VLOOKUP(B2,[1]השוואה!$A$2:$G$56,4,FALSE)</f>
        <v>17744.38</v>
      </c>
      <c r="F2" s="39">
        <f>VLOOKUP(B2,[1]השוואה!$A$2:$G$56,5,FALSE)</f>
        <v>15471.92</v>
      </c>
      <c r="G2" s="39">
        <f>VLOOKUP(B2,[1]השוואה!$A$2:$G$56,6,FALSE)</f>
        <v>16429.71</v>
      </c>
      <c r="H2" s="39">
        <f>VLOOKUP(B2,[1]השוואה!$A$2:$G$56,7,FALSE)</f>
        <v>16425.54</v>
      </c>
      <c r="I2" s="39">
        <f>VLOOKUP(A2,[2]השוואה!$A$2:$H$56,8,FALSE)</f>
        <v>17467.37</v>
      </c>
      <c r="J2" s="39">
        <f>VLOOKUP(A2,[3]השוואה!$A$2:$J$57,10,FALSE)</f>
        <v>15055.62</v>
      </c>
      <c r="K2" s="39">
        <v>20357.54</v>
      </c>
    </row>
    <row r="3" spans="1:11" x14ac:dyDescent="0.3">
      <c r="A3" s="298">
        <v>42</v>
      </c>
      <c r="B3" s="34" t="s">
        <v>2</v>
      </c>
      <c r="C3" s="40">
        <f>VLOOKUP(B3,[1]השוואה!$A$2:$G$56,2,FALSE)</f>
        <v>23408.7</v>
      </c>
      <c r="D3" s="40">
        <f>VLOOKUP(B3,[1]השוואה!$A$2:$G$56,3,FALSE)</f>
        <v>24056.11</v>
      </c>
      <c r="E3" s="40">
        <f>VLOOKUP(B3,[1]השוואה!$A$2:$G$56,4,FALSE)</f>
        <v>24101.48</v>
      </c>
      <c r="F3" s="40">
        <f>VLOOKUP(B3,[1]השוואה!$A$2:$G$56,5,FALSE)</f>
        <v>21703.96</v>
      </c>
      <c r="G3" s="40">
        <f>VLOOKUP(B3,[1]השוואה!$A$2:$G$56,6,FALSE)</f>
        <v>21952.52</v>
      </c>
      <c r="H3" s="40">
        <f>VLOOKUP(B3,[1]השוואה!$A$2:$G$56,7,FALSE)</f>
        <v>22436.2</v>
      </c>
      <c r="I3" s="40">
        <f>VLOOKUP(A3,[2]השוואה!$A$2:$H$56,8,FALSE)</f>
        <v>20857.009999999998</v>
      </c>
      <c r="J3" s="40">
        <f>VLOOKUP(A3,[3]השוואה!$A$2:$J$57,10,FALSE)</f>
        <v>20913.169999999998</v>
      </c>
      <c r="K3" s="40">
        <v>22233.919999999998</v>
      </c>
    </row>
    <row r="4" spans="1:11" x14ac:dyDescent="0.3">
      <c r="A4">
        <v>59</v>
      </c>
      <c r="B4" s="34" t="s">
        <v>3</v>
      </c>
      <c r="C4" s="40">
        <f>VLOOKUP(B4,[1]השוואה!$A$2:$G$56,2,FALSE)</f>
        <v>23191.37</v>
      </c>
      <c r="D4" s="40">
        <f>VLOOKUP(B4,[1]השוואה!$A$2:$G$56,3,FALSE)</f>
        <v>1220.52</v>
      </c>
      <c r="E4" s="40">
        <f>VLOOKUP(B4,[1]השוואה!$A$2:$G$56,4,FALSE)</f>
        <v>1220.52</v>
      </c>
      <c r="F4" s="40">
        <f>VLOOKUP(B4,[1]השוואה!$A$2:$G$56,5,FALSE)</f>
        <v>1220.52</v>
      </c>
      <c r="G4" s="40">
        <f>VLOOKUP(B4,[1]השוואה!$A$2:$G$56,6,FALSE)</f>
        <v>29894.55</v>
      </c>
      <c r="H4" s="40">
        <f>VLOOKUP(B4,[1]השוואה!$A$2:$G$56,7,FALSE)</f>
        <v>0</v>
      </c>
      <c r="I4" s="40">
        <f>VLOOKUP(A4,[2]השוואה!$A$2:$H$56,8,FALSE)</f>
        <v>0</v>
      </c>
      <c r="J4" s="40">
        <f>VLOOKUP(A4,[3]השוואה!$A$2:$J$57,10,FALSE)</f>
        <v>52650</v>
      </c>
      <c r="K4" s="40">
        <v>0</v>
      </c>
    </row>
    <row r="5" spans="1:11" x14ac:dyDescent="0.3">
      <c r="A5">
        <v>0</v>
      </c>
      <c r="B5" s="34" t="s">
        <v>4</v>
      </c>
      <c r="C5" s="40">
        <f>VLOOKUP(B5,[1]השוואה!$A$2:$G$56,2,FALSE)</f>
        <v>24022.37</v>
      </c>
      <c r="D5" s="40">
        <f>VLOOKUP(B5,[1]השוואה!$A$2:$G$56,3,FALSE)</f>
        <v>13044.4</v>
      </c>
      <c r="E5" s="40">
        <f>VLOOKUP(B5,[1]השוואה!$A$2:$G$56,4,FALSE)</f>
        <v>0</v>
      </c>
      <c r="F5" s="40">
        <f>VLOOKUP(B5,[1]השוואה!$A$2:$G$56,5,FALSE)</f>
        <v>0</v>
      </c>
      <c r="G5" s="40">
        <f>VLOOKUP(B5,[1]השוואה!$A$2:$G$56,6,FALSE)</f>
        <v>0</v>
      </c>
      <c r="H5" s="40">
        <f>VLOOKUP(B5,[1]השוואה!$A$2:$G$56,7,FALSE)</f>
        <v>0</v>
      </c>
      <c r="I5" s="40"/>
      <c r="J5" s="40"/>
      <c r="K5" s="40"/>
    </row>
    <row r="6" spans="1:11" x14ac:dyDescent="0.3">
      <c r="A6">
        <v>91</v>
      </c>
      <c r="B6" s="34" t="s">
        <v>5</v>
      </c>
      <c r="C6" s="40">
        <f>VLOOKUP(B6,[1]השוואה!$A$2:$G$56,2,FALSE)</f>
        <v>22333.119999999999</v>
      </c>
      <c r="D6" s="40">
        <f>VLOOKUP(B6,[1]השוואה!$A$2:$G$56,3,FALSE)</f>
        <v>23348.95</v>
      </c>
      <c r="E6" s="40">
        <f>VLOOKUP(B6,[1]השוואה!$A$2:$G$56,4,FALSE)</f>
        <v>18724.41</v>
      </c>
      <c r="F6" s="40">
        <f>VLOOKUP(B6,[1]השוואה!$A$2:$G$56,5,FALSE)</f>
        <v>19000.38</v>
      </c>
      <c r="G6" s="40">
        <f>VLOOKUP(B6,[1]השוואה!$A$2:$G$56,6,FALSE)</f>
        <v>65410.83</v>
      </c>
      <c r="H6" s="40">
        <f>VLOOKUP(B6,[1]השוואה!$A$2:$G$56,7,FALSE)</f>
        <v>0</v>
      </c>
      <c r="I6" s="40">
        <f>VLOOKUP(A6,[2]השוואה!$A$2:$H$56,8,FALSE)</f>
        <v>0</v>
      </c>
      <c r="J6" s="40">
        <f>VLOOKUP(A6,[3]השוואה!$A$2:$J$57,10,FALSE)</f>
        <v>0</v>
      </c>
      <c r="K6" s="40">
        <v>0</v>
      </c>
    </row>
    <row r="7" spans="1:11" x14ac:dyDescent="0.3">
      <c r="A7" s="298">
        <v>109</v>
      </c>
      <c r="B7" s="2" t="s">
        <v>6</v>
      </c>
      <c r="C7" s="39">
        <f>VLOOKUP(B7,[1]השוואה!$A$2:$G$56,2,FALSE)</f>
        <v>12286.9</v>
      </c>
      <c r="D7" s="39">
        <f>VLOOKUP(B7,[1]השוואה!$A$2:$G$56,3,FALSE)</f>
        <v>14610.73</v>
      </c>
      <c r="E7" s="39">
        <f>VLOOKUP(B7,[1]השוואה!$A$2:$G$56,4,FALSE)</f>
        <v>11486.28</v>
      </c>
      <c r="F7" s="39">
        <f>VLOOKUP(B7,[1]השוואה!$A$2:$G$56,5,FALSE)</f>
        <v>12472.96</v>
      </c>
      <c r="G7" s="39">
        <f>VLOOKUP(B7,[1]השוואה!$A$2:$G$56,6,FALSE)</f>
        <v>13117.94</v>
      </c>
      <c r="H7" s="39">
        <f>VLOOKUP(B7,[1]השוואה!$A$2:$G$56,7,FALSE)</f>
        <v>13195.99</v>
      </c>
      <c r="I7" s="39">
        <f>VLOOKUP(A7,[2]השוואה!$A$2:$H$56,8,FALSE)</f>
        <v>10931.54</v>
      </c>
      <c r="J7" s="39">
        <f>VLOOKUP(A7,[3]השוואה!$A$2:$J$57,10,FALSE)</f>
        <v>12642.23</v>
      </c>
      <c r="K7" s="39">
        <v>11725.74</v>
      </c>
    </row>
    <row r="8" spans="1:11" x14ac:dyDescent="0.3">
      <c r="A8" s="298">
        <v>117</v>
      </c>
      <c r="B8" s="34" t="s">
        <v>7</v>
      </c>
      <c r="C8" s="40">
        <f>VLOOKUP(B8,[1]השוואה!$A$2:$G$56,2,FALSE)</f>
        <v>18090.77</v>
      </c>
      <c r="D8" s="40">
        <f>VLOOKUP(B8,[1]השוואה!$A$2:$G$56,3,FALSE)</f>
        <v>14816.17</v>
      </c>
      <c r="E8" s="40">
        <f>VLOOKUP(B8,[1]השוואה!$A$2:$G$56,4,FALSE)</f>
        <v>18970.3</v>
      </c>
      <c r="F8" s="40">
        <f>VLOOKUP(B8,[1]השוואה!$A$2:$G$56,5,FALSE)</f>
        <v>15295.71</v>
      </c>
      <c r="G8" s="40">
        <f>VLOOKUP(B8,[1]השוואה!$A$2:$G$56,6,FALSE)</f>
        <v>14534.22</v>
      </c>
      <c r="H8" s="40">
        <f>VLOOKUP(B8,[1]השוואה!$A$2:$G$56,7,FALSE)</f>
        <v>16665.64</v>
      </c>
      <c r="I8" s="40">
        <f>VLOOKUP(A8,[2]השוואה!$A$2:$H$56,8,FALSE)</f>
        <v>15435.42</v>
      </c>
      <c r="J8" s="40">
        <f>VLOOKUP(A8,[3]השוואה!$A$2:$J$57,10,FALSE)</f>
        <v>17723.400000000001</v>
      </c>
      <c r="K8" s="40">
        <v>21397.59</v>
      </c>
    </row>
    <row r="9" spans="1:11" x14ac:dyDescent="0.3">
      <c r="A9" s="298">
        <v>125</v>
      </c>
      <c r="B9" s="2" t="s">
        <v>8</v>
      </c>
      <c r="C9" s="39">
        <f>VLOOKUP(B9,[1]השוואה!$A$2:$G$56,2,FALSE)</f>
        <v>4859.22</v>
      </c>
      <c r="D9" s="39">
        <f>VLOOKUP(B9,[1]השוואה!$A$2:$G$56,3,FALSE)</f>
        <v>11715.02</v>
      </c>
      <c r="E9" s="39">
        <f>VLOOKUP(B9,[1]השוואה!$A$2:$G$56,4,FALSE)</f>
        <v>12540.03</v>
      </c>
      <c r="F9" s="39">
        <f>VLOOKUP(B9,[1]השוואה!$A$2:$G$56,5,FALSE)</f>
        <v>693.88</v>
      </c>
      <c r="G9" s="39">
        <f>VLOOKUP(B9,[1]השוואה!$A$2:$G$56,6,FALSE)</f>
        <v>861.95</v>
      </c>
      <c r="H9" s="39">
        <f>VLOOKUP(B9,[1]השוואה!$A$2:$G$56,7,FALSE)</f>
        <v>647.38</v>
      </c>
      <c r="I9" s="39">
        <f>VLOOKUP(A9,[2]השוואה!$A$2:$H$56,8,FALSE)</f>
        <v>703.64</v>
      </c>
      <c r="J9" s="39">
        <f>VLOOKUP(A9,[3]השוואה!$A$2:$J$57,10,FALSE)</f>
        <v>548.04</v>
      </c>
      <c r="K9" s="39">
        <v>1193.5899999999999</v>
      </c>
    </row>
    <row r="10" spans="1:11" x14ac:dyDescent="0.3">
      <c r="A10" s="298">
        <v>133</v>
      </c>
      <c r="B10" s="2" t="s">
        <v>9</v>
      </c>
      <c r="C10" s="39">
        <f>VLOOKUP(B10,[1]השוואה!$A$2:$G$56,2,FALSE)</f>
        <v>19161.32</v>
      </c>
      <c r="D10" s="39">
        <f>VLOOKUP(B10,[1]השוואה!$A$2:$G$56,3,FALSE)</f>
        <v>18796.48</v>
      </c>
      <c r="E10" s="39">
        <f>VLOOKUP(B10,[1]השוואה!$A$2:$G$56,4,FALSE)</f>
        <v>16975.22</v>
      </c>
      <c r="F10" s="39">
        <f>VLOOKUP(B10,[1]השוואה!$A$2:$G$56,5,FALSE)</f>
        <v>15566.24</v>
      </c>
      <c r="G10" s="39">
        <f>VLOOKUP(B10,[1]השוואה!$A$2:$G$56,6,FALSE)</f>
        <v>19474.45</v>
      </c>
      <c r="H10" s="39">
        <f>VLOOKUP(B10,[1]השוואה!$A$2:$G$56,7,FALSE)</f>
        <v>19087.43</v>
      </c>
      <c r="I10" s="39">
        <f>VLOOKUP(A10,[2]השוואה!$A$2:$H$56,8,FALSE)</f>
        <v>20493.82</v>
      </c>
      <c r="J10" s="39">
        <f>VLOOKUP(A10,[3]השוואה!$A$2:$J$57,10,FALSE)</f>
        <v>19423.21</v>
      </c>
      <c r="K10" s="39">
        <v>22310.68</v>
      </c>
    </row>
    <row r="11" spans="1:11" x14ac:dyDescent="0.3">
      <c r="A11" s="298">
        <v>141</v>
      </c>
      <c r="B11" s="34" t="s">
        <v>10</v>
      </c>
      <c r="C11" s="40">
        <f>VLOOKUP(B11,[1]השוואה!$A$2:$G$56,2,FALSE)</f>
        <v>20213.21</v>
      </c>
      <c r="D11" s="40">
        <f>VLOOKUP(B11,[1]השוואה!$A$2:$G$56,3,FALSE)</f>
        <v>16563.080000000002</v>
      </c>
      <c r="E11" s="40">
        <f>VLOOKUP(B11,[1]השוואה!$A$2:$G$56,4,FALSE)</f>
        <v>2348.67</v>
      </c>
      <c r="F11" s="40">
        <f>VLOOKUP(B11,[1]השוואה!$A$2:$G$56,5,FALSE)</f>
        <v>3017.41</v>
      </c>
      <c r="G11" s="40">
        <f>VLOOKUP(B11,[1]השוואה!$A$2:$G$56,6,FALSE)</f>
        <v>3459.83</v>
      </c>
      <c r="H11" s="40">
        <f>VLOOKUP(B11,[1]השוואה!$A$2:$G$56,7,FALSE)</f>
        <v>3546.64</v>
      </c>
      <c r="I11" s="40">
        <f>VLOOKUP(A11,[2]השוואה!$A$2:$H$56,8,FALSE)</f>
        <v>2794.96</v>
      </c>
      <c r="J11" s="40">
        <f>VLOOKUP(A11,[3]השוואה!$A$2:$J$57,10,FALSE)</f>
        <v>2879.03</v>
      </c>
      <c r="K11" s="40">
        <v>2481.65</v>
      </c>
    </row>
    <row r="12" spans="1:11" x14ac:dyDescent="0.3">
      <c r="A12" s="298">
        <v>182</v>
      </c>
      <c r="B12" s="2" t="s">
        <v>11</v>
      </c>
      <c r="C12" s="39">
        <f>VLOOKUP(B12,[1]השוואה!$A$2:$G$56,2,FALSE)</f>
        <v>848.83</v>
      </c>
      <c r="D12" s="39">
        <f>VLOOKUP(B12,[1]השוואה!$A$2:$G$56,3,FALSE)</f>
        <v>4151.07</v>
      </c>
      <c r="E12" s="39">
        <f>VLOOKUP(B12,[1]השוואה!$A$2:$G$56,4,FALSE)</f>
        <v>7608.01</v>
      </c>
      <c r="F12" s="39">
        <f>VLOOKUP(B12,[1]השוואה!$A$2:$G$56,5,FALSE)</f>
        <v>10983.57</v>
      </c>
      <c r="G12" s="39">
        <f>VLOOKUP(B12,[1]השוואה!$A$2:$G$56,6,FALSE)</f>
        <v>12322.78</v>
      </c>
      <c r="H12" s="39">
        <f>VLOOKUP(B12,[1]השוואה!$A$2:$G$56,7,FALSE)</f>
        <v>13265.39</v>
      </c>
      <c r="I12" s="39">
        <f>VLOOKUP(A12,[2]השוואה!$A$2:$H$56,8,FALSE)</f>
        <v>12212.56</v>
      </c>
      <c r="J12" s="39">
        <f>VLOOKUP(A12,[3]השוואה!$A$2:$J$57,10,FALSE)</f>
        <v>13505.14</v>
      </c>
      <c r="K12" s="39">
        <v>12479.63</v>
      </c>
    </row>
    <row r="13" spans="1:11" x14ac:dyDescent="0.3">
      <c r="A13" s="298">
        <v>257</v>
      </c>
      <c r="B13" s="34" t="s">
        <v>12</v>
      </c>
      <c r="C13" s="40">
        <f>VLOOKUP(B13,[1]השוואה!$A$2:$G$56,2,FALSE)</f>
        <v>18744.650000000001</v>
      </c>
      <c r="D13" s="40">
        <f>VLOOKUP(B13,[1]השוואה!$A$2:$G$56,3,FALSE)</f>
        <v>18173.509999999998</v>
      </c>
      <c r="E13" s="40">
        <f>VLOOKUP(B13,[1]השוואה!$A$2:$G$56,4,FALSE)</f>
        <v>16640.03</v>
      </c>
      <c r="F13" s="40">
        <f>VLOOKUP(B13,[1]השוואה!$A$2:$G$56,5,FALSE)</f>
        <v>16785.18</v>
      </c>
      <c r="G13" s="40">
        <f>VLOOKUP(B13,[1]השוואה!$A$2:$G$56,6,FALSE)</f>
        <v>16956.990000000002</v>
      </c>
      <c r="H13" s="40">
        <f>VLOOKUP(B13,[1]השוואה!$A$2:$G$56,7,FALSE)</f>
        <v>16111.68</v>
      </c>
      <c r="I13" s="40">
        <f>VLOOKUP(A13,[2]השוואה!$A$2:$H$56,8,FALSE)</f>
        <v>16566.189999999999</v>
      </c>
      <c r="J13" s="40">
        <f>VLOOKUP(A13,[3]השוואה!$A$2:$J$57,10,FALSE)</f>
        <v>17543.97</v>
      </c>
      <c r="K13" s="40">
        <v>20973.040000000001</v>
      </c>
    </row>
    <row r="14" spans="1:11" x14ac:dyDescent="0.3">
      <c r="A14" s="298">
        <v>265</v>
      </c>
      <c r="B14" s="2" t="s">
        <v>13</v>
      </c>
      <c r="C14" s="39">
        <f>VLOOKUP(B14,[1]השוואה!$A$2:$G$56,2,FALSE)</f>
        <v>10441.52</v>
      </c>
      <c r="D14" s="39">
        <f>VLOOKUP(B14,[1]השוואה!$A$2:$G$56,3,FALSE)</f>
        <v>10097.25</v>
      </c>
      <c r="E14" s="39">
        <f>VLOOKUP(B14,[1]השוואה!$A$2:$G$56,4,FALSE)</f>
        <v>9780.49</v>
      </c>
      <c r="F14" s="39">
        <f>VLOOKUP(B14,[1]השוואה!$A$2:$G$56,5,FALSE)</f>
        <v>5896.01</v>
      </c>
      <c r="G14" s="39">
        <f>VLOOKUP(B14,[1]השוואה!$A$2:$G$56,6,FALSE)</f>
        <v>4985.57</v>
      </c>
      <c r="H14" s="39">
        <f>VLOOKUP(B14,[1]השוואה!$A$2:$G$56,7,FALSE)</f>
        <v>0</v>
      </c>
      <c r="I14" s="39">
        <f>VLOOKUP(A14,[2]השוואה!$A$2:$H$56,8,FALSE)</f>
        <v>0</v>
      </c>
      <c r="J14" s="39">
        <f>VLOOKUP(A14,[3]השוואה!$A$2:$J$57,10,FALSE)</f>
        <v>0</v>
      </c>
      <c r="K14" s="39">
        <v>0</v>
      </c>
    </row>
    <row r="15" spans="1:11" x14ac:dyDescent="0.3">
      <c r="A15" s="298">
        <v>281</v>
      </c>
      <c r="B15" s="34" t="s">
        <v>14</v>
      </c>
      <c r="C15" s="40">
        <f>VLOOKUP(B15,[1]השוואה!$A$2:$G$56,2,FALSE)</f>
        <v>16838.759999999998</v>
      </c>
      <c r="D15" s="40">
        <f>VLOOKUP(B15,[1]השוואה!$A$2:$G$56,3,FALSE)</f>
        <v>18089.62</v>
      </c>
      <c r="E15" s="40">
        <f>VLOOKUP(B15,[1]השוואה!$A$2:$G$56,4,FALSE)</f>
        <v>19319.11</v>
      </c>
      <c r="F15" s="40">
        <f>VLOOKUP(B15,[1]השוואה!$A$2:$G$56,5,FALSE)</f>
        <v>16238.36</v>
      </c>
      <c r="G15" s="40">
        <f>VLOOKUP(B15,[1]השוואה!$A$2:$G$56,6,FALSE)</f>
        <v>29606.87</v>
      </c>
      <c r="H15" s="40">
        <f>VLOOKUP(B15,[1]השוואה!$A$2:$G$56,7,FALSE)</f>
        <v>0</v>
      </c>
      <c r="I15" s="40">
        <f>VLOOKUP(A15,[2]השוואה!$A$2:$H$56,8,FALSE)</f>
        <v>0</v>
      </c>
      <c r="J15" s="40">
        <f>VLOOKUP(A15,[3]השוואה!$A$2:$J$57,10,FALSE)</f>
        <v>0</v>
      </c>
      <c r="K15" s="40">
        <v>0</v>
      </c>
    </row>
    <row r="16" spans="1:11" x14ac:dyDescent="0.3">
      <c r="A16" s="298">
        <v>299</v>
      </c>
      <c r="B16" s="2" t="s">
        <v>15</v>
      </c>
      <c r="C16" s="39">
        <f>VLOOKUP(B16,[1]השוואה!$A$2:$G$56,2,FALSE)</f>
        <v>13072.06</v>
      </c>
      <c r="D16" s="39">
        <f>VLOOKUP(B16,[1]השוואה!$A$2:$G$56,3,FALSE)</f>
        <v>7437.69</v>
      </c>
      <c r="E16" s="39">
        <f>VLOOKUP(B16,[1]השוואה!$A$2:$G$56,4,FALSE)</f>
        <v>5392.75</v>
      </c>
      <c r="F16" s="39">
        <f>VLOOKUP(B16,[1]השוואה!$A$2:$G$56,5,FALSE)</f>
        <v>10789.62</v>
      </c>
      <c r="G16" s="39">
        <f>VLOOKUP(B16,[1]השוואה!$A$2:$G$56,6,FALSE)</f>
        <v>7717.57</v>
      </c>
      <c r="H16" s="39">
        <f>VLOOKUP(B16,[1]השוואה!$A$2:$G$56,7,FALSE)</f>
        <v>9381.7900000000009</v>
      </c>
      <c r="I16" s="39">
        <f>VLOOKUP(A16,[2]השוואה!$A$2:$H$56,8,FALSE)</f>
        <v>7523.1</v>
      </c>
      <c r="J16" s="39">
        <f>VLOOKUP(A16,[3]השוואה!$A$2:$J$57,10,FALSE)</f>
        <v>22.98</v>
      </c>
      <c r="K16" s="39">
        <v>3042.86</v>
      </c>
    </row>
    <row r="17" spans="1:11" x14ac:dyDescent="0.3">
      <c r="A17">
        <v>349</v>
      </c>
      <c r="B17" s="2" t="s">
        <v>16</v>
      </c>
      <c r="C17" s="39">
        <f>VLOOKUP(B17,[1]השוואה!$A$2:$G$56,2,FALSE)</f>
        <v>11108.9</v>
      </c>
      <c r="D17" s="39">
        <f>VLOOKUP(B17,[1]השוואה!$A$2:$G$56,3,FALSE)</f>
        <v>9388.92</v>
      </c>
      <c r="E17" s="39">
        <f>VLOOKUP(B17,[1]השוואה!$A$2:$G$56,4,FALSE)</f>
        <v>9897.84</v>
      </c>
      <c r="F17" s="39">
        <f>VLOOKUP(B17,[1]השוואה!$A$2:$G$56,5,FALSE)</f>
        <v>8207.67</v>
      </c>
      <c r="G17" s="39">
        <f>VLOOKUP(B17,[1]השוואה!$A$2:$G$56,6,FALSE)</f>
        <v>9223</v>
      </c>
      <c r="H17" s="39">
        <f>VLOOKUP(B17,[1]השוואה!$A$2:$G$56,7,FALSE)</f>
        <v>0</v>
      </c>
      <c r="I17" s="39">
        <f>VLOOKUP(A17,[2]השוואה!$A$2:$H$56,8,FALSE)</f>
        <v>0</v>
      </c>
      <c r="J17" s="39">
        <f>VLOOKUP(A17,[3]השוואה!$A$2:$J$57,10,FALSE)</f>
        <v>0</v>
      </c>
      <c r="K17" s="39">
        <v>0</v>
      </c>
    </row>
    <row r="18" spans="1:11" x14ac:dyDescent="0.3">
      <c r="A18">
        <v>0</v>
      </c>
      <c r="B18" s="2" t="s">
        <v>17</v>
      </c>
      <c r="C18" s="39">
        <f>VLOOKUP(B18,[1]השוואה!$A$2:$G$56,2,FALSE)</f>
        <v>10780.7</v>
      </c>
      <c r="D18" s="39">
        <f>VLOOKUP(B18,[1]השוואה!$A$2:$G$56,3,FALSE)</f>
        <v>0</v>
      </c>
      <c r="E18" s="39">
        <f>VLOOKUP(B18,[1]השוואה!$A$2:$G$56,4,FALSE)</f>
        <v>0</v>
      </c>
      <c r="F18" s="39">
        <f>VLOOKUP(B18,[1]השוואה!$A$2:$G$56,5,FALSE)</f>
        <v>0</v>
      </c>
      <c r="G18" s="39">
        <f>VLOOKUP(B18,[1]השוואה!$A$2:$G$56,6,FALSE)</f>
        <v>0</v>
      </c>
      <c r="H18" s="39">
        <f>VLOOKUP(B18,[1]השוואה!$A$2:$G$56,7,FALSE)</f>
        <v>0</v>
      </c>
      <c r="I18" s="39"/>
      <c r="J18" s="39"/>
      <c r="K18" s="39"/>
    </row>
    <row r="19" spans="1:11" x14ac:dyDescent="0.3">
      <c r="A19">
        <v>414</v>
      </c>
      <c r="B19" s="2" t="s">
        <v>18</v>
      </c>
      <c r="C19" s="39">
        <f>VLOOKUP(B19,[1]השוואה!$A$2:$G$56,2,FALSE)</f>
        <v>14153.17</v>
      </c>
      <c r="D19" s="39">
        <f>VLOOKUP(B19,[1]השוואה!$A$2:$G$56,3,FALSE)</f>
        <v>12083.28</v>
      </c>
      <c r="E19" s="39">
        <f>VLOOKUP(B19,[1]השוואה!$A$2:$G$56,4,FALSE)</f>
        <v>16503.759999999998</v>
      </c>
      <c r="F19" s="39">
        <f>VLOOKUP(B19,[1]השוואה!$A$2:$G$56,5,FALSE)</f>
        <v>13670.29</v>
      </c>
      <c r="G19" s="39">
        <f>VLOOKUP(B19,[1]השוואה!$A$2:$G$56,6,FALSE)</f>
        <v>13048.08</v>
      </c>
      <c r="H19" s="39">
        <f>VLOOKUP(B19,[1]השוואה!$A$2:$G$56,7,FALSE)</f>
        <v>13527.3</v>
      </c>
      <c r="I19" s="39">
        <f>VLOOKUP(A19,[2]השוואה!$A$2:$H$56,8,FALSE)</f>
        <v>11651.53</v>
      </c>
      <c r="J19" s="39">
        <f>VLOOKUP(A19,[3]השוואה!$A$2:$J$57,10,FALSE)</f>
        <v>15986.39</v>
      </c>
      <c r="K19" s="39">
        <v>15356.26</v>
      </c>
    </row>
    <row r="20" spans="1:11" x14ac:dyDescent="0.3">
      <c r="A20">
        <v>430</v>
      </c>
      <c r="B20" s="34" t="s">
        <v>19</v>
      </c>
      <c r="C20" s="40">
        <f>VLOOKUP(B20,[1]השוואה!$A$2:$G$56,2,FALSE)</f>
        <v>17430.62</v>
      </c>
      <c r="D20" s="40">
        <f>VLOOKUP(B20,[1]השוואה!$A$2:$G$56,3,FALSE)</f>
        <v>15205.5</v>
      </c>
      <c r="E20" s="40">
        <f>VLOOKUP(B20,[1]השוואה!$A$2:$G$56,4,FALSE)</f>
        <v>17869.78</v>
      </c>
      <c r="F20" s="40">
        <f>VLOOKUP(B20,[1]השוואה!$A$2:$G$56,5,FALSE)</f>
        <v>17042.810000000001</v>
      </c>
      <c r="G20" s="40">
        <f>VLOOKUP(B20,[1]השוואה!$A$2:$G$56,6,FALSE)</f>
        <v>19373.919999999998</v>
      </c>
      <c r="H20" s="40">
        <f>VLOOKUP(B20,[1]השוואה!$A$2:$G$56,7,FALSE)</f>
        <v>16762.060000000001</v>
      </c>
      <c r="I20" s="40">
        <f>VLOOKUP(A20,[2]השוואה!$A$2:$H$56,8,FALSE)</f>
        <v>8646.49</v>
      </c>
      <c r="J20" s="40">
        <f>VLOOKUP(A20,[3]השוואה!$A$2:$J$57,10,FALSE)</f>
        <v>14628.96</v>
      </c>
      <c r="K20" s="40">
        <v>13283.27</v>
      </c>
    </row>
    <row r="21" spans="1:11" x14ac:dyDescent="0.3">
      <c r="A21">
        <v>448</v>
      </c>
      <c r="B21" s="34" t="s">
        <v>20</v>
      </c>
      <c r="C21" s="40">
        <f>VLOOKUP(B21,[1]השוואה!$A$2:$G$56,2,FALSE)</f>
        <v>28083.99</v>
      </c>
      <c r="D21" s="40">
        <f>VLOOKUP(B21,[1]השוואה!$A$2:$G$56,3,FALSE)</f>
        <v>28607.96</v>
      </c>
      <c r="E21" s="40">
        <f>VLOOKUP(B21,[1]השוואה!$A$2:$G$56,4,FALSE)</f>
        <v>23984.6</v>
      </c>
      <c r="F21" s="40">
        <f>VLOOKUP(B21,[1]השוואה!$A$2:$G$56,5,FALSE)</f>
        <v>23925.69</v>
      </c>
      <c r="G21" s="40">
        <f>VLOOKUP(B21,[1]השוואה!$A$2:$G$56,6,FALSE)</f>
        <v>24367.040000000001</v>
      </c>
      <c r="H21" s="40">
        <f>VLOOKUP(B21,[1]השוואה!$A$2:$G$56,7,FALSE)</f>
        <v>32175.9</v>
      </c>
      <c r="I21" s="40">
        <f>VLOOKUP(A21,[2]השוואה!$A$2:$H$56,8,FALSE)</f>
        <v>29692.47</v>
      </c>
      <c r="J21" s="40">
        <f>VLOOKUP(A21,[3]השוואה!$A$2:$J$57,10,FALSE)</f>
        <v>28925.24</v>
      </c>
      <c r="K21" s="40">
        <v>28902.27</v>
      </c>
    </row>
    <row r="22" spans="1:11" x14ac:dyDescent="0.3">
      <c r="A22">
        <v>463</v>
      </c>
      <c r="B22" s="2" t="s">
        <v>21</v>
      </c>
      <c r="C22" s="39">
        <f>VLOOKUP(B22,[1]השוואה!$A$2:$G$56,2,FALSE)</f>
        <v>10820.19</v>
      </c>
      <c r="D22" s="39">
        <f>VLOOKUP(B22,[1]השוואה!$A$2:$G$56,3,FALSE)</f>
        <v>9278.9699999999993</v>
      </c>
      <c r="E22" s="39">
        <f>VLOOKUP(B22,[1]השוואה!$A$2:$G$56,4,FALSE)</f>
        <v>6869.92</v>
      </c>
      <c r="F22" s="39">
        <f>VLOOKUP(B22,[1]השוואה!$A$2:$G$56,5,FALSE)</f>
        <v>10709.55</v>
      </c>
      <c r="G22" s="39">
        <f>VLOOKUP(B22,[1]השוואה!$A$2:$G$56,6,FALSE)</f>
        <v>18621.7</v>
      </c>
      <c r="H22" s="39">
        <f>VLOOKUP(B22,[1]השוואה!$A$2:$G$56,7,FALSE)</f>
        <v>0</v>
      </c>
      <c r="I22" s="39">
        <f>VLOOKUP(A22,[2]השוואה!$A$2:$H$56,8,FALSE)</f>
        <v>0</v>
      </c>
      <c r="J22" s="39">
        <f>VLOOKUP(A22,[3]השוואה!$A$2:$J$57,10,FALSE)</f>
        <v>0</v>
      </c>
      <c r="K22" s="39">
        <v>0</v>
      </c>
    </row>
    <row r="23" spans="1:11" x14ac:dyDescent="0.3">
      <c r="A23" s="298">
        <v>471</v>
      </c>
      <c r="B23" s="34" t="s">
        <v>22</v>
      </c>
      <c r="C23" s="40">
        <f>VLOOKUP(B23,[1]השוואה!$A$2:$G$56,2,FALSE)</f>
        <v>20645.98</v>
      </c>
      <c r="D23" s="40">
        <f>VLOOKUP(B23,[1]השוואה!$A$2:$G$56,3,FALSE)</f>
        <v>22066.73</v>
      </c>
      <c r="E23" s="40">
        <f>VLOOKUP(B23,[1]השוואה!$A$2:$G$56,4,FALSE)</f>
        <v>21593.79</v>
      </c>
      <c r="F23" s="40">
        <f>VLOOKUP(B23,[1]השוואה!$A$2:$G$56,5,FALSE)</f>
        <v>26507.17</v>
      </c>
      <c r="G23" s="40">
        <f>VLOOKUP(B23,[1]השוואה!$A$2:$G$56,6,FALSE)</f>
        <v>22837.82</v>
      </c>
      <c r="H23" s="40">
        <f>VLOOKUP(B23,[1]השוואה!$A$2:$G$56,7,FALSE)</f>
        <v>24862.959999999999</v>
      </c>
      <c r="I23" s="40">
        <f>VLOOKUP(A23,[2]השוואה!$A$2:$H$56,8,FALSE)</f>
        <v>22606.91</v>
      </c>
      <c r="J23" s="40">
        <f>VLOOKUP(A23,[3]השוואה!$A$2:$J$57,10,FALSE)</f>
        <v>16289.11</v>
      </c>
      <c r="K23" s="40">
        <v>25464.32</v>
      </c>
    </row>
    <row r="24" spans="1:11" x14ac:dyDescent="0.3">
      <c r="A24" s="298">
        <v>489</v>
      </c>
      <c r="B24" s="34" t="s">
        <v>23</v>
      </c>
      <c r="C24" s="40">
        <f>VLOOKUP(B24,[1]השוואה!$A$2:$G$56,2,FALSE)</f>
        <v>17485.240000000002</v>
      </c>
      <c r="D24" s="40">
        <f>VLOOKUP(B24,[1]השוואה!$A$2:$G$56,3,FALSE)</f>
        <v>16233.08</v>
      </c>
      <c r="E24" s="40">
        <f>VLOOKUP(B24,[1]השוואה!$A$2:$G$56,4,FALSE)</f>
        <v>14117.51</v>
      </c>
      <c r="F24" s="40">
        <f>VLOOKUP(B24,[1]השוואה!$A$2:$G$56,5,FALSE)</f>
        <v>16621.03</v>
      </c>
      <c r="G24" s="40">
        <f>VLOOKUP(B24,[1]השוואה!$A$2:$G$56,6,FALSE)</f>
        <v>14181.44</v>
      </c>
      <c r="H24" s="40">
        <f>VLOOKUP(B24,[1]השוואה!$A$2:$G$56,7,FALSE)</f>
        <v>12808.16</v>
      </c>
      <c r="I24" s="40">
        <f>VLOOKUP(A24,[2]השוואה!$A$2:$H$56,8,FALSE)</f>
        <v>0</v>
      </c>
      <c r="J24" s="40">
        <f>VLOOKUP(A24,[3]השוואה!$A$2:$J$57,10,FALSE)</f>
        <v>3040.76</v>
      </c>
      <c r="K24" s="40">
        <v>16472.169999999998</v>
      </c>
    </row>
    <row r="25" spans="1:11" x14ac:dyDescent="0.3">
      <c r="A25" s="298">
        <v>513</v>
      </c>
      <c r="B25" s="2" t="s">
        <v>24</v>
      </c>
      <c r="C25" s="39">
        <f>VLOOKUP(B25,[1]השוואה!$A$2:$G$56,2,FALSE)</f>
        <v>6248.76</v>
      </c>
      <c r="D25" s="39">
        <f>VLOOKUP(B25,[1]השוואה!$A$2:$G$56,3,FALSE)</f>
        <v>7741.7</v>
      </c>
      <c r="E25" s="39">
        <f>VLOOKUP(B25,[1]השוואה!$A$2:$G$56,4,FALSE)</f>
        <v>6447.49</v>
      </c>
      <c r="F25" s="39">
        <f>VLOOKUP(B25,[1]השוואה!$A$2:$G$56,5,FALSE)</f>
        <v>7284.5</v>
      </c>
      <c r="G25" s="39">
        <f>VLOOKUP(B25,[1]השוואה!$A$2:$G$56,6,FALSE)</f>
        <v>7083.7</v>
      </c>
      <c r="H25" s="39">
        <f>VLOOKUP(B25,[1]השוואה!$A$2:$G$56,7,FALSE)</f>
        <v>5505.5</v>
      </c>
      <c r="I25" s="39">
        <f>VLOOKUP(A25,[2]השוואה!$A$2:$H$56,8,FALSE)</f>
        <v>3792.43</v>
      </c>
      <c r="J25" s="39">
        <f>VLOOKUP(A25,[3]השוואה!$A$2:$J$57,10,FALSE)</f>
        <v>7247.5</v>
      </c>
      <c r="K25" s="39">
        <v>7403.73</v>
      </c>
    </row>
    <row r="26" spans="1:11" x14ac:dyDescent="0.3">
      <c r="A26">
        <v>0</v>
      </c>
      <c r="B26" s="2" t="s">
        <v>25</v>
      </c>
      <c r="C26" s="39">
        <f>VLOOKUP(B26,[1]השוואה!$A$2:$G$56,2,FALSE)</f>
        <v>11620.06</v>
      </c>
      <c r="D26" s="39">
        <f>VLOOKUP(B26,[1]השוואה!$A$2:$G$56,3,FALSE)</f>
        <v>5962.13</v>
      </c>
      <c r="E26" s="39">
        <f>VLOOKUP(B26,[1]השוואה!$A$2:$G$56,4,FALSE)</f>
        <v>12365.36</v>
      </c>
      <c r="F26" s="39">
        <f>VLOOKUP(B26,[1]השוואה!$A$2:$G$56,5,FALSE)</f>
        <v>0</v>
      </c>
      <c r="G26" s="39">
        <f>VLOOKUP(B26,[1]השוואה!$A$2:$G$56,6,FALSE)</f>
        <v>0</v>
      </c>
      <c r="H26" s="39">
        <f>VLOOKUP(B26,[1]השוואה!$A$2:$G$56,7,FALSE)</f>
        <v>0</v>
      </c>
      <c r="I26" s="39"/>
      <c r="J26" s="39"/>
      <c r="K26" s="39"/>
    </row>
    <row r="27" spans="1:11" x14ac:dyDescent="0.3">
      <c r="A27" s="298">
        <v>588</v>
      </c>
      <c r="B27" s="34" t="s">
        <v>26</v>
      </c>
      <c r="C27" s="40">
        <f>VLOOKUP(B27,[1]השוואה!$A$2:$G$56,2,FALSE)</f>
        <v>7687.32</v>
      </c>
      <c r="D27" s="40">
        <f>VLOOKUP(B27,[1]השוואה!$A$2:$G$56,3,FALSE)</f>
        <v>10614.31</v>
      </c>
      <c r="E27" s="40">
        <f>VLOOKUP(B27,[1]השוואה!$A$2:$G$56,4,FALSE)</f>
        <v>7239.91</v>
      </c>
      <c r="F27" s="40">
        <f>VLOOKUP(B27,[1]השוואה!$A$2:$G$56,5,FALSE)</f>
        <v>11452.79</v>
      </c>
      <c r="G27" s="40">
        <f>VLOOKUP(B27,[1]השוואה!$A$2:$G$56,6,FALSE)</f>
        <v>10105.299999999999</v>
      </c>
      <c r="H27" s="40">
        <f>VLOOKUP(B27,[1]השוואה!$A$2:$G$56,7,FALSE)</f>
        <v>14049.41</v>
      </c>
      <c r="I27" s="40">
        <f>VLOOKUP(A27,[2]השוואה!$A$2:$H$56,8,FALSE)</f>
        <v>9992.4500000000007</v>
      </c>
      <c r="J27" s="40">
        <f>VLOOKUP(A27,[3]השוואה!$A$2:$J$57,10,FALSE)</f>
        <v>14930.99</v>
      </c>
      <c r="K27" s="40">
        <v>13224.18</v>
      </c>
    </row>
    <row r="28" spans="1:11" x14ac:dyDescent="0.3">
      <c r="A28" s="298">
        <v>604</v>
      </c>
      <c r="B28" s="2" t="s">
        <v>27</v>
      </c>
      <c r="C28" s="39">
        <f>VLOOKUP(B28,[1]השוואה!$A$2:$G$56,2,FALSE)</f>
        <v>9453.49</v>
      </c>
      <c r="D28" s="39">
        <f>VLOOKUP(B28,[1]השוואה!$A$2:$G$56,3,FALSE)</f>
        <v>8896.16</v>
      </c>
      <c r="E28" s="39">
        <f>VLOOKUP(B28,[1]השוואה!$A$2:$G$56,4,FALSE)</f>
        <v>6643.73</v>
      </c>
      <c r="F28" s="39">
        <f>VLOOKUP(B28,[1]השוואה!$A$2:$G$56,5,FALSE)</f>
        <v>7337.47</v>
      </c>
      <c r="G28" s="39">
        <f>VLOOKUP(B28,[1]השוואה!$A$2:$G$56,6,FALSE)</f>
        <v>7715.44</v>
      </c>
      <c r="H28" s="39">
        <f>VLOOKUP(B28,[1]השוואה!$A$2:$G$56,7,FALSE)</f>
        <v>7713.35</v>
      </c>
      <c r="I28" s="39">
        <f>VLOOKUP(A28,[2]השוואה!$A$2:$H$56,8,FALSE)</f>
        <v>5904.14</v>
      </c>
      <c r="J28" s="39">
        <f>VLOOKUP(A28,[3]השוואה!$A$2:$J$57,10,FALSE)</f>
        <v>3413.96</v>
      </c>
      <c r="K28" s="39">
        <v>4476</v>
      </c>
    </row>
    <row r="29" spans="1:11" x14ac:dyDescent="0.3">
      <c r="A29" s="298">
        <v>612</v>
      </c>
      <c r="B29" s="34" t="s">
        <v>28</v>
      </c>
      <c r="C29" s="40">
        <f>VLOOKUP(B29,[1]השוואה!$A$2:$G$56,2,FALSE)</f>
        <v>29825.01</v>
      </c>
      <c r="D29" s="40">
        <f>VLOOKUP(B29,[1]השוואה!$A$2:$G$56,3,FALSE)</f>
        <v>0</v>
      </c>
      <c r="E29" s="40">
        <f>VLOOKUP(B29,[1]השוואה!$A$2:$G$56,4,FALSE)</f>
        <v>0</v>
      </c>
      <c r="F29" s="40">
        <f>VLOOKUP(B29,[1]השוואה!$A$2:$G$56,5,FALSE)</f>
        <v>0</v>
      </c>
      <c r="G29" s="40">
        <f>VLOOKUP(B29,[1]השוואה!$A$2:$G$56,6,FALSE)</f>
        <v>19435.310000000001</v>
      </c>
      <c r="H29" s="40">
        <f>VLOOKUP(B29,[1]השוואה!$A$2:$G$56,7,FALSE)</f>
        <v>24949.279999999999</v>
      </c>
      <c r="I29" s="40">
        <f>VLOOKUP(A29,[2]השוואה!$A$2:$H$56,8,FALSE)</f>
        <v>24197.599999999999</v>
      </c>
      <c r="J29" s="40">
        <f>VLOOKUP(A29,[3]השוואה!$A$2:$J$57,10,FALSE)</f>
        <v>25586.51</v>
      </c>
      <c r="K29" s="40">
        <v>28048.75</v>
      </c>
    </row>
    <row r="30" spans="1:11" x14ac:dyDescent="0.3">
      <c r="A30">
        <v>0</v>
      </c>
      <c r="B30" s="2" t="s">
        <v>29</v>
      </c>
      <c r="C30" s="39">
        <f>VLOOKUP(B30,[1]השוואה!$A$2:$G$56,2,FALSE)</f>
        <v>7778.84</v>
      </c>
      <c r="D30" s="39">
        <f>VLOOKUP(B30,[1]השוואה!$A$2:$G$56,3,FALSE)</f>
        <v>0</v>
      </c>
      <c r="E30" s="39">
        <f>VLOOKUP(B30,[1]השוואה!$A$2:$G$56,4,FALSE)</f>
        <v>0</v>
      </c>
      <c r="F30" s="39">
        <f>VLOOKUP(B30,[1]השוואה!$A$2:$G$56,5,FALSE)</f>
        <v>0</v>
      </c>
      <c r="G30" s="39">
        <f>VLOOKUP(B30,[1]השוואה!$A$2:$G$56,6,FALSE)</f>
        <v>0</v>
      </c>
      <c r="H30" s="39">
        <f>VLOOKUP(B30,[1]השוואה!$A$2:$G$56,7,FALSE)</f>
        <v>0</v>
      </c>
      <c r="I30" s="39"/>
      <c r="J30" s="39"/>
      <c r="K30" s="39"/>
    </row>
    <row r="31" spans="1:11" x14ac:dyDescent="0.3">
      <c r="A31">
        <v>0</v>
      </c>
      <c r="B31" s="34" t="s">
        <v>30</v>
      </c>
      <c r="C31" s="40">
        <f>VLOOKUP(B31,[1]השוואה!$A$2:$G$56,2,FALSE)</f>
        <v>20078.05</v>
      </c>
      <c r="D31" s="40">
        <f>VLOOKUP(B31,[1]השוואה!$A$2:$G$56,3,FALSE)</f>
        <v>19035.560000000001</v>
      </c>
      <c r="E31" s="40">
        <f>VLOOKUP(B31,[1]השוואה!$A$2:$G$56,4,FALSE)</f>
        <v>15698.24</v>
      </c>
      <c r="F31" s="40">
        <f>VLOOKUP(B31,[1]השוואה!$A$2:$G$56,5,FALSE)</f>
        <v>0</v>
      </c>
      <c r="G31" s="40">
        <f>VLOOKUP(B31,[1]השוואה!$A$2:$G$56,6,FALSE)</f>
        <v>0</v>
      </c>
      <c r="H31" s="40">
        <f>VLOOKUP(B31,[1]השוואה!$A$2:$G$56,7,FALSE)</f>
        <v>0</v>
      </c>
      <c r="I31" s="40"/>
      <c r="J31" s="40"/>
      <c r="K31" s="40"/>
    </row>
    <row r="32" spans="1:11" x14ac:dyDescent="0.3">
      <c r="A32" s="298">
        <v>653</v>
      </c>
      <c r="B32" s="34" t="s">
        <v>31</v>
      </c>
      <c r="C32" s="40">
        <f>VLOOKUP(B32,[1]השוואה!$A$2:$G$56,2,FALSE)</f>
        <v>30865.91</v>
      </c>
      <c r="D32" s="40">
        <f>VLOOKUP(B32,[1]השוואה!$A$2:$G$56,3,FALSE)</f>
        <v>29671.47</v>
      </c>
      <c r="E32" s="40">
        <f>VLOOKUP(B32,[1]השוואה!$A$2:$G$56,4,FALSE)</f>
        <v>30745.06</v>
      </c>
      <c r="F32" s="40">
        <f>VLOOKUP(B32,[1]השוואה!$A$2:$G$56,5,FALSE)</f>
        <v>28784.92</v>
      </c>
      <c r="G32" s="40">
        <f>VLOOKUP(B32,[1]השוואה!$A$2:$G$56,6,FALSE)</f>
        <v>26978.560000000001</v>
      </c>
      <c r="H32" s="40">
        <f>VLOOKUP(B32,[1]השוואה!$A$2:$G$56,7,FALSE)</f>
        <v>27826.52</v>
      </c>
      <c r="I32" s="40">
        <f>VLOOKUP(A32,[2]השוואה!$A$2:$H$56,8,FALSE)</f>
        <v>26113.65</v>
      </c>
      <c r="J32" s="40">
        <f>VLOOKUP(A32,[3]השוואה!$A$2:$J$57,10,FALSE)</f>
        <v>29520.01</v>
      </c>
      <c r="K32" s="40">
        <v>30935.53</v>
      </c>
    </row>
    <row r="33" spans="1:11" x14ac:dyDescent="0.3">
      <c r="A33" s="298">
        <v>679</v>
      </c>
      <c r="B33" s="34" t="s">
        <v>32</v>
      </c>
      <c r="C33" s="40">
        <f>VLOOKUP(B33,[1]השוואה!$A$2:$G$56,2,FALSE)</f>
        <v>28551.74</v>
      </c>
      <c r="D33" s="40">
        <f>VLOOKUP(B33,[1]השוואה!$A$2:$G$56,3,FALSE)</f>
        <v>36487.17</v>
      </c>
      <c r="E33" s="40">
        <f>VLOOKUP(B33,[1]השוואה!$A$2:$G$56,4,FALSE)</f>
        <v>31033.3</v>
      </c>
      <c r="F33" s="40">
        <f>VLOOKUP(B33,[1]השוואה!$A$2:$G$56,5,FALSE)</f>
        <v>29854.78</v>
      </c>
      <c r="G33" s="40">
        <f>VLOOKUP(B33,[1]השוואה!$A$2:$G$56,6,FALSE)</f>
        <v>27548.33</v>
      </c>
      <c r="H33" s="40">
        <f>VLOOKUP(B33,[1]השוואה!$A$2:$G$56,7,FALSE)</f>
        <v>30887.88</v>
      </c>
      <c r="I33" s="40">
        <f>VLOOKUP(A33,[2]השוואה!$A$2:$H$56,8,FALSE)</f>
        <v>27961.89</v>
      </c>
      <c r="J33" s="40">
        <f>VLOOKUP(A33,[3]השוואה!$A$2:$J$57,10,FALSE)</f>
        <v>26655.82</v>
      </c>
      <c r="K33" s="40">
        <v>30790.45</v>
      </c>
    </row>
    <row r="34" spans="1:11" x14ac:dyDescent="0.3">
      <c r="A34" s="298">
        <v>695</v>
      </c>
      <c r="B34" s="2" t="s">
        <v>33</v>
      </c>
      <c r="C34" s="39">
        <f>VLOOKUP(B34,[1]השוואה!$A$2:$G$56,2,FALSE)</f>
        <v>12117.5</v>
      </c>
      <c r="D34" s="39">
        <f>VLOOKUP(B34,[1]השוואה!$A$2:$G$56,3,FALSE)</f>
        <v>11601.76</v>
      </c>
      <c r="E34" s="39">
        <f>VLOOKUP(B34,[1]השוואה!$A$2:$G$56,4,FALSE)</f>
        <v>12682.99</v>
      </c>
      <c r="F34" s="39">
        <f>VLOOKUP(B34,[1]השוואה!$A$2:$G$56,5,FALSE)</f>
        <v>8918.82</v>
      </c>
      <c r="G34" s="39">
        <f>VLOOKUP(B34,[1]השוואה!$A$2:$G$56,6,FALSE)</f>
        <v>10634.47</v>
      </c>
      <c r="H34" s="39">
        <f>VLOOKUP(B34,[1]השוואה!$A$2:$G$56,7,FALSE)</f>
        <v>8884.85</v>
      </c>
      <c r="I34" s="39">
        <f>VLOOKUP(A34,[2]השוואה!$A$2:$H$56,8,FALSE)</f>
        <v>9449.85</v>
      </c>
      <c r="J34" s="39">
        <f>VLOOKUP(A34,[3]השוואה!$A$2:$J$57,10,FALSE)</f>
        <v>8945.06</v>
      </c>
      <c r="K34" s="39">
        <v>10693.01</v>
      </c>
    </row>
    <row r="35" spans="1:11" x14ac:dyDescent="0.3">
      <c r="A35" s="298">
        <v>703</v>
      </c>
      <c r="B35" s="2" t="s">
        <v>34</v>
      </c>
      <c r="C35" s="39">
        <f>VLOOKUP(B35,[1]השוואה!$A$2:$G$56,2,FALSE)</f>
        <v>7087.66</v>
      </c>
      <c r="D35" s="39">
        <f>VLOOKUP(B35,[1]השוואה!$A$2:$G$56,3,FALSE)</f>
        <v>8232.74</v>
      </c>
      <c r="E35" s="39">
        <f>VLOOKUP(B35,[1]השוואה!$A$2:$G$56,4,FALSE)</f>
        <v>9448.14</v>
      </c>
      <c r="F35" s="39">
        <f>VLOOKUP(B35,[1]השוואה!$A$2:$G$56,5,FALSE)</f>
        <v>6501.91</v>
      </c>
      <c r="G35" s="39">
        <f>VLOOKUP(B35,[1]השוואה!$A$2:$G$56,6,FALSE)</f>
        <v>5839.89</v>
      </c>
      <c r="H35" s="39">
        <f>VLOOKUP(B35,[1]השוואה!$A$2:$G$56,7,FALSE)</f>
        <v>6620.88</v>
      </c>
      <c r="I35" s="39">
        <f>VLOOKUP(A35,[2]השוואה!$A$2:$H$56,8,FALSE)</f>
        <v>4973.7</v>
      </c>
      <c r="J35" s="39">
        <f>VLOOKUP(A35,[3]השוואה!$A$2:$J$57,10,FALSE)</f>
        <v>8710.01</v>
      </c>
      <c r="K35" s="39">
        <v>8972.94</v>
      </c>
    </row>
    <row r="36" spans="1:11" x14ac:dyDescent="0.3">
      <c r="A36" s="298">
        <v>729</v>
      </c>
      <c r="B36" s="2" t="s">
        <v>35</v>
      </c>
      <c r="C36" s="39">
        <f>VLOOKUP(B36,[1]השוואה!$A$2:$G$56,2,FALSE)</f>
        <v>13672.86</v>
      </c>
      <c r="D36" s="39">
        <f>VLOOKUP(B36,[1]השוואה!$A$2:$G$56,3,FALSE)</f>
        <v>11405.16</v>
      </c>
      <c r="E36" s="39">
        <f>VLOOKUP(B36,[1]השוואה!$A$2:$G$56,4,FALSE)</f>
        <v>15958.3</v>
      </c>
      <c r="F36" s="39">
        <f>VLOOKUP(B36,[1]השוואה!$A$2:$G$56,5,FALSE)</f>
        <v>12666.62</v>
      </c>
      <c r="G36" s="39">
        <f>VLOOKUP(B36,[1]השוואה!$A$2:$G$56,6,FALSE)</f>
        <v>4326.41</v>
      </c>
      <c r="H36" s="39">
        <f>VLOOKUP(B36,[1]השוואה!$A$2:$G$56,7,FALSE)</f>
        <v>7824.79</v>
      </c>
      <c r="I36" s="39">
        <f>VLOOKUP(A36,[2]השוואה!$A$2:$H$56,8,FALSE)</f>
        <v>12147.07</v>
      </c>
      <c r="J36" s="39">
        <f>VLOOKUP(A36,[3]השוואה!$A$2:$J$57,10,FALSE)</f>
        <v>0</v>
      </c>
      <c r="K36" s="39">
        <v>0</v>
      </c>
    </row>
    <row r="37" spans="1:11" x14ac:dyDescent="0.3">
      <c r="A37" s="298">
        <v>745</v>
      </c>
      <c r="B37" s="2" t="s">
        <v>36</v>
      </c>
      <c r="C37" s="39">
        <f>VLOOKUP(B37,[1]השוואה!$A$2:$G$56,2,FALSE)</f>
        <v>11961.92</v>
      </c>
      <c r="D37" s="39">
        <f>VLOOKUP(B37,[1]השוואה!$A$2:$G$56,3,FALSE)</f>
        <v>14220.52</v>
      </c>
      <c r="E37" s="39">
        <f>VLOOKUP(B37,[1]השוואה!$A$2:$G$56,4,FALSE)</f>
        <v>11868.09</v>
      </c>
      <c r="F37" s="39">
        <f>VLOOKUP(B37,[1]השוואה!$A$2:$G$56,5,FALSE)</f>
        <v>12844.62</v>
      </c>
      <c r="G37" s="39">
        <f>VLOOKUP(B37,[1]השוואה!$A$2:$G$56,6,FALSE)</f>
        <v>12434.76</v>
      </c>
      <c r="H37" s="39">
        <f>VLOOKUP(B37,[1]השוואה!$A$2:$G$56,7,FALSE)</f>
        <v>11088.04</v>
      </c>
      <c r="I37" s="39">
        <f>VLOOKUP(A37,[2]השוואה!$A$2:$H$56,8,FALSE)</f>
        <v>9040.57</v>
      </c>
      <c r="J37" s="39">
        <f>VLOOKUP(A37,[3]השוואה!$A$2:$J$57,10,FALSE)</f>
        <v>11034.23</v>
      </c>
      <c r="K37" s="39">
        <v>12635.11</v>
      </c>
    </row>
    <row r="38" spans="1:11" x14ac:dyDescent="0.3">
      <c r="A38" s="298">
        <v>752</v>
      </c>
      <c r="B38" s="2" t="s">
        <v>37</v>
      </c>
      <c r="C38" s="39">
        <f>VLOOKUP(B38,[1]השוואה!$A$2:$G$56,2,FALSE)</f>
        <v>6139.82</v>
      </c>
      <c r="D38" s="39">
        <f>VLOOKUP(B38,[1]השוואה!$A$2:$G$56,3,FALSE)</f>
        <v>11384.09</v>
      </c>
      <c r="E38" s="39">
        <f>VLOOKUP(B38,[1]השוואה!$A$2:$G$56,4,FALSE)</f>
        <v>12488.32</v>
      </c>
      <c r="F38" s="39">
        <f>VLOOKUP(B38,[1]השוואה!$A$2:$G$56,5,FALSE)</f>
        <v>11029.21</v>
      </c>
      <c r="G38" s="39">
        <f>VLOOKUP(B38,[1]השוואה!$A$2:$G$56,6,FALSE)</f>
        <v>10925.11</v>
      </c>
      <c r="H38" s="39">
        <f>VLOOKUP(B38,[1]השוואה!$A$2:$G$56,7,FALSE)</f>
        <v>11186.81</v>
      </c>
      <c r="I38" s="39">
        <f>VLOOKUP(A38,[2]השוואה!$A$2:$H$56,8,FALSE)</f>
        <v>10042.74</v>
      </c>
      <c r="J38" s="39">
        <f>VLOOKUP(A38,[3]השוואה!$A$2:$J$57,10,FALSE)</f>
        <v>9578.2199999999993</v>
      </c>
      <c r="K38" s="39">
        <v>12903.35</v>
      </c>
    </row>
    <row r="39" spans="1:11" x14ac:dyDescent="0.3">
      <c r="A39" s="298">
        <v>760</v>
      </c>
      <c r="B39" s="2" t="s">
        <v>38</v>
      </c>
      <c r="C39" s="39">
        <f>VLOOKUP(B39,[1]השוואה!$A$2:$G$56,2,FALSE)</f>
        <v>3668.45</v>
      </c>
      <c r="D39" s="39">
        <f>VLOOKUP(B39,[1]השוואה!$A$2:$G$56,3,FALSE)</f>
        <v>5452.86</v>
      </c>
      <c r="E39" s="39">
        <f>VLOOKUP(B39,[1]השוואה!$A$2:$G$56,4,FALSE)</f>
        <v>1140.8800000000001</v>
      </c>
      <c r="F39" s="39">
        <f>VLOOKUP(B39,[1]השוואה!$A$2:$G$56,5,FALSE)</f>
        <v>3142.74</v>
      </c>
      <c r="G39" s="39">
        <f>VLOOKUP(B39,[1]השוואה!$A$2:$G$56,6,FALSE)</f>
        <v>5419.51</v>
      </c>
      <c r="H39" s="39">
        <f>VLOOKUP(B39,[1]השוואה!$A$2:$G$56,7,FALSE)</f>
        <v>4829.99</v>
      </c>
      <c r="I39" s="39">
        <f>VLOOKUP(A39,[2]השוואה!$A$2:$H$56,8,FALSE)</f>
        <v>3835.69</v>
      </c>
      <c r="J39" s="39">
        <f>VLOOKUP(A39,[3]השוואה!$A$2:$J$57,10,FALSE)</f>
        <v>5181.99</v>
      </c>
      <c r="K39" s="39">
        <v>9870.52</v>
      </c>
    </row>
    <row r="40" spans="1:11" x14ac:dyDescent="0.3">
      <c r="A40" s="298">
        <v>778</v>
      </c>
      <c r="B40" s="2" t="s">
        <v>39</v>
      </c>
      <c r="C40" s="39">
        <f>VLOOKUP(B40,[1]השוואה!$A$2:$G$56,2,FALSE)</f>
        <v>2967.49</v>
      </c>
      <c r="D40" s="39">
        <f>VLOOKUP(B40,[1]השוואה!$A$2:$G$56,3,FALSE)</f>
        <v>6681.95</v>
      </c>
      <c r="E40" s="39">
        <f>VLOOKUP(B40,[1]השוואה!$A$2:$G$56,4,FALSE)</f>
        <v>4303.2299999999996</v>
      </c>
      <c r="F40" s="39">
        <f>VLOOKUP(B40,[1]השוואה!$A$2:$G$56,5,FALSE)</f>
        <v>4324.09</v>
      </c>
      <c r="G40" s="39">
        <f>VLOOKUP(B40,[1]השוואה!$A$2:$G$56,6,FALSE)</f>
        <v>7296.52</v>
      </c>
      <c r="H40" s="39">
        <f>VLOOKUP(B40,[1]השוואה!$A$2:$G$56,7,FALSE)</f>
        <v>0</v>
      </c>
      <c r="I40" s="39">
        <f>VLOOKUP(A40,[2]השוואה!$A$2:$H$56,8,FALSE)</f>
        <v>3437.09</v>
      </c>
      <c r="J40" s="39">
        <f>VLOOKUP(A40,[3]השוואה!$A$2:$J$57,10,FALSE)</f>
        <v>4268.6499999999996</v>
      </c>
      <c r="K40" s="39">
        <v>14031.73</v>
      </c>
    </row>
    <row r="41" spans="1:11" x14ac:dyDescent="0.3">
      <c r="A41" s="298">
        <v>786</v>
      </c>
      <c r="B41" s="34" t="s">
        <v>40</v>
      </c>
      <c r="C41" s="40">
        <f>VLOOKUP(B41,[1]השוואה!$A$2:$G$56,2,FALSE)</f>
        <v>19805</v>
      </c>
      <c r="D41" s="40">
        <f>VLOOKUP(B41,[1]השוואה!$A$2:$G$56,3,FALSE)</f>
        <v>18664.03</v>
      </c>
      <c r="E41" s="40">
        <f>VLOOKUP(B41,[1]השוואה!$A$2:$G$56,4,FALSE)</f>
        <v>29176.34</v>
      </c>
      <c r="F41" s="40">
        <f>VLOOKUP(B41,[1]השוואה!$A$2:$G$56,5,FALSE)</f>
        <v>22429.66</v>
      </c>
      <c r="G41" s="40">
        <f>VLOOKUP(B41,[1]השוואה!$A$2:$G$56,6,FALSE)</f>
        <v>19184.91</v>
      </c>
      <c r="H41" s="40">
        <f>VLOOKUP(B41,[1]השוואה!$A$2:$G$56,7,FALSE)</f>
        <v>17856.310000000001</v>
      </c>
      <c r="I41" s="40">
        <f>VLOOKUP(A41,[2]השוואה!$A$2:$H$56,8,FALSE)</f>
        <v>19568.580000000002</v>
      </c>
      <c r="J41" s="40">
        <f>VLOOKUP(A41,[3]השוואה!$A$2:$J$57,10,FALSE)</f>
        <v>23100.22</v>
      </c>
      <c r="K41" s="40">
        <v>26021.71</v>
      </c>
    </row>
    <row r="42" spans="1:11" x14ac:dyDescent="0.3">
      <c r="A42" s="298">
        <v>794</v>
      </c>
      <c r="B42" s="2" t="s">
        <v>41</v>
      </c>
      <c r="C42" s="39">
        <f>VLOOKUP(B42,[1]השוואה!$A$2:$G$56,2,FALSE)</f>
        <v>5771.05</v>
      </c>
      <c r="D42" s="39">
        <f>VLOOKUP(B42,[1]השוואה!$A$2:$G$56,3,FALSE)</f>
        <v>5782.8</v>
      </c>
      <c r="E42" s="39">
        <f>VLOOKUP(B42,[1]השוואה!$A$2:$G$56,4,FALSE)</f>
        <v>7560.14</v>
      </c>
      <c r="F42" s="39">
        <f>VLOOKUP(B42,[1]השוואה!$A$2:$G$56,5,FALSE)</f>
        <v>8516.5300000000007</v>
      </c>
      <c r="G42" s="39">
        <f>VLOOKUP(B42,[1]השוואה!$A$2:$G$56,6,FALSE)</f>
        <v>8213.68</v>
      </c>
      <c r="H42" s="39">
        <f>VLOOKUP(B42,[1]השוואה!$A$2:$G$56,7,FALSE)</f>
        <v>8669.2800000000007</v>
      </c>
      <c r="I42" s="39">
        <f>VLOOKUP(A42,[2]השוואה!$A$2:$H$56,8,FALSE)</f>
        <v>6373.39</v>
      </c>
      <c r="J42" s="39">
        <f>VLOOKUP(A42,[3]השוואה!$A$2:$J$57,10,FALSE)</f>
        <v>4486.17</v>
      </c>
      <c r="K42" s="39">
        <v>7653.88</v>
      </c>
    </row>
    <row r="43" spans="1:11" x14ac:dyDescent="0.3">
      <c r="A43" s="298">
        <v>802</v>
      </c>
      <c r="B43" s="34" t="s">
        <v>42</v>
      </c>
      <c r="C43" s="40">
        <f>VLOOKUP(B43,[1]השוואה!$A$2:$G$56,2,FALSE)</f>
        <v>31173.65</v>
      </c>
      <c r="D43" s="40">
        <f>VLOOKUP(B43,[1]השוואה!$A$2:$G$56,3,FALSE)</f>
        <v>17066.36</v>
      </c>
      <c r="E43" s="40">
        <f>VLOOKUP(B43,[1]השוואה!$A$2:$G$56,4,FALSE)</f>
        <v>13309.25</v>
      </c>
      <c r="F43" s="40">
        <f>VLOOKUP(B43,[1]השוואה!$A$2:$G$56,5,FALSE)</f>
        <v>31915.15</v>
      </c>
      <c r="G43" s="40">
        <f>VLOOKUP(B43,[1]השוואה!$A$2:$G$56,6,FALSE)</f>
        <v>31915.15</v>
      </c>
      <c r="H43" s="40">
        <f>VLOOKUP(B43,[1]השוואה!$A$2:$G$56,7,FALSE)</f>
        <v>32622.33</v>
      </c>
      <c r="I43" s="40">
        <f>VLOOKUP(A43,[2]השוואה!$A$2:$H$56,8,FALSE)</f>
        <v>36324.230000000003</v>
      </c>
      <c r="J43" s="40">
        <f>VLOOKUP(A43,[3]השוואה!$A$2:$J$57,10,FALSE)</f>
        <v>35605.699999999997</v>
      </c>
      <c r="K43" s="40">
        <v>35582.730000000003</v>
      </c>
    </row>
    <row r="44" spans="1:11" x14ac:dyDescent="0.3">
      <c r="A44" s="298">
        <v>810</v>
      </c>
      <c r="B44" s="34" t="s">
        <v>43</v>
      </c>
      <c r="C44" s="40">
        <f>VLOOKUP(B44,[1]השוואה!$A$2:$G$56,2,FALSE)</f>
        <v>6899.22</v>
      </c>
      <c r="D44" s="40">
        <f>VLOOKUP(B44,[1]השוואה!$A$2:$G$56,3,FALSE)</f>
        <v>13751.64</v>
      </c>
      <c r="E44" s="40">
        <f>VLOOKUP(B44,[1]השוואה!$A$2:$G$56,4,FALSE)</f>
        <v>17884.61</v>
      </c>
      <c r="F44" s="40">
        <f>VLOOKUP(B44,[1]השוואה!$A$2:$G$56,5,FALSE)</f>
        <v>13978.27</v>
      </c>
      <c r="G44" s="40">
        <f>VLOOKUP(B44,[1]השוואה!$A$2:$G$56,6,FALSE)</f>
        <v>14173.93</v>
      </c>
      <c r="H44" s="40">
        <f>VLOOKUP(B44,[1]השוואה!$A$2:$G$56,7,FALSE)</f>
        <v>16305.53</v>
      </c>
      <c r="I44" s="40">
        <f>VLOOKUP(A44,[2]השוואה!$A$2:$H$56,8,FALSE)</f>
        <v>13858.18</v>
      </c>
      <c r="J44" s="40">
        <f>VLOOKUP(A44,[3]השוואה!$A$2:$J$57,10,FALSE)</f>
        <v>13660.56</v>
      </c>
      <c r="K44" s="40">
        <v>13390.8</v>
      </c>
    </row>
    <row r="45" spans="1:11" x14ac:dyDescent="0.3">
      <c r="A45" s="298">
        <v>828</v>
      </c>
      <c r="B45" s="2" t="s">
        <v>44</v>
      </c>
      <c r="C45" s="39">
        <f>VLOOKUP(B45,[1]השוואה!$A$2:$G$56,2,FALSE)</f>
        <v>4329.54</v>
      </c>
      <c r="D45" s="39">
        <f>VLOOKUP(B45,[1]השוואה!$A$2:$G$56,3,FALSE)</f>
        <v>5026.2299999999996</v>
      </c>
      <c r="E45" s="39">
        <f>VLOOKUP(B45,[1]השוואה!$A$2:$G$56,4,FALSE)</f>
        <v>5146.54</v>
      </c>
      <c r="F45" s="39">
        <f>VLOOKUP(B45,[1]השוואה!$A$2:$G$56,5,FALSE)</f>
        <v>4076.08</v>
      </c>
      <c r="G45" s="39">
        <f>VLOOKUP(B45,[1]השוואה!$A$2:$G$56,6,FALSE)</f>
        <v>4493.1099999999997</v>
      </c>
      <c r="H45" s="39">
        <f>VLOOKUP(B45,[1]השוואה!$A$2:$G$56,7,FALSE)</f>
        <v>4467.22</v>
      </c>
      <c r="I45" s="39">
        <f>VLOOKUP(A45,[2]השוואה!$A$2:$H$56,8,FALSE)</f>
        <v>3128.61</v>
      </c>
      <c r="J45" s="39">
        <f>VLOOKUP(A45,[3]השוואה!$A$2:$J$57,10,FALSE)</f>
        <v>5422.42</v>
      </c>
      <c r="K45" s="39">
        <v>6026.23</v>
      </c>
    </row>
    <row r="46" spans="1:11" x14ac:dyDescent="0.3">
      <c r="A46" s="298">
        <v>836</v>
      </c>
      <c r="B46" s="2" t="s">
        <v>45</v>
      </c>
      <c r="C46" s="39">
        <f>VLOOKUP(B46,[1]השוואה!$A$2:$G$56,2,FALSE)</f>
        <v>2604.1</v>
      </c>
      <c r="D46" s="39">
        <f>VLOOKUP(B46,[1]השוואה!$A$2:$G$56,3,FALSE)</f>
        <v>3750.63</v>
      </c>
      <c r="E46" s="39">
        <f>VLOOKUP(B46,[1]השוואה!$A$2:$G$56,4,FALSE)</f>
        <v>7809.17</v>
      </c>
      <c r="F46" s="39">
        <f>VLOOKUP(B46,[1]השוואה!$A$2:$G$56,5,FALSE)</f>
        <v>6975.85</v>
      </c>
      <c r="G46" s="39">
        <f>VLOOKUP(B46,[1]השוואה!$A$2:$G$56,6,FALSE)</f>
        <v>7273.66</v>
      </c>
      <c r="H46" s="39">
        <f>VLOOKUP(B46,[1]השוואה!$A$2:$G$56,7,FALSE)</f>
        <v>8054.69</v>
      </c>
      <c r="I46" s="39">
        <f>VLOOKUP(A46,[2]השוואה!$A$2:$H$56,8,FALSE)</f>
        <v>8091.68</v>
      </c>
      <c r="J46" s="39">
        <f>VLOOKUP(A46,[3]השוואה!$A$2:$J$57,10,FALSE)</f>
        <v>10799.24</v>
      </c>
      <c r="K46" s="39">
        <v>8639.6200000000008</v>
      </c>
    </row>
    <row r="47" spans="1:11" x14ac:dyDescent="0.3">
      <c r="A47" s="298">
        <v>844</v>
      </c>
      <c r="B47" s="2" t="s">
        <v>46</v>
      </c>
      <c r="C47" s="39">
        <f>VLOOKUP(B47,[1]השוואה!$A$2:$G$56,2,FALSE)</f>
        <v>0</v>
      </c>
      <c r="D47" s="39">
        <f>VLOOKUP(B47,[1]השוואה!$A$2:$G$56,3,FALSE)</f>
        <v>5297.4</v>
      </c>
      <c r="E47" s="39">
        <f>VLOOKUP(B47,[1]השוואה!$A$2:$G$56,4,FALSE)</f>
        <v>5418.15</v>
      </c>
      <c r="F47" s="39">
        <f>VLOOKUP(B47,[1]השוואה!$A$2:$G$56,5,FALSE)</f>
        <v>4941.7700000000004</v>
      </c>
      <c r="G47" s="39">
        <f>VLOOKUP(B47,[1]השוואה!$A$2:$G$56,6,FALSE)</f>
        <v>5822.92</v>
      </c>
      <c r="H47" s="39">
        <f>VLOOKUP(B47,[1]השוואה!$A$2:$G$56,7,FALSE)</f>
        <v>5274.18</v>
      </c>
      <c r="I47" s="39">
        <f>VLOOKUP(A47,[2]השוואה!$A$2:$H$56,8,FALSE)</f>
        <v>4989.68</v>
      </c>
      <c r="J47" s="39">
        <f>VLOOKUP(A47,[3]השוואה!$A$2:$J$57,10,FALSE)</f>
        <v>5275.64</v>
      </c>
      <c r="K47" s="39">
        <v>8237.7900000000009</v>
      </c>
    </row>
    <row r="48" spans="1:11" x14ac:dyDescent="0.3">
      <c r="A48" s="298">
        <v>851</v>
      </c>
      <c r="B48" s="2" t="s">
        <v>47</v>
      </c>
      <c r="C48" s="39">
        <f>VLOOKUP(B48,[1]השוואה!$A$2:$G$56,2,FALSE)</f>
        <v>0</v>
      </c>
      <c r="D48" s="39">
        <f>VLOOKUP(B48,[1]השוואה!$A$2:$G$56,3,FALSE)</f>
        <v>865.18</v>
      </c>
      <c r="E48" s="39">
        <f>VLOOKUP(B48,[1]השוואה!$A$2:$G$56,4,FALSE)</f>
        <v>3318.64</v>
      </c>
      <c r="F48" s="39">
        <f>VLOOKUP(B48,[1]השוואה!$A$2:$G$56,5,FALSE)</f>
        <v>4898.6499999999996</v>
      </c>
      <c r="G48" s="39">
        <f>VLOOKUP(B48,[1]השוואה!$A$2:$G$56,6,FALSE)</f>
        <v>5736.65</v>
      </c>
      <c r="H48" s="39">
        <f>VLOOKUP(B48,[1]השוואה!$A$2:$G$56,7,FALSE)</f>
        <v>5722.11</v>
      </c>
      <c r="I48" s="39">
        <f>VLOOKUP(A48,[2]השוואה!$A$2:$H$56,8,FALSE)</f>
        <v>5283.81</v>
      </c>
      <c r="J48" s="39">
        <f>VLOOKUP(A48,[3]השוואה!$A$2:$J$57,10,FALSE)</f>
        <v>3586.19</v>
      </c>
      <c r="K48" s="39">
        <v>5859.92</v>
      </c>
    </row>
    <row r="49" spans="1:11" x14ac:dyDescent="0.3">
      <c r="A49" s="298">
        <v>869</v>
      </c>
      <c r="B49" s="2" t="s">
        <v>48</v>
      </c>
      <c r="C49" s="39">
        <f>VLOOKUP(B49,[1]השוואה!$A$2:$G$56,2,FALSE)</f>
        <v>0</v>
      </c>
      <c r="D49" s="39">
        <f>VLOOKUP(B49,[1]השוואה!$A$2:$G$56,3,FALSE)</f>
        <v>0</v>
      </c>
      <c r="E49" s="39">
        <f>VLOOKUP(B49,[1]השוואה!$A$2:$G$56,4,FALSE)</f>
        <v>3587.42</v>
      </c>
      <c r="F49" s="39">
        <f>VLOOKUP(B49,[1]השוואה!$A$2:$G$56,5,FALSE)</f>
        <v>9096.39</v>
      </c>
      <c r="G49" s="39">
        <f>VLOOKUP(B49,[1]השוואה!$A$2:$G$56,6,FALSE)</f>
        <v>9297.66</v>
      </c>
      <c r="H49" s="39">
        <f>VLOOKUP(B49,[1]השוואה!$A$2:$G$56,7,FALSE)</f>
        <v>9831.08</v>
      </c>
      <c r="I49" s="39">
        <f>VLOOKUP(A49,[2]השוואה!$A$2:$H$56,8,FALSE)</f>
        <v>12994.26</v>
      </c>
      <c r="J49" s="39">
        <f>VLOOKUP(A49,[3]השוואה!$A$2:$J$57,10,FALSE)</f>
        <v>10051.370000000001</v>
      </c>
      <c r="K49" s="39">
        <v>11960.97</v>
      </c>
    </row>
    <row r="50" spans="1:11" x14ac:dyDescent="0.3">
      <c r="A50" s="298">
        <v>877</v>
      </c>
      <c r="B50" s="2" t="s">
        <v>49</v>
      </c>
      <c r="C50" s="39">
        <f>VLOOKUP(B50,[1]השוואה!$A$2:$G$56,2,FALSE)</f>
        <v>0</v>
      </c>
      <c r="D50" s="39">
        <f>VLOOKUP(B50,[1]השוואה!$A$2:$G$56,3,FALSE)</f>
        <v>0</v>
      </c>
      <c r="E50" s="39">
        <f>VLOOKUP(B50,[1]השוואה!$A$2:$G$56,4,FALSE)</f>
        <v>631.91</v>
      </c>
      <c r="F50" s="39">
        <f>VLOOKUP(B50,[1]השוואה!$A$2:$G$56,5,FALSE)</f>
        <v>5225.22</v>
      </c>
      <c r="G50" s="39">
        <f>VLOOKUP(B50,[1]השוואה!$A$2:$G$56,6,FALSE)</f>
        <v>5456.62</v>
      </c>
      <c r="H50" s="39">
        <f>VLOOKUP(B50,[1]השוואה!$A$2:$G$56,7,FALSE)</f>
        <v>3439.23</v>
      </c>
      <c r="I50" s="39">
        <f>VLOOKUP(A50,[2]השוואה!$A$2:$H$56,8,FALSE)</f>
        <v>6728.54</v>
      </c>
      <c r="J50" s="39">
        <f>VLOOKUP(A50,[3]השוואה!$A$2:$J$57,10,FALSE)</f>
        <v>6411.63</v>
      </c>
      <c r="K50" s="39">
        <v>8546.51</v>
      </c>
    </row>
    <row r="51" spans="1:11" x14ac:dyDescent="0.3">
      <c r="A51" s="298">
        <v>885</v>
      </c>
      <c r="B51" s="2" t="s">
        <v>50</v>
      </c>
      <c r="C51" s="39">
        <f>VLOOKUP(B51,[1]השוואה!$A$2:$G$56,2,FALSE)</f>
        <v>0</v>
      </c>
      <c r="D51" s="39">
        <f>VLOOKUP(B51,[1]השוואה!$A$2:$G$56,3,FALSE)</f>
        <v>0</v>
      </c>
      <c r="E51" s="39">
        <f>VLOOKUP(B51,[1]השוואה!$A$2:$G$56,4,FALSE)</f>
        <v>0</v>
      </c>
      <c r="F51" s="39">
        <f>VLOOKUP(B51,[1]השוואה!$A$2:$G$56,5,FALSE)</f>
        <v>3117.68</v>
      </c>
      <c r="G51" s="39">
        <f>VLOOKUP(B51,[1]השוואה!$A$2:$G$56,6,FALSE)</f>
        <v>4479.3100000000004</v>
      </c>
      <c r="H51" s="39">
        <f>VLOOKUP(B51,[1]השוואה!$A$2:$G$56,7,FALSE)</f>
        <v>3480.87</v>
      </c>
      <c r="I51" s="39">
        <f>VLOOKUP(A51,[2]השוואה!$A$2:$H$56,8,FALSE)</f>
        <v>3267.76</v>
      </c>
      <c r="J51" s="39">
        <f>VLOOKUP(A51,[3]השוואה!$A$2:$J$57,10,FALSE)</f>
        <v>6640.59</v>
      </c>
      <c r="K51" s="39">
        <v>6477.22</v>
      </c>
    </row>
    <row r="52" spans="1:11" x14ac:dyDescent="0.3">
      <c r="A52" s="298">
        <v>893</v>
      </c>
      <c r="B52" s="2" t="s">
        <v>51</v>
      </c>
      <c r="C52" s="39">
        <f>VLOOKUP(B52,[1]השוואה!$A$2:$G$56,2,FALSE)</f>
        <v>0</v>
      </c>
      <c r="D52" s="39">
        <f>VLOOKUP(B52,[1]השוואה!$A$2:$G$56,3,FALSE)</f>
        <v>0</v>
      </c>
      <c r="E52" s="39">
        <f>VLOOKUP(B52,[1]השוואה!$A$2:$G$56,4,FALSE)</f>
        <v>0</v>
      </c>
      <c r="F52" s="39">
        <f>VLOOKUP(B52,[1]השוואה!$A$2:$G$56,5,FALSE)</f>
        <v>3110.88</v>
      </c>
      <c r="G52" s="39">
        <f>VLOOKUP(B52,[1]השוואה!$A$2:$G$56,6,FALSE)</f>
        <v>4295.1499999999996</v>
      </c>
      <c r="H52" s="39">
        <f>VLOOKUP(B52,[1]השוואה!$A$2:$G$56,7,FALSE)</f>
        <v>3640.77</v>
      </c>
      <c r="I52" s="39">
        <f>VLOOKUP(A52,[2]השוואה!$A$2:$H$56,8,FALSE)</f>
        <v>2299.5500000000002</v>
      </c>
      <c r="J52" s="39">
        <f>VLOOKUP(A52,[3]השוואה!$A$2:$J$57,10,FALSE)</f>
        <v>4191.54</v>
      </c>
      <c r="K52" s="39">
        <v>5127.6000000000004</v>
      </c>
    </row>
    <row r="53" spans="1:11" x14ac:dyDescent="0.3">
      <c r="A53" s="298">
        <v>901</v>
      </c>
      <c r="B53" s="2" t="s">
        <v>52</v>
      </c>
      <c r="C53" s="39">
        <f>VLOOKUP(B53,[1]השוואה!$A$2:$G$56,2,FALSE)</f>
        <v>0</v>
      </c>
      <c r="D53" s="39">
        <f>VLOOKUP(B53,[1]השוואה!$A$2:$G$56,3,FALSE)</f>
        <v>0</v>
      </c>
      <c r="E53" s="39">
        <f>VLOOKUP(B53,[1]השוואה!$A$2:$G$56,4,FALSE)</f>
        <v>0</v>
      </c>
      <c r="F53" s="39">
        <f>VLOOKUP(B53,[1]השוואה!$A$2:$G$56,5,FALSE)</f>
        <v>1925.6</v>
      </c>
      <c r="G53" s="39">
        <f>VLOOKUP(B53,[1]השוואה!$A$2:$G$56,6,FALSE)</f>
        <v>6705.54</v>
      </c>
      <c r="H53" s="39">
        <f>VLOOKUP(B53,[1]השוואה!$A$2:$G$56,7,FALSE)</f>
        <v>7418.99</v>
      </c>
      <c r="I53" s="39">
        <f>VLOOKUP(A53,[2]השוואה!$A$2:$H$56,8,FALSE)</f>
        <v>6112.62</v>
      </c>
      <c r="J53" s="39">
        <f>VLOOKUP(A53,[3]השוואה!$A$2:$J$57,10,FALSE)</f>
        <v>8416.06</v>
      </c>
      <c r="K53" s="39">
        <v>9591.0400000000009</v>
      </c>
    </row>
    <row r="54" spans="1:11" x14ac:dyDescent="0.3">
      <c r="A54" s="298">
        <v>919</v>
      </c>
      <c r="B54" s="34" t="s">
        <v>53</v>
      </c>
      <c r="C54" s="40">
        <f>VLOOKUP(B54,[1]השוואה!$A$2:$G$56,2,FALSE)</f>
        <v>0</v>
      </c>
      <c r="D54" s="40">
        <f>VLOOKUP(B54,[1]השוואה!$A$2:$G$56,3,FALSE)</f>
        <v>0</v>
      </c>
      <c r="E54" s="40">
        <f>VLOOKUP(B54,[1]השוואה!$A$2:$G$56,4,FALSE)</f>
        <v>0</v>
      </c>
      <c r="F54" s="40">
        <f>VLOOKUP(B54,[1]השוואה!$A$2:$G$56,5,FALSE)</f>
        <v>0</v>
      </c>
      <c r="G54" s="40">
        <f>VLOOKUP(B54,[1]השוואה!$A$2:$G$56,6,FALSE)</f>
        <v>6452.51</v>
      </c>
      <c r="H54" s="40">
        <f>VLOOKUP(B54,[1]השוואה!$A$2:$G$56,7,FALSE)</f>
        <v>11293.66</v>
      </c>
      <c r="I54" s="40">
        <f>VLOOKUP(A54,[2]השוואה!$A$2:$H$56,8,FALSE)</f>
        <v>13580.46</v>
      </c>
      <c r="J54" s="40">
        <f>VLOOKUP(A54,[3]השוואה!$A$2:$J$57,10,FALSE)</f>
        <v>9845.7999999999993</v>
      </c>
      <c r="K54" s="40">
        <v>0</v>
      </c>
    </row>
    <row r="55" spans="1:11" x14ac:dyDescent="0.3">
      <c r="A55" s="298">
        <v>927</v>
      </c>
      <c r="B55" s="2" t="s">
        <v>54</v>
      </c>
      <c r="C55" s="39">
        <f>VLOOKUP(B55,[1]השוואה!$A$2:$G$56,2,FALSE)</f>
        <v>0</v>
      </c>
      <c r="D55" s="39">
        <f>VLOOKUP(B55,[1]השוואה!$A$2:$G$56,3,FALSE)</f>
        <v>0</v>
      </c>
      <c r="E55" s="39">
        <f>VLOOKUP(B55,[1]השוואה!$A$2:$G$56,4,FALSE)</f>
        <v>0</v>
      </c>
      <c r="F55" s="39">
        <f>VLOOKUP(B55,[1]השוואה!$A$2:$G$56,5,FALSE)</f>
        <v>0</v>
      </c>
      <c r="G55" s="39">
        <f>VLOOKUP(B55,[1]השוואה!$A$2:$G$56,6,FALSE)</f>
        <v>769.08</v>
      </c>
      <c r="H55" s="39">
        <f>VLOOKUP(B55,[1]השוואה!$A$2:$G$56,7,FALSE)</f>
        <v>5026.17</v>
      </c>
      <c r="I55" s="39">
        <f>VLOOKUP(A55,[2]השוואה!$A$2:$H$56,8,FALSE)</f>
        <v>4363.83</v>
      </c>
      <c r="J55" s="39">
        <f>VLOOKUP(A55,[3]השוואה!$A$2:$J$57,10,FALSE)</f>
        <v>4892.96</v>
      </c>
      <c r="K55" s="39">
        <v>6574.09</v>
      </c>
    </row>
    <row r="56" spans="1:11" x14ac:dyDescent="0.3">
      <c r="A56" s="298">
        <v>935</v>
      </c>
      <c r="B56" s="2" t="s">
        <v>55</v>
      </c>
      <c r="C56" s="39">
        <f>VLOOKUP(B56,[1]השוואה!$A$2:$G$56,2,FALSE)</f>
        <v>0</v>
      </c>
      <c r="D56" s="39">
        <f>VLOOKUP(B56,[1]השוואה!$A$2:$G$56,3,FALSE)</f>
        <v>0</v>
      </c>
      <c r="E56" s="39">
        <f>VLOOKUP(B56,[1]השוואה!$A$2:$G$56,4,FALSE)</f>
        <v>0</v>
      </c>
      <c r="F56" s="39">
        <f>VLOOKUP(B56,[1]השוואה!$A$2:$G$56,5,FALSE)</f>
        <v>0</v>
      </c>
      <c r="G56" s="39">
        <f>VLOOKUP(B56,[1]השוואה!$A$2:$G$56,6,FALSE)</f>
        <v>0</v>
      </c>
      <c r="H56" s="39">
        <f>VLOOKUP(B56,[1]השוואה!$A$2:$G$56,7,FALSE)</f>
        <v>3042.14</v>
      </c>
      <c r="I56" s="39">
        <f>VLOOKUP(A56,[2]השוואה!$A$2:$H$56,8,FALSE)</f>
        <v>5455.95</v>
      </c>
      <c r="J56" s="39">
        <f>VLOOKUP(A56,[3]השוואה!$A$2:$J$57,10,FALSE)</f>
        <v>8070.63</v>
      </c>
      <c r="K56" s="39">
        <v>10201.1</v>
      </c>
    </row>
    <row r="57" spans="1:11" x14ac:dyDescent="0.3">
      <c r="A57" s="298">
        <v>943</v>
      </c>
      <c r="B57" s="34" t="s">
        <v>932</v>
      </c>
      <c r="C57" s="34"/>
      <c r="D57" s="34"/>
      <c r="E57" s="34"/>
      <c r="F57" s="34"/>
      <c r="G57" s="34"/>
      <c r="H57" s="34"/>
      <c r="I57" s="34"/>
      <c r="J57" s="40">
        <f>VLOOKUP(A57,[3]השוואה!$A$2:$J$57,10,FALSE)</f>
        <v>13367.24</v>
      </c>
      <c r="K57" s="40">
        <v>22239.24</v>
      </c>
    </row>
    <row r="58" spans="1:11" x14ac:dyDescent="0.3">
      <c r="A58" s="352">
        <v>950</v>
      </c>
      <c r="B58" s="353" t="s">
        <v>969</v>
      </c>
      <c r="C58" s="2"/>
      <c r="D58" s="2"/>
      <c r="E58" s="2"/>
      <c r="F58" s="2"/>
      <c r="G58" s="2"/>
      <c r="H58" s="2"/>
      <c r="I58" s="2"/>
      <c r="J58" s="39"/>
      <c r="K58" s="39">
        <v>12702.25</v>
      </c>
    </row>
    <row r="59" spans="1:11" x14ac:dyDescent="0.3">
      <c r="B59" s="3" t="s">
        <v>56</v>
      </c>
      <c r="C59" s="5">
        <f t="shared" ref="C59:D59" si="0">SUM(C2:C58)</f>
        <v>656541.34</v>
      </c>
      <c r="D59" s="5">
        <f t="shared" si="0"/>
        <v>584446.02000000014</v>
      </c>
      <c r="E59" s="5">
        <f>SUM(E2:E58)</f>
        <v>565594.0900000002</v>
      </c>
      <c r="F59" s="5">
        <f t="shared" ref="F59:J59" si="1">SUM(F2:F58)</f>
        <v>546170.13</v>
      </c>
      <c r="G59" s="5">
        <f t="shared" si="1"/>
        <v>668391.97000000032</v>
      </c>
      <c r="H59" s="5">
        <f t="shared" si="1"/>
        <v>538411.92000000004</v>
      </c>
      <c r="I59" s="5">
        <f t="shared" si="1"/>
        <v>500893.01000000007</v>
      </c>
      <c r="J59" s="5">
        <f t="shared" si="1"/>
        <v>580674.16</v>
      </c>
      <c r="K59" s="5">
        <f t="shared" ref="K59" si="2">SUM(K2:K58)</f>
        <v>626492.52999999991</v>
      </c>
    </row>
    <row r="62" spans="1:11" x14ac:dyDescent="0.3">
      <c r="B62" t="s">
        <v>440</v>
      </c>
      <c r="C62" s="31">
        <f t="shared" ref="C62:D62" si="3">+C59-C63</f>
        <v>231166.65999999992</v>
      </c>
      <c r="D62" s="31">
        <f t="shared" si="3"/>
        <v>227729.85000000015</v>
      </c>
      <c r="E62" s="31">
        <f>+E59-E63</f>
        <v>241617.18000000023</v>
      </c>
      <c r="F62" s="31">
        <f t="shared" ref="F62:G62" si="4">+F59-F63</f>
        <v>230396.33999999997</v>
      </c>
      <c r="G62" s="31">
        <f t="shared" si="4"/>
        <v>250021.94000000029</v>
      </c>
      <c r="H62" s="31">
        <f>+H59-H63</f>
        <v>217251.76</v>
      </c>
      <c r="I62" s="31">
        <f>+I59-I63</f>
        <v>212696.52000000008</v>
      </c>
      <c r="J62" s="31">
        <f>+J59-J63</f>
        <v>213807.67000000004</v>
      </c>
      <c r="K62" s="31">
        <f>+K59-K63</f>
        <v>275050.90999999992</v>
      </c>
    </row>
    <row r="63" spans="1:11" x14ac:dyDescent="0.3">
      <c r="B63" t="s">
        <v>441</v>
      </c>
      <c r="C63" s="41">
        <f t="shared" ref="C63:D63" si="5">SUM(C54,C43:C44,C41,C31:C33,C29,C27,C23:C24,C20:C21,C15,C13,C11,C8,C3:C6)</f>
        <v>425374.68000000005</v>
      </c>
      <c r="D63" s="41">
        <f t="shared" si="5"/>
        <v>356716.17</v>
      </c>
      <c r="E63" s="41">
        <f>SUM(E54,E43:E44,E41,E31:E33,E29,E27,E23:E24,E20:E21,E15,E13,E11,E8,E3:E6)</f>
        <v>323976.90999999997</v>
      </c>
      <c r="F63" s="41">
        <f t="shared" ref="F63:H63" si="6">SUM(F54,F43:F44,F41,F31:F33,F29,F27,F23:F24,F20:F21,F15,F13,F11,F8,F3:F6)</f>
        <v>315773.79000000004</v>
      </c>
      <c r="G63" s="41">
        <f t="shared" si="6"/>
        <v>418370.03</v>
      </c>
      <c r="H63" s="41">
        <f t="shared" si="6"/>
        <v>321160.16000000003</v>
      </c>
      <c r="I63" s="41">
        <f t="shared" ref="I63" si="7">SUM(I54,I43:I44,I41,I31:I33,I29,I27,I23:I24,I20:I21,I15,I13,I11,I8,I3:I6)</f>
        <v>288196.49</v>
      </c>
      <c r="J63" s="41">
        <f>SUM(J54,J43:J44,J41,J31:J33,J29,J27,J23:J24,J20:J21,J15,J13,J11,J8,J3:J6,J57)</f>
        <v>366866.49</v>
      </c>
      <c r="K63" s="41">
        <f>SUM(K54,K43:K44,K41,K31:K33,K29,K27,K23:K24,K20:K21,K15,K13,K11,K8,K3:K6,K57)</f>
        <v>351441.62</v>
      </c>
    </row>
    <row r="64" spans="1:11" x14ac:dyDescent="0.3">
      <c r="I64" t="s">
        <v>961</v>
      </c>
      <c r="J64" s="314">
        <f>+J63-J4</f>
        <v>314216.49</v>
      </c>
      <c r="K64" s="314"/>
    </row>
  </sheetData>
  <autoFilter ref="B1:I56" xr:uid="{666D0A99-E1F6-4D19-AEAA-5AB626A0E30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8623-744D-460B-B549-C7D4081EAE31}">
  <sheetPr>
    <tabColor rgb="FF92D050"/>
  </sheetPr>
  <dimension ref="A1:R36"/>
  <sheetViews>
    <sheetView rightToLeft="1" topLeftCell="A35" workbookViewId="0">
      <selection activeCell="A44" sqref="A44:XFD1048576"/>
    </sheetView>
  </sheetViews>
  <sheetFormatPr defaultRowHeight="14" x14ac:dyDescent="0.3"/>
  <cols>
    <col min="1" max="1" width="13" bestFit="1" customWidth="1"/>
    <col min="2" max="2" width="14.08203125" bestFit="1" customWidth="1"/>
    <col min="17" max="17" width="9.33203125" bestFit="1" customWidth="1"/>
  </cols>
  <sheetData>
    <row r="1" spans="1:18" x14ac:dyDescent="0.3">
      <c r="A1" t="s">
        <v>909</v>
      </c>
      <c r="B1" s="6"/>
      <c r="C1" s="1">
        <v>1.25</v>
      </c>
      <c r="D1" s="1">
        <v>2.25</v>
      </c>
      <c r="E1" s="1">
        <v>3.25</v>
      </c>
      <c r="F1" s="1">
        <v>4.25</v>
      </c>
      <c r="G1" s="1">
        <v>5.25</v>
      </c>
      <c r="H1" s="1">
        <v>6.25</v>
      </c>
      <c r="I1" s="1">
        <v>7.25</v>
      </c>
      <c r="J1" s="1">
        <v>8.25</v>
      </c>
      <c r="K1" s="1">
        <v>9.25</v>
      </c>
      <c r="L1" s="1">
        <v>10.25</v>
      </c>
      <c r="M1" s="1">
        <v>11.25</v>
      </c>
      <c r="N1" s="1">
        <v>12.25</v>
      </c>
      <c r="O1" s="1">
        <v>1.26</v>
      </c>
      <c r="P1" s="1">
        <v>2.2599999999999998</v>
      </c>
      <c r="Q1" s="1">
        <v>3.26</v>
      </c>
      <c r="R1" s="1">
        <v>4.26</v>
      </c>
    </row>
    <row r="3" spans="1:18" x14ac:dyDescent="0.3">
      <c r="A3">
        <v>141</v>
      </c>
      <c r="B3" t="s">
        <v>57</v>
      </c>
      <c r="C3" s="4">
        <f>VLOOKUP($B3,[4]השוואה!$A$4:$J$28,2,FALSE)</f>
        <v>9454.4</v>
      </c>
      <c r="D3" s="4">
        <f>VLOOKUP($B3,[4]השוואה!$A$4:$J$28,3,FALSE)</f>
        <v>7376.31</v>
      </c>
      <c r="E3" s="4">
        <f>VLOOKUP($B3,[4]השוואה!$A$4:$J$28,4,FALSE)</f>
        <v>8035.97</v>
      </c>
      <c r="F3" s="4">
        <f>VLOOKUP($B3,[4]השוואה!$A$4:$J$28,5,FALSE)</f>
        <v>7626.95</v>
      </c>
      <c r="G3" s="4">
        <f>VLOOKUP($B3,[4]השוואה!$A$4:$J$28,6,FALSE)</f>
        <v>8317.2900000000009</v>
      </c>
      <c r="H3" s="4">
        <f>VLOOKUP($B3,[4]השוואה!$A$4:$J$28,7,FALSE)</f>
        <v>6343.07</v>
      </c>
      <c r="I3" s="4">
        <f>VLOOKUP($B3,[4]השוואה!$A$4:$J$28,8,FALSE)</f>
        <v>10132.18</v>
      </c>
      <c r="J3" s="4">
        <f>VLOOKUP($B3,[4]השוואה!$A$4:$J$28,9,FALSE)</f>
        <v>8195.16</v>
      </c>
      <c r="K3" s="4">
        <f>VLOOKUP($B3,[4]השוואה!$A$4:$J$28,10,FALSE)</f>
        <v>9717.17</v>
      </c>
      <c r="L3" s="4">
        <v>7021.55</v>
      </c>
      <c r="M3" s="4">
        <v>6221.73</v>
      </c>
      <c r="N3" s="4">
        <v>6247.61</v>
      </c>
      <c r="O3" s="4"/>
      <c r="P3" s="4">
        <v>0</v>
      </c>
      <c r="Q3" s="4">
        <v>13.49</v>
      </c>
      <c r="R3" s="4">
        <v>0</v>
      </c>
    </row>
    <row r="4" spans="1:18" x14ac:dyDescent="0.3">
      <c r="A4">
        <v>265</v>
      </c>
      <c r="B4" t="s">
        <v>58</v>
      </c>
      <c r="C4" s="4">
        <f>VLOOKUP($B4,[4]השוואה!$A$4:$J$28,2,FALSE)</f>
        <v>1819.65</v>
      </c>
      <c r="D4" s="4">
        <f>VLOOKUP($B4,[4]השוואה!$A$4:$J$28,3,FALSE)</f>
        <v>4991.1000000000004</v>
      </c>
      <c r="E4" s="4">
        <f>VLOOKUP($B4,[4]השוואה!$A$4:$J$28,4,FALSE)</f>
        <v>5162.55</v>
      </c>
      <c r="F4" s="4">
        <f>VLOOKUP($B4,[4]השוואה!$A$4:$J$28,5,FALSE)</f>
        <v>4784.8999999999996</v>
      </c>
      <c r="G4" s="4">
        <f>VLOOKUP($B4,[4]השוואה!$A$4:$J$28,6,FALSE)</f>
        <v>5249.83</v>
      </c>
      <c r="H4" s="4">
        <f>VLOOKUP($B4,[4]השוואה!$A$4:$J$28,7,FALSE)</f>
        <v>1177.68</v>
      </c>
      <c r="I4" s="4">
        <f>VLOOKUP($B4,[4]השוואה!$A$4:$J$28,8,FALSE)</f>
        <v>2098.02</v>
      </c>
      <c r="J4" s="4">
        <f>VLOOKUP($B4,[4]השוואה!$A$4:$J$28,9,FALSE)</f>
        <v>4583.51</v>
      </c>
      <c r="K4" s="4">
        <f>VLOOKUP($B4,[4]השוואה!$A$4:$J$28,10,FALSE)</f>
        <v>5089.84</v>
      </c>
      <c r="L4" s="4">
        <v>3791.69</v>
      </c>
      <c r="M4" s="4">
        <v>6256.56</v>
      </c>
      <c r="N4" s="4">
        <v>4717.04</v>
      </c>
      <c r="O4" s="4">
        <v>5435.41</v>
      </c>
      <c r="P4" s="4">
        <v>4770.6899999999996</v>
      </c>
      <c r="Q4" s="4">
        <v>6201.71</v>
      </c>
      <c r="R4" s="4">
        <v>0</v>
      </c>
    </row>
    <row r="5" spans="1:18" x14ac:dyDescent="0.3">
      <c r="B5" t="s">
        <v>59</v>
      </c>
      <c r="C5" s="4">
        <f>VLOOKUP($B5,[4]השוואה!$A$4:$J$28,2,FALSE)</f>
        <v>0</v>
      </c>
      <c r="D5" s="4">
        <f>VLOOKUP($B5,[4]השוואה!$A$4:$J$28,3,FALSE)</f>
        <v>0</v>
      </c>
      <c r="E5" s="4">
        <f>VLOOKUP($B5,[4]השוואה!$A$4:$J$28,4,FALSE)</f>
        <v>0</v>
      </c>
      <c r="F5" s="4">
        <f>VLOOKUP($B5,[4]השוואה!$A$4:$J$28,5,FALSE)</f>
        <v>0</v>
      </c>
      <c r="G5" s="4">
        <f>VLOOKUP($B5,[4]השוואה!$A$4:$J$28,6,FALSE)</f>
        <v>0</v>
      </c>
      <c r="H5" s="4">
        <f>VLOOKUP($B5,[4]השוואה!$A$4:$J$28,7,FALSE)</f>
        <v>1445.53</v>
      </c>
      <c r="I5" s="4">
        <f>VLOOKUP($B5,[4]השוואה!$A$4:$J$28,8,FALSE)</f>
        <v>5634.61</v>
      </c>
      <c r="J5" s="4">
        <f>VLOOKUP($B5,[4]השוואה!$A$4:$J$28,9,FALSE)</f>
        <v>4832.6899999999996</v>
      </c>
      <c r="K5" s="4">
        <f>VLOOKUP($B5,[4]השוואה!$A$4:$J$28,10,FALSE)</f>
        <v>0</v>
      </c>
      <c r="L5" s="4">
        <v>0</v>
      </c>
      <c r="M5" s="4">
        <v>0</v>
      </c>
      <c r="N5" s="4">
        <v>0</v>
      </c>
      <c r="O5" s="4"/>
      <c r="P5" s="4"/>
      <c r="Q5" s="4"/>
      <c r="R5" s="4"/>
    </row>
    <row r="6" spans="1:18" s="32" customFormat="1" x14ac:dyDescent="0.3">
      <c r="A6" s="32">
        <v>59</v>
      </c>
      <c r="B6" s="32" t="s">
        <v>60</v>
      </c>
      <c r="C6" s="30">
        <f>VLOOKUP($B6,[4]השוואה!$A$4:$J$28,2,FALSE)</f>
        <v>0</v>
      </c>
      <c r="D6" s="30">
        <f>VLOOKUP($B6,[4]השוואה!$A$4:$J$28,3,FALSE)</f>
        <v>0</v>
      </c>
      <c r="E6" s="30">
        <f>VLOOKUP($B6,[4]השוואה!$A$4:$J$28,4,FALSE)</f>
        <v>0</v>
      </c>
      <c r="F6" s="30">
        <f>VLOOKUP($B6,[4]השוואה!$A$4:$J$28,5,FALSE)</f>
        <v>0</v>
      </c>
      <c r="G6" s="30">
        <f>VLOOKUP($B6,[4]השוואה!$A$4:$J$28,6,FALSE)</f>
        <v>11525.5</v>
      </c>
      <c r="H6" s="30">
        <f>VLOOKUP($B6,[4]השוואה!$A$4:$J$28,7,FALSE)</f>
        <v>25386.59</v>
      </c>
      <c r="I6" s="30">
        <f>VLOOKUP($B6,[4]השוואה!$A$4:$J$28,8,FALSE)</f>
        <v>24980.94</v>
      </c>
      <c r="J6" s="30">
        <f>VLOOKUP($B6,[4]השוואה!$A$4:$J$28,9,FALSE)</f>
        <v>25411.02</v>
      </c>
      <c r="K6" s="30">
        <f>VLOOKUP($B6,[4]השוואה!$A$4:$J$28,10,FALSE)</f>
        <v>25437.22</v>
      </c>
      <c r="L6" s="30">
        <v>25411.02</v>
      </c>
      <c r="M6" s="30">
        <v>25411.02</v>
      </c>
      <c r="N6" s="30">
        <v>43559.74</v>
      </c>
      <c r="O6" s="30">
        <v>55690.27</v>
      </c>
      <c r="P6" s="30">
        <v>30590.28</v>
      </c>
      <c r="Q6" s="30">
        <v>24.01</v>
      </c>
      <c r="R6" s="30">
        <v>30590.28</v>
      </c>
    </row>
    <row r="7" spans="1:18" x14ac:dyDescent="0.3">
      <c r="B7" t="s">
        <v>61</v>
      </c>
      <c r="C7" s="4">
        <f>VLOOKUP($B7,[4]השוואה!$A$4:$J$28,2,FALSE)</f>
        <v>0</v>
      </c>
      <c r="D7" s="4">
        <f>VLOOKUP($B7,[4]השוואה!$A$4:$J$28,3,FALSE)</f>
        <v>0</v>
      </c>
      <c r="E7" s="4">
        <f>VLOOKUP($B7,[4]השוואה!$A$4:$J$28,4,FALSE)</f>
        <v>0</v>
      </c>
      <c r="F7" s="4">
        <f>VLOOKUP($B7,[4]השוואה!$A$4:$J$28,5,FALSE)</f>
        <v>0</v>
      </c>
      <c r="G7" s="4">
        <f>VLOOKUP($B7,[4]השוואה!$A$4:$J$28,6,FALSE)</f>
        <v>0</v>
      </c>
      <c r="H7" s="4">
        <f>VLOOKUP($B7,[4]השוואה!$A$4:$J$28,7,FALSE)</f>
        <v>0</v>
      </c>
      <c r="I7" s="4">
        <f>VLOOKUP($B7,[4]השוואה!$A$4:$J$28,8,FALSE)</f>
        <v>0</v>
      </c>
      <c r="J7" s="4">
        <f>VLOOKUP($B7,[4]השוואה!$A$4:$J$28,9,FALSE)</f>
        <v>1233.5999999999999</v>
      </c>
      <c r="K7" s="4">
        <f>VLOOKUP($B7,[4]השוואה!$A$4:$J$28,10,FALSE)</f>
        <v>0</v>
      </c>
      <c r="L7" s="4">
        <v>0</v>
      </c>
      <c r="M7" s="4">
        <v>0</v>
      </c>
      <c r="N7" s="4">
        <v>0</v>
      </c>
      <c r="O7" s="4"/>
      <c r="P7" s="4"/>
      <c r="Q7" s="4"/>
      <c r="R7" s="4"/>
    </row>
    <row r="8" spans="1:18" s="32" customFormat="1" x14ac:dyDescent="0.3">
      <c r="A8" s="32">
        <v>42</v>
      </c>
      <c r="B8" s="32" t="s">
        <v>62</v>
      </c>
      <c r="C8" s="30">
        <f>VLOOKUP($B8,[4]השוואה!$A$4:$J$28,2,FALSE)</f>
        <v>27618.240000000002</v>
      </c>
      <c r="D8" s="30">
        <f>VLOOKUP($B8,[4]השוואה!$A$4:$J$28,3,FALSE)</f>
        <v>27618.240000000002</v>
      </c>
      <c r="E8" s="30">
        <f>VLOOKUP($B8,[4]השוואה!$A$4:$J$28,4,FALSE)</f>
        <v>27618.240000000002</v>
      </c>
      <c r="F8" s="30">
        <f>VLOOKUP($B8,[4]השוואה!$A$4:$J$28,5,FALSE)</f>
        <v>27618.240000000002</v>
      </c>
      <c r="G8" s="30">
        <f>VLOOKUP($B8,[4]השוואה!$A$4:$J$28,6,FALSE)</f>
        <v>27618.240000000002</v>
      </c>
      <c r="H8" s="30">
        <f>VLOOKUP($B8,[4]השוואה!$A$4:$J$28,7,FALSE)</f>
        <v>27618.240000000002</v>
      </c>
      <c r="I8" s="30">
        <f>VLOOKUP($B8,[4]השוואה!$A$4:$J$28,8,FALSE)</f>
        <v>27618.240000000002</v>
      </c>
      <c r="J8" s="30">
        <f>VLOOKUP($B8,[4]השוואה!$A$4:$J$28,9,FALSE)</f>
        <v>27618.240000000002</v>
      </c>
      <c r="K8" s="30">
        <f>VLOOKUP($B8,[4]השוואה!$A$4:$J$28,10,FALSE)</f>
        <v>27618.240000000002</v>
      </c>
      <c r="L8" s="30">
        <v>0</v>
      </c>
      <c r="M8" s="30">
        <v>0</v>
      </c>
      <c r="N8" s="30">
        <v>0</v>
      </c>
      <c r="O8" s="30"/>
      <c r="P8" s="30"/>
      <c r="Q8" s="313">
        <v>36394.81</v>
      </c>
      <c r="R8" s="30">
        <v>0</v>
      </c>
    </row>
    <row r="9" spans="1:18" x14ac:dyDescent="0.3">
      <c r="A9">
        <v>174</v>
      </c>
      <c r="B9" t="s">
        <v>63</v>
      </c>
      <c r="C9" s="4">
        <f>VLOOKUP($B9,[4]השוואה!$A$4:$J$28,2,FALSE)</f>
        <v>7002.33</v>
      </c>
      <c r="D9" s="4">
        <f>VLOOKUP($B9,[4]השוואה!$A$4:$J$28,3,FALSE)</f>
        <v>5703.52</v>
      </c>
      <c r="E9" s="4">
        <f>VLOOKUP($B9,[4]השוואה!$A$4:$J$28,4,FALSE)</f>
        <v>7212.32</v>
      </c>
      <c r="F9" s="4">
        <f>VLOOKUP($B9,[4]השוואה!$A$4:$J$28,5,FALSE)</f>
        <v>7450.97</v>
      </c>
      <c r="G9" s="4">
        <f>VLOOKUP($B9,[4]השוואה!$A$4:$J$28,6,FALSE)</f>
        <v>5348.03</v>
      </c>
      <c r="H9" s="4">
        <f>VLOOKUP($B9,[4]השוואה!$A$4:$J$28,7,FALSE)</f>
        <v>6288.3</v>
      </c>
      <c r="I9" s="4">
        <f>VLOOKUP($B9,[4]השוואה!$A$4:$J$28,8,FALSE)</f>
        <v>8617.81</v>
      </c>
      <c r="J9" s="4">
        <f>VLOOKUP($B9,[4]השוואה!$A$4:$J$28,9,FALSE)</f>
        <v>8351.36</v>
      </c>
      <c r="K9" s="4">
        <f>VLOOKUP($B9,[4]השוואה!$A$4:$J$28,10,FALSE)</f>
        <v>6564.54</v>
      </c>
      <c r="L9" s="4">
        <v>9420.56</v>
      </c>
      <c r="M9" s="4">
        <v>6549.2</v>
      </c>
      <c r="N9" s="4">
        <v>7618.83</v>
      </c>
      <c r="O9" s="4">
        <v>6205.14</v>
      </c>
      <c r="P9" s="4">
        <v>6285.56</v>
      </c>
      <c r="Q9" s="4">
        <v>6815.18</v>
      </c>
      <c r="R9" s="4">
        <v>10046.33</v>
      </c>
    </row>
    <row r="10" spans="1:18" s="32" customFormat="1" x14ac:dyDescent="0.3">
      <c r="A10" s="32">
        <v>83</v>
      </c>
      <c r="B10" s="32" t="s">
        <v>64</v>
      </c>
      <c r="C10" s="30">
        <f>VLOOKUP($B10,[4]השוואה!$A$4:$J$28,2,FALSE)</f>
        <v>8079.33</v>
      </c>
      <c r="D10" s="30">
        <f>VLOOKUP($B10,[4]השוואה!$A$4:$J$28,3,FALSE)</f>
        <v>8462.94</v>
      </c>
      <c r="E10" s="30">
        <f>VLOOKUP($B10,[4]השוואה!$A$4:$J$28,4,FALSE)</f>
        <v>8267.91</v>
      </c>
      <c r="F10" s="30">
        <f>VLOOKUP($B10,[4]השוואה!$A$4:$J$28,5,FALSE)</f>
        <v>10162.540000000001</v>
      </c>
      <c r="G10" s="30">
        <f>VLOOKUP($B10,[4]השוואה!$A$4:$J$28,6,FALSE)</f>
        <v>8759.64</v>
      </c>
      <c r="H10" s="30">
        <f>VLOOKUP($B10,[4]השוואה!$A$4:$J$28,7,FALSE)</f>
        <v>8167.91</v>
      </c>
      <c r="I10" s="30">
        <f>VLOOKUP($B10,[4]השוואה!$A$4:$J$28,8,FALSE)</f>
        <v>6469.48</v>
      </c>
      <c r="J10" s="30">
        <f>VLOOKUP($B10,[4]השוואה!$A$4:$J$28,9,FALSE)</f>
        <v>9587.75</v>
      </c>
      <c r="K10" s="30">
        <f>VLOOKUP($B10,[4]השוואה!$A$4:$J$28,10,FALSE)</f>
        <v>9500.4699999999993</v>
      </c>
      <c r="L10" s="30">
        <v>7997.44</v>
      </c>
      <c r="M10" s="30">
        <v>9117.01</v>
      </c>
      <c r="N10" s="30">
        <v>8365.64</v>
      </c>
      <c r="O10" s="30">
        <v>8090.2</v>
      </c>
      <c r="P10" s="30">
        <v>9561.4599999999991</v>
      </c>
      <c r="Q10" s="30">
        <v>8200.2199999999993</v>
      </c>
      <c r="R10" s="30">
        <v>6501.06</v>
      </c>
    </row>
    <row r="11" spans="1:18" s="32" customFormat="1" x14ac:dyDescent="0.3">
      <c r="A11" s="32">
        <v>208</v>
      </c>
      <c r="B11" s="32" t="s">
        <v>65</v>
      </c>
      <c r="C11" s="30">
        <f>VLOOKUP($B11,[4]השוואה!$A$4:$J$28,2,FALSE)</f>
        <v>0</v>
      </c>
      <c r="D11" s="30">
        <f>VLOOKUP($B11,[4]השוואה!$A$4:$J$28,3,FALSE)</f>
        <v>0</v>
      </c>
      <c r="E11" s="30">
        <f>VLOOKUP($B11,[4]השוואה!$A$4:$J$28,4,FALSE)</f>
        <v>0</v>
      </c>
      <c r="F11" s="30">
        <f>VLOOKUP($B11,[4]השוואה!$A$4:$J$28,5,FALSE)</f>
        <v>0</v>
      </c>
      <c r="G11" s="30">
        <f>VLOOKUP($B11,[4]השוואה!$A$4:$J$28,6,FALSE)</f>
        <v>0</v>
      </c>
      <c r="H11" s="30">
        <f>VLOOKUP($B11,[4]השוואה!$A$4:$J$28,7,FALSE)</f>
        <v>0</v>
      </c>
      <c r="I11" s="30">
        <f>VLOOKUP($B11,[4]השוואה!$A$4:$J$28,8,FALSE)</f>
        <v>0</v>
      </c>
      <c r="J11" s="30">
        <f>VLOOKUP($B11,[4]השוואה!$A$4:$J$28,9,FALSE)</f>
        <v>0</v>
      </c>
      <c r="K11" s="30">
        <f>VLOOKUP($B11,[4]השוואה!$A$4:$J$28,10,FALSE)</f>
        <v>0</v>
      </c>
      <c r="L11" s="30">
        <v>0</v>
      </c>
      <c r="M11" s="30">
        <v>7710.46</v>
      </c>
      <c r="N11" s="30">
        <v>12430.58</v>
      </c>
      <c r="O11" s="30">
        <v>12085.48</v>
      </c>
      <c r="P11" s="30">
        <v>8304.89</v>
      </c>
      <c r="Q11" s="30">
        <v>10084.82</v>
      </c>
      <c r="R11" s="30">
        <v>18424.34</v>
      </c>
    </row>
    <row r="12" spans="1:18" s="32" customFormat="1" x14ac:dyDescent="0.3">
      <c r="A12" s="32">
        <v>91</v>
      </c>
      <c r="B12" s="32" t="s">
        <v>66</v>
      </c>
      <c r="C12" s="30">
        <f>VLOOKUP($B12,[4]השוואה!$A$4:$J$28,2,FALSE)</f>
        <v>11378.04</v>
      </c>
      <c r="D12" s="30">
        <f>VLOOKUP($B12,[4]השוואה!$A$4:$J$28,3,FALSE)</f>
        <v>1028.75</v>
      </c>
      <c r="E12" s="30">
        <f>VLOOKUP($B12,[4]השוואה!$A$4:$J$28,4,FALSE)</f>
        <v>1028.75</v>
      </c>
      <c r="F12" s="30">
        <f>VLOOKUP($B12,[4]השוואה!$A$4:$J$28,5,FALSE)</f>
        <v>1028.75</v>
      </c>
      <c r="G12" s="30">
        <f>VLOOKUP($B12,[4]השוואה!$A$4:$J$28,6,FALSE)</f>
        <v>2050.7399999999998</v>
      </c>
      <c r="H12" s="30">
        <f>VLOOKUP($B12,[4]השוואה!$A$4:$J$28,7,FALSE)</f>
        <v>10229.26</v>
      </c>
      <c r="I12" s="30">
        <f>VLOOKUP($B12,[4]השוואה!$A$4:$J$28,8,FALSE)</f>
        <v>11454.15</v>
      </c>
      <c r="J12" s="30">
        <f>VLOOKUP($B12,[4]השוואה!$A$4:$J$28,9,FALSE)</f>
        <v>13132.33</v>
      </c>
      <c r="K12" s="30">
        <f>VLOOKUP($B12,[4]השוואה!$A$4:$J$28,10,FALSE)</f>
        <v>11856.76</v>
      </c>
      <c r="L12" s="30">
        <v>11151.08</v>
      </c>
      <c r="M12" s="30">
        <v>11482.83</v>
      </c>
      <c r="N12" s="30">
        <v>11936.07</v>
      </c>
      <c r="O12" s="30">
        <v>14545.06</v>
      </c>
      <c r="P12" s="30">
        <v>1195.6099999999999</v>
      </c>
      <c r="Q12" s="30">
        <v>1208.56</v>
      </c>
      <c r="R12" s="30">
        <v>1195.6099999999999</v>
      </c>
    </row>
    <row r="13" spans="1:18" x14ac:dyDescent="0.3">
      <c r="A13">
        <v>166</v>
      </c>
      <c r="B13" t="s">
        <v>67</v>
      </c>
      <c r="C13" s="4">
        <f>VLOOKUP($B13,[4]השוואה!$A$4:$J$28,2,FALSE)</f>
        <v>0</v>
      </c>
      <c r="D13" s="4">
        <f>VLOOKUP($B13,[4]השוואה!$A$4:$J$28,3,FALSE)</f>
        <v>0</v>
      </c>
      <c r="E13" s="4">
        <f>VLOOKUP($B13,[4]השוואה!$A$4:$J$28,4,FALSE)</f>
        <v>0</v>
      </c>
      <c r="F13" s="4">
        <f>VLOOKUP($B13,[4]השוואה!$A$4:$J$28,5,FALSE)</f>
        <v>0</v>
      </c>
      <c r="G13" s="4">
        <f>VLOOKUP($B13,[4]השוואה!$A$4:$J$28,6,FALSE)</f>
        <v>0</v>
      </c>
      <c r="H13" s="4">
        <f>VLOOKUP($B13,[4]השוואה!$A$4:$J$28,7,FALSE)</f>
        <v>0</v>
      </c>
      <c r="I13" s="4">
        <f>VLOOKUP($B13,[4]השוואה!$A$4:$J$28,8,FALSE)</f>
        <v>0</v>
      </c>
      <c r="J13" s="4">
        <f>VLOOKUP($B13,[4]השוואה!$A$4:$J$28,9,FALSE)</f>
        <v>0</v>
      </c>
      <c r="K13" s="4">
        <f>VLOOKUP($B13,[4]השוואה!$A$4:$J$28,10,FALSE)</f>
        <v>2381.77</v>
      </c>
      <c r="L13" s="4">
        <v>4692</v>
      </c>
      <c r="M13" s="4">
        <v>5082.51</v>
      </c>
      <c r="N13" s="4">
        <v>6628.55</v>
      </c>
      <c r="O13" s="4">
        <v>4401.8500000000004</v>
      </c>
      <c r="P13" s="4">
        <v>6271.4</v>
      </c>
      <c r="Q13" s="4">
        <v>5135.2700000000004</v>
      </c>
      <c r="R13" s="4">
        <v>4259.21</v>
      </c>
    </row>
    <row r="14" spans="1:18" s="32" customFormat="1" x14ac:dyDescent="0.3">
      <c r="A14" s="32">
        <v>240</v>
      </c>
      <c r="B14" s="32" t="s">
        <v>68</v>
      </c>
      <c r="C14" s="30">
        <f>VLOOKUP($B14,[4]השוואה!$A$4:$J$28,2,FALSE)</f>
        <v>10247.530000000001</v>
      </c>
      <c r="D14" s="30">
        <f>VLOOKUP($B14,[4]השוואה!$A$4:$J$28,3,FALSE)</f>
        <v>6128</v>
      </c>
      <c r="E14" s="30">
        <f>VLOOKUP($B14,[4]השוואה!$A$4:$J$28,4,FALSE)</f>
        <v>14951.37</v>
      </c>
      <c r="F14" s="30">
        <f>VLOOKUP($B14,[4]השוואה!$A$4:$J$28,5,FALSE)</f>
        <v>13324.59</v>
      </c>
      <c r="G14" s="30">
        <f>VLOOKUP($B14,[4]השוואה!$A$4:$J$28,6,FALSE)</f>
        <v>16120.18</v>
      </c>
      <c r="H14" s="30">
        <f>VLOOKUP($B14,[4]השוואה!$A$4:$J$28,7,FALSE)</f>
        <v>14294.71</v>
      </c>
      <c r="I14" s="30">
        <f>VLOOKUP($B14,[4]השוואה!$A$4:$J$28,8,FALSE)</f>
        <v>8968.5400000000009</v>
      </c>
      <c r="J14" s="30">
        <f>VLOOKUP($B14,[4]השוואה!$A$4:$J$28,9,FALSE)</f>
        <v>7662.8</v>
      </c>
      <c r="K14" s="30">
        <f>VLOOKUP($B14,[4]השוואה!$A$4:$J$28,10,FALSE)</f>
        <v>9521.64</v>
      </c>
      <c r="L14" s="30">
        <v>5996.78</v>
      </c>
      <c r="M14" s="30">
        <v>3374.78</v>
      </c>
      <c r="N14" s="30">
        <v>4245.28</v>
      </c>
      <c r="O14" s="30">
        <v>2171.77</v>
      </c>
      <c r="P14" s="30">
        <v>2212.09</v>
      </c>
      <c r="Q14" s="30">
        <v>9.61</v>
      </c>
      <c r="R14" s="30">
        <v>6905.24</v>
      </c>
    </row>
    <row r="15" spans="1:18" s="32" customFormat="1" x14ac:dyDescent="0.3">
      <c r="B15" s="32" t="s">
        <v>69</v>
      </c>
      <c r="C15" s="30">
        <f>VLOOKUP($B15,[4]השוואה!$A$4:$J$28,2,FALSE)</f>
        <v>13189</v>
      </c>
      <c r="D15" s="30">
        <f>VLOOKUP($B15,[4]השוואה!$A$4:$J$28,3,FALSE)</f>
        <v>15614.29</v>
      </c>
      <c r="E15" s="30">
        <f>VLOOKUP($B15,[4]השוואה!$A$4:$J$28,4,FALSE)</f>
        <v>13594.83</v>
      </c>
      <c r="F15" s="30">
        <f>VLOOKUP($B15,[4]השוואה!$A$4:$J$28,5,FALSE)</f>
        <v>15551.23</v>
      </c>
      <c r="G15" s="30">
        <f>VLOOKUP($B15,[4]השוואה!$A$4:$J$28,6,FALSE)</f>
        <v>10586.34</v>
      </c>
      <c r="H15" s="30">
        <f>VLOOKUP($B15,[4]השוואה!$A$4:$J$28,7,FALSE)</f>
        <v>13759.66</v>
      </c>
      <c r="I15" s="30">
        <f>VLOOKUP($B15,[4]השוואה!$A$4:$J$28,8,FALSE)</f>
        <v>15394.57</v>
      </c>
      <c r="J15" s="30">
        <f>VLOOKUP($B15,[4]השוואה!$A$4:$J$28,9,FALSE)</f>
        <v>13732.66</v>
      </c>
      <c r="K15" s="30">
        <f>VLOOKUP($B15,[4]השוואה!$A$4:$J$28,10,FALSE)</f>
        <v>11203.29</v>
      </c>
      <c r="L15" s="30">
        <v>10440.040000000001</v>
      </c>
      <c r="M15" s="30">
        <v>0</v>
      </c>
      <c r="N15" s="30">
        <v>0</v>
      </c>
      <c r="O15" s="30"/>
      <c r="P15" s="30"/>
      <c r="Q15" s="30"/>
      <c r="R15" s="30"/>
    </row>
    <row r="16" spans="1:18" x14ac:dyDescent="0.3">
      <c r="A16">
        <v>257</v>
      </c>
      <c r="B16" t="s">
        <v>70</v>
      </c>
      <c r="C16" s="4">
        <f>VLOOKUP($B16,[4]השוואה!$A$4:$J$28,2,FALSE)</f>
        <v>2943.58</v>
      </c>
      <c r="D16" s="4">
        <f>VLOOKUP($B16,[4]השוואה!$A$4:$J$28,3,FALSE)</f>
        <v>5044.37</v>
      </c>
      <c r="E16" s="4">
        <f>VLOOKUP($B16,[4]השוואה!$A$4:$J$28,4,FALSE)</f>
        <v>4195.72</v>
      </c>
      <c r="F16" s="4">
        <f>VLOOKUP($B16,[4]השוואה!$A$4:$J$28,5,FALSE)</f>
        <v>5680.41</v>
      </c>
      <c r="G16" s="4">
        <f>VLOOKUP($B16,[4]השוואה!$A$4:$J$28,6,FALSE)</f>
        <v>5994.74</v>
      </c>
      <c r="H16" s="4">
        <f>VLOOKUP($B16,[4]השוואה!$A$4:$J$28,7,FALSE)</f>
        <v>6216.82</v>
      </c>
      <c r="I16" s="4">
        <f>VLOOKUP($B16,[4]השוואה!$A$4:$J$28,8,FALSE)</f>
        <v>6475.35</v>
      </c>
      <c r="J16" s="4">
        <f>VLOOKUP($B16,[4]השוואה!$A$4:$J$28,9,FALSE)</f>
        <v>7026.26</v>
      </c>
      <c r="K16" s="4">
        <f>VLOOKUP($B16,[4]השוואה!$A$4:$J$28,10,FALSE)</f>
        <v>6076.11</v>
      </c>
      <c r="L16" s="4">
        <v>6644.28</v>
      </c>
      <c r="M16" s="4">
        <v>7801.45</v>
      </c>
      <c r="N16" s="4">
        <v>4737.3500000000004</v>
      </c>
      <c r="O16" s="4">
        <v>5907.06</v>
      </c>
      <c r="P16" s="4">
        <v>6822.05</v>
      </c>
      <c r="Q16" s="4">
        <v>6277.8</v>
      </c>
      <c r="R16" s="4">
        <v>6916.69</v>
      </c>
    </row>
    <row r="17" spans="1:18" s="32" customFormat="1" x14ac:dyDescent="0.3">
      <c r="A17" s="32">
        <v>117</v>
      </c>
      <c r="B17" s="32" t="s">
        <v>71</v>
      </c>
      <c r="C17" s="30">
        <f>VLOOKUP($B17,[4]השוואה!$A$4:$J$28,2,FALSE)</f>
        <v>9949.92</v>
      </c>
      <c r="D17" s="30">
        <f>VLOOKUP($B17,[4]השוואה!$A$4:$J$28,3,FALSE)</f>
        <v>9858.57</v>
      </c>
      <c r="E17" s="30">
        <f>VLOOKUP($B17,[4]השוואה!$A$4:$J$28,4,FALSE)</f>
        <v>10800.73</v>
      </c>
      <c r="F17" s="30">
        <f>VLOOKUP($B17,[4]השוואה!$A$4:$J$28,5,FALSE)</f>
        <v>10753.09</v>
      </c>
      <c r="G17" s="30">
        <f>VLOOKUP($B17,[4]השוואה!$A$4:$J$28,6,FALSE)</f>
        <v>10448.74</v>
      </c>
      <c r="H17" s="30">
        <f>VLOOKUP($B17,[4]השוואה!$A$4:$J$28,7,FALSE)</f>
        <v>7917.24</v>
      </c>
      <c r="I17" s="30">
        <f>VLOOKUP($B17,[4]השוואה!$A$4:$J$28,8,FALSE)</f>
        <v>15866.56</v>
      </c>
      <c r="J17" s="30">
        <f>VLOOKUP($B17,[4]השוואה!$A$4:$J$28,9,FALSE)</f>
        <v>11245.49</v>
      </c>
      <c r="K17" s="30">
        <f>VLOOKUP($B17,[4]השוואה!$A$4:$J$28,10,FALSE)</f>
        <v>9968.17</v>
      </c>
      <c r="L17" s="30">
        <v>12754.64</v>
      </c>
      <c r="M17" s="30">
        <v>8051.95</v>
      </c>
      <c r="N17" s="30">
        <v>11007.96</v>
      </c>
      <c r="O17" s="30">
        <v>9171.5</v>
      </c>
      <c r="P17" s="30">
        <v>9803.27</v>
      </c>
      <c r="Q17" s="30">
        <v>22.95</v>
      </c>
      <c r="R17" s="30">
        <v>2683.89</v>
      </c>
    </row>
    <row r="18" spans="1:18" x14ac:dyDescent="0.3">
      <c r="A18">
        <v>18</v>
      </c>
      <c r="B18" t="s">
        <v>72</v>
      </c>
      <c r="C18" s="4">
        <f>VLOOKUP($B18,[4]השוואה!$A$4:$J$28,2,FALSE)</f>
        <v>9324.2800000000007</v>
      </c>
      <c r="D18" s="4">
        <f>VLOOKUP($B18,[4]השוואה!$A$4:$J$28,3,FALSE)</f>
        <v>8084.87</v>
      </c>
      <c r="E18" s="4">
        <f>VLOOKUP($B18,[4]השוואה!$A$4:$J$28,4,FALSE)</f>
        <v>10235.4</v>
      </c>
      <c r="F18" s="4">
        <f>VLOOKUP($B18,[4]השוואה!$A$4:$J$28,5,FALSE)</f>
        <v>9187.92</v>
      </c>
      <c r="G18" s="4">
        <f>VLOOKUP($B18,[4]השוואה!$A$4:$J$28,6,FALSE)</f>
        <v>12370.33</v>
      </c>
      <c r="H18" s="4">
        <f>VLOOKUP($B18,[4]השוואה!$A$4:$J$28,7,FALSE)</f>
        <v>9842.07</v>
      </c>
      <c r="I18" s="4">
        <f>VLOOKUP($B18,[4]השוואה!$A$4:$J$28,8,FALSE)</f>
        <v>12755.76</v>
      </c>
      <c r="J18" s="4">
        <f>VLOOKUP($B18,[4]השוואה!$A$4:$J$28,9,FALSE)</f>
        <v>9075.5</v>
      </c>
      <c r="K18" s="4">
        <f>VLOOKUP($B18,[4]השוואה!$A$4:$J$28,10,FALSE)</f>
        <v>10319</v>
      </c>
      <c r="L18" s="4">
        <v>9074.57</v>
      </c>
      <c r="M18" s="4">
        <v>9564.51</v>
      </c>
      <c r="N18" s="4">
        <v>7732.22</v>
      </c>
      <c r="O18" s="4">
        <v>11518.85</v>
      </c>
      <c r="P18" s="4">
        <v>10879.6</v>
      </c>
      <c r="Q18" s="4">
        <v>11678.83</v>
      </c>
      <c r="R18" s="4">
        <v>15436.41</v>
      </c>
    </row>
    <row r="19" spans="1:18" x14ac:dyDescent="0.3">
      <c r="A19">
        <v>273</v>
      </c>
      <c r="B19" t="s">
        <v>73</v>
      </c>
      <c r="C19" s="4">
        <f>VLOOKUP($B19,[4]השוואה!$A$4:$J$28,2,FALSE)</f>
        <v>0</v>
      </c>
      <c r="D19" s="4">
        <f>VLOOKUP($B19,[4]השוואה!$A$4:$J$28,3,FALSE)</f>
        <v>0</v>
      </c>
      <c r="E19" s="4">
        <f>VLOOKUP($B19,[4]השוואה!$A$4:$J$28,4,FALSE)</f>
        <v>0</v>
      </c>
      <c r="F19" s="4">
        <f>VLOOKUP($B19,[4]השוואה!$A$4:$J$28,5,FALSE)</f>
        <v>0</v>
      </c>
      <c r="G19" s="4">
        <f>VLOOKUP($B19,[4]השוואה!$A$4:$J$28,6,FALSE)</f>
        <v>0</v>
      </c>
      <c r="H19" s="4">
        <f>VLOOKUP($B19,[4]השוואה!$A$4:$J$28,7,FALSE)</f>
        <v>0</v>
      </c>
      <c r="I19" s="4">
        <f>VLOOKUP($B19,[4]השוואה!$A$4:$J$28,8,FALSE)</f>
        <v>0</v>
      </c>
      <c r="J19" s="4">
        <f>VLOOKUP($B19,[4]השוואה!$A$4:$J$28,9,FALSE)</f>
        <v>0</v>
      </c>
      <c r="K19" s="4">
        <f>VLOOKUP($B19,[4]השוואה!$A$4:$J$28,10,FALSE)</f>
        <v>0</v>
      </c>
      <c r="L19" s="4"/>
      <c r="M19" s="4"/>
      <c r="N19" s="4">
        <v>3037.36</v>
      </c>
      <c r="O19" s="4">
        <v>4918.51</v>
      </c>
      <c r="P19" s="4">
        <v>5704.01</v>
      </c>
      <c r="Q19" s="4">
        <v>5733</v>
      </c>
      <c r="R19" s="4">
        <v>5340.46</v>
      </c>
    </row>
    <row r="20" spans="1:18" x14ac:dyDescent="0.3">
      <c r="A20">
        <v>232</v>
      </c>
      <c r="B20" t="s">
        <v>74</v>
      </c>
      <c r="C20" s="4">
        <f>VLOOKUP($B20,[4]השוואה!$A$4:$J$28,2,FALSE)</f>
        <v>7836.49</v>
      </c>
      <c r="D20" s="4">
        <f>VLOOKUP($B20,[4]השוואה!$A$4:$J$28,3,FALSE)</f>
        <v>6928.1</v>
      </c>
      <c r="E20" s="4">
        <f>VLOOKUP($B20,[4]השוואה!$A$4:$J$28,4,FALSE)</f>
        <v>7673.81</v>
      </c>
      <c r="F20" s="4">
        <f>VLOOKUP($B20,[4]השוואה!$A$4:$J$28,5,FALSE)</f>
        <v>9412.67</v>
      </c>
      <c r="G20" s="4">
        <f>VLOOKUP($B20,[4]השוואה!$A$4:$J$28,6,FALSE)</f>
        <v>8794.02</v>
      </c>
      <c r="H20" s="4">
        <f>VLOOKUP($B20,[4]השוואה!$A$4:$J$28,7,FALSE)</f>
        <v>10501.27</v>
      </c>
      <c r="I20" s="4">
        <f>VLOOKUP($B20,[4]השוואה!$A$4:$J$28,8,FALSE)</f>
        <v>11967.74</v>
      </c>
      <c r="J20" s="4">
        <f>VLOOKUP($B20,[4]השוואה!$A$4:$J$28,9,FALSE)</f>
        <v>9656.0300000000007</v>
      </c>
      <c r="K20" s="4">
        <f>VLOOKUP($B20,[4]השוואה!$A$4:$J$28,10,FALSE)</f>
        <v>10258.94</v>
      </c>
      <c r="L20" s="4">
        <v>8966.49</v>
      </c>
      <c r="M20" s="4">
        <v>8347.2099999999991</v>
      </c>
      <c r="N20" s="4">
        <v>9466.5499999999993</v>
      </c>
      <c r="O20" s="4">
        <v>7964</v>
      </c>
      <c r="P20" s="4">
        <v>7657.38</v>
      </c>
      <c r="Q20" s="4">
        <v>8689.07</v>
      </c>
      <c r="R20" s="4">
        <v>10068.74</v>
      </c>
    </row>
    <row r="21" spans="1:18" x14ac:dyDescent="0.3">
      <c r="A21">
        <v>182</v>
      </c>
      <c r="B21" t="s">
        <v>75</v>
      </c>
      <c r="C21" s="4">
        <f>VLOOKUP($B21,[4]השוואה!$A$4:$J$28,2,FALSE)</f>
        <v>0</v>
      </c>
      <c r="D21" s="4">
        <f>VLOOKUP($B21,[4]השוואה!$A$4:$J$28,3,FALSE)</f>
        <v>0</v>
      </c>
      <c r="E21" s="4">
        <f>VLOOKUP($B21,[4]השוואה!$A$4:$J$28,4,FALSE)</f>
        <v>0</v>
      </c>
      <c r="F21" s="4">
        <f>VLOOKUP($B21,[4]השוואה!$A$4:$J$28,5,FALSE)</f>
        <v>0</v>
      </c>
      <c r="G21" s="4">
        <f>VLOOKUP($B21,[4]השוואה!$A$4:$J$28,6,FALSE)</f>
        <v>0</v>
      </c>
      <c r="H21" s="4">
        <f>VLOOKUP($B21,[4]השוואה!$A$4:$J$28,7,FALSE)</f>
        <v>0</v>
      </c>
      <c r="I21" s="4">
        <f>VLOOKUP($B21,[4]השוואה!$A$4:$J$28,8,FALSE)</f>
        <v>0</v>
      </c>
      <c r="J21" s="4">
        <f>VLOOKUP($B21,[4]השוואה!$A$4:$J$28,9,FALSE)</f>
        <v>0</v>
      </c>
      <c r="K21" s="4">
        <f>VLOOKUP($B21,[4]השוואה!$A$4:$J$28,10,FALSE)</f>
        <v>1858.76</v>
      </c>
      <c r="L21" s="4">
        <v>4862.53</v>
      </c>
      <c r="M21" s="4">
        <v>5435.11</v>
      </c>
      <c r="N21" s="4">
        <v>7311.35</v>
      </c>
      <c r="O21" s="4">
        <v>8820.36</v>
      </c>
      <c r="P21" s="4">
        <v>6443.78</v>
      </c>
      <c r="Q21" s="4">
        <v>4836.1099999999997</v>
      </c>
      <c r="R21" s="4">
        <v>7739.18</v>
      </c>
    </row>
    <row r="22" spans="1:18" s="32" customFormat="1" x14ac:dyDescent="0.3">
      <c r="A22" s="32">
        <v>26</v>
      </c>
      <c r="B22" s="32" t="s">
        <v>76</v>
      </c>
      <c r="C22" s="30">
        <f>VLOOKUP($B22,[4]השוואה!$A$4:$J$28,2,FALSE)</f>
        <v>9667.26</v>
      </c>
      <c r="D22" s="30">
        <f>VLOOKUP($B22,[4]השוואה!$A$4:$J$28,3,FALSE)</f>
        <v>8961.3799999999992</v>
      </c>
      <c r="E22" s="30">
        <f>VLOOKUP($B22,[4]השוואה!$A$4:$J$28,4,FALSE)</f>
        <v>7093.25</v>
      </c>
      <c r="F22" s="30">
        <f>VLOOKUP($B22,[4]השוואה!$A$4:$J$28,5,FALSE)</f>
        <v>15128.19</v>
      </c>
      <c r="G22" s="30">
        <f>VLOOKUP($B22,[4]השוואה!$A$4:$J$28,6,FALSE)</f>
        <v>10147.780000000001</v>
      </c>
      <c r="H22" s="30">
        <f>VLOOKUP($B22,[4]השוואה!$A$4:$J$28,7,FALSE)</f>
        <v>10530.71</v>
      </c>
      <c r="I22" s="30">
        <f>VLOOKUP($B22,[4]השוואה!$A$4:$J$28,8,FALSE)</f>
        <v>10726.84</v>
      </c>
      <c r="J22" s="30">
        <f>VLOOKUP($B22,[4]השוואה!$A$4:$J$28,9,FALSE)</f>
        <v>8810.98</v>
      </c>
      <c r="K22" s="30">
        <f>VLOOKUP($B22,[4]השוואה!$A$4:$J$28,10,FALSE)</f>
        <v>10571.39</v>
      </c>
      <c r="L22" s="30">
        <v>14583.14</v>
      </c>
      <c r="M22" s="30">
        <v>12788.84</v>
      </c>
      <c r="N22" s="30">
        <v>13285.53</v>
      </c>
      <c r="O22" s="30">
        <v>10874.03</v>
      </c>
      <c r="P22" s="30">
        <v>11420.47</v>
      </c>
      <c r="Q22" s="30">
        <v>19782.21</v>
      </c>
      <c r="R22" s="30">
        <v>14588.1</v>
      </c>
    </row>
    <row r="23" spans="1:18" s="32" customFormat="1" x14ac:dyDescent="0.3">
      <c r="A23" s="32">
        <v>190</v>
      </c>
      <c r="B23" s="32" t="s">
        <v>77</v>
      </c>
      <c r="C23" s="30">
        <f>VLOOKUP($B23,[4]השוואה!$A$4:$J$28,2,FALSE)</f>
        <v>0</v>
      </c>
      <c r="D23" s="30">
        <f>VLOOKUP($B23,[4]השוואה!$A$4:$J$28,3,FALSE)</f>
        <v>0</v>
      </c>
      <c r="E23" s="30">
        <f>VLOOKUP($B23,[4]השוואה!$A$4:$J$28,4,FALSE)</f>
        <v>0</v>
      </c>
      <c r="F23" s="30">
        <f>VLOOKUP($B23,[4]השוואה!$A$4:$J$28,5,FALSE)</f>
        <v>0</v>
      </c>
      <c r="G23" s="30">
        <f>VLOOKUP($B23,[4]השוואה!$A$4:$J$28,6,FALSE)</f>
        <v>0</v>
      </c>
      <c r="H23" s="30">
        <f>VLOOKUP($B23,[4]השוואה!$A$4:$J$28,7,FALSE)</f>
        <v>0</v>
      </c>
      <c r="I23" s="30">
        <f>VLOOKUP($B23,[4]השוואה!$A$4:$J$28,8,FALSE)</f>
        <v>0</v>
      </c>
      <c r="J23" s="30">
        <f>VLOOKUP($B23,[4]השוואה!$A$4:$J$28,9,FALSE)</f>
        <v>0</v>
      </c>
      <c r="K23" s="30">
        <f>VLOOKUP($B23,[4]השוואה!$A$4:$J$28,10,FALSE)</f>
        <v>0</v>
      </c>
      <c r="L23" s="30">
        <v>0</v>
      </c>
      <c r="M23" s="30">
        <v>3575.37</v>
      </c>
      <c r="N23" s="30">
        <v>8293.19</v>
      </c>
      <c r="O23" s="30">
        <v>10090.33</v>
      </c>
      <c r="P23" s="30">
        <v>8536.39</v>
      </c>
      <c r="Q23" s="30">
        <v>10522.59</v>
      </c>
      <c r="R23" s="30">
        <v>8797.14</v>
      </c>
    </row>
    <row r="24" spans="1:18" x14ac:dyDescent="0.3">
      <c r="B24" t="s">
        <v>78</v>
      </c>
      <c r="C24" s="4">
        <f>VLOOKUP($B24,[4]השוואה!$A$4:$J$28,2,FALSE)</f>
        <v>6353.8</v>
      </c>
      <c r="D24" s="4">
        <f>VLOOKUP($B24,[4]השוואה!$A$4:$J$28,3,FALSE)</f>
        <v>0</v>
      </c>
      <c r="E24" s="4">
        <f>VLOOKUP($B24,[4]השוואה!$A$4:$J$28,4,FALSE)</f>
        <v>0</v>
      </c>
      <c r="F24" s="4">
        <f>VLOOKUP($B24,[4]השוואה!$A$4:$J$28,5,FALSE)</f>
        <v>0</v>
      </c>
      <c r="G24" s="4">
        <f>VLOOKUP($B24,[4]השוואה!$A$4:$J$28,6,FALSE)</f>
        <v>0</v>
      </c>
      <c r="H24" s="4">
        <f>VLOOKUP($B24,[4]השוואה!$A$4:$J$28,7,FALSE)</f>
        <v>0</v>
      </c>
      <c r="I24" s="4">
        <f>VLOOKUP($B24,[4]השוואה!$A$4:$J$28,8,FALSE)</f>
        <v>0</v>
      </c>
      <c r="J24" s="4">
        <f>VLOOKUP($B24,[4]השוואה!$A$4:$J$28,9,FALSE)</f>
        <v>0</v>
      </c>
      <c r="K24" s="4">
        <f>VLOOKUP($B24,[4]השוואה!$A$4:$J$28,10,FALSE)</f>
        <v>0</v>
      </c>
      <c r="L24" s="4">
        <v>0</v>
      </c>
      <c r="M24" s="4">
        <v>0</v>
      </c>
      <c r="N24" s="4">
        <v>0</v>
      </c>
      <c r="O24" s="4"/>
      <c r="P24" s="4"/>
      <c r="Q24" s="4"/>
      <c r="R24" s="4"/>
    </row>
    <row r="25" spans="1:18" x14ac:dyDescent="0.3">
      <c r="A25">
        <v>109</v>
      </c>
      <c r="B25" t="s">
        <v>79</v>
      </c>
      <c r="C25" s="4">
        <f>VLOOKUP($B25,[4]השוואה!$A$4:$J$28,2,FALSE)</f>
        <v>0</v>
      </c>
      <c r="D25" s="4">
        <f>VLOOKUP($B25,[4]השוואה!$A$4:$J$28,3,FALSE)</f>
        <v>0</v>
      </c>
      <c r="E25" s="4">
        <f>VLOOKUP($B25,[4]השוואה!$A$4:$J$28,4,FALSE)</f>
        <v>0</v>
      </c>
      <c r="F25" s="4">
        <f>VLOOKUP($B25,[4]השוואה!$A$4:$J$28,5,FALSE)</f>
        <v>0</v>
      </c>
      <c r="G25" s="4">
        <f>VLOOKUP($B25,[4]השוואה!$A$4:$J$28,6,FALSE)</f>
        <v>0</v>
      </c>
      <c r="H25" s="4">
        <f>VLOOKUP($B25,[4]השוואה!$A$4:$J$28,7,FALSE)</f>
        <v>0</v>
      </c>
      <c r="I25" s="4">
        <f>VLOOKUP($B25,[4]השוואה!$A$4:$J$28,8,FALSE)</f>
        <v>4462.83</v>
      </c>
      <c r="J25" s="4">
        <f>VLOOKUP($B25,[4]השוואה!$A$4:$J$28,9,FALSE)</f>
        <v>8226.41</v>
      </c>
      <c r="K25" s="4">
        <f>VLOOKUP($B25,[4]השוואה!$A$4:$J$28,10,FALSE)</f>
        <v>6159.03</v>
      </c>
      <c r="L25" s="4">
        <v>6889.98</v>
      </c>
      <c r="M25" s="4">
        <v>7091.27</v>
      </c>
      <c r="N25" s="4">
        <v>9548.17</v>
      </c>
      <c r="O25" s="4">
        <v>9350.32</v>
      </c>
      <c r="P25" s="4">
        <v>10069.780000000001</v>
      </c>
      <c r="Q25" s="4">
        <v>8750.09</v>
      </c>
      <c r="R25" s="4">
        <v>10765.6</v>
      </c>
    </row>
    <row r="26" spans="1:18" x14ac:dyDescent="0.3">
      <c r="A26">
        <v>34</v>
      </c>
      <c r="B26" t="s">
        <v>80</v>
      </c>
      <c r="C26" s="4">
        <f>VLOOKUP($B26,[4]השוואה!$A$4:$J$28,2,FALSE)</f>
        <v>2869.73</v>
      </c>
      <c r="D26" s="4">
        <f>VLOOKUP($B26,[4]השוואה!$A$4:$J$28,3,FALSE)</f>
        <v>2640.48</v>
      </c>
      <c r="E26" s="4">
        <f>VLOOKUP($B26,[4]השוואה!$A$4:$J$28,4,FALSE)</f>
        <v>3575.99</v>
      </c>
      <c r="F26" s="4">
        <f>VLOOKUP($B26,[4]השוואה!$A$4:$J$28,5,FALSE)</f>
        <v>3131.31</v>
      </c>
      <c r="G26" s="4">
        <f>VLOOKUP($B26,[4]השוואה!$A$4:$J$28,6,FALSE)</f>
        <v>3182.74</v>
      </c>
      <c r="H26" s="4">
        <f>VLOOKUP($B26,[4]השוואה!$A$4:$J$28,7,FALSE)</f>
        <v>3122.13</v>
      </c>
      <c r="I26" s="4">
        <f>VLOOKUP($B26,[4]השוואה!$A$4:$J$28,8,FALSE)</f>
        <v>3480.51</v>
      </c>
      <c r="J26" s="4">
        <f>VLOOKUP($B26,[4]השוואה!$A$4:$J$28,9,FALSE)</f>
        <v>3755.51</v>
      </c>
      <c r="K26" s="4">
        <f>VLOOKUP($B26,[4]השוואה!$A$4:$J$28,10,FALSE)</f>
        <v>3765.93</v>
      </c>
      <c r="L26" s="4">
        <v>4052.85</v>
      </c>
      <c r="M26" s="4">
        <v>3676.98</v>
      </c>
      <c r="N26" s="4">
        <v>3108.05</v>
      </c>
      <c r="O26" s="4">
        <v>2256.0300000000002</v>
      </c>
      <c r="P26" s="4">
        <v>3608.57</v>
      </c>
      <c r="Q26" s="4">
        <v>2280.67</v>
      </c>
      <c r="R26" s="4">
        <v>2108.12</v>
      </c>
    </row>
    <row r="27" spans="1:18" x14ac:dyDescent="0.3">
      <c r="A27">
        <v>133</v>
      </c>
      <c r="B27" t="s">
        <v>81</v>
      </c>
      <c r="C27" s="4">
        <f>VLOOKUP($B27,[4]השוואה!$A$4:$J$28,2,FALSE)</f>
        <v>0</v>
      </c>
      <c r="D27" s="4">
        <f>VLOOKUP($B27,[4]השוואה!$A$4:$J$28,3,FALSE)</f>
        <v>0</v>
      </c>
      <c r="E27" s="4">
        <f>VLOOKUP($B27,[4]השוואה!$A$4:$J$28,4,FALSE)</f>
        <v>0</v>
      </c>
      <c r="F27" s="4">
        <f>VLOOKUP($B27,[4]השוואה!$A$4:$J$28,5,FALSE)</f>
        <v>0</v>
      </c>
      <c r="G27" s="4">
        <f>VLOOKUP($B27,[4]השוואה!$A$4:$J$28,6,FALSE)</f>
        <v>0</v>
      </c>
      <c r="H27" s="4">
        <f>VLOOKUP($B27,[4]השוואה!$A$4:$J$28,7,FALSE)</f>
        <v>0</v>
      </c>
      <c r="I27" s="4">
        <f>VLOOKUP($B27,[4]השוואה!$A$4:$J$28,8,FALSE)</f>
        <v>0</v>
      </c>
      <c r="J27" s="4">
        <f>VLOOKUP($B27,[4]השוואה!$A$4:$J$28,9,FALSE)</f>
        <v>3046.26</v>
      </c>
      <c r="K27" s="4">
        <f>VLOOKUP($B27,[4]השוואה!$A$4:$J$28,10,FALSE)</f>
        <v>3544.09</v>
      </c>
      <c r="L27" s="4">
        <v>3922.41</v>
      </c>
      <c r="M27" s="4">
        <v>3905.11</v>
      </c>
      <c r="N27" s="4">
        <v>5164.6899999999996</v>
      </c>
      <c r="O27" s="4">
        <v>3161.89</v>
      </c>
      <c r="P27" s="4">
        <v>2070.5300000000002</v>
      </c>
      <c r="Q27" s="4">
        <v>0</v>
      </c>
      <c r="R27" s="4">
        <v>0</v>
      </c>
    </row>
    <row r="28" spans="1:18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8" x14ac:dyDescent="0.3">
      <c r="B31" t="s">
        <v>56</v>
      </c>
      <c r="C31" s="5">
        <f t="shared" ref="C31:K31" si="0">SUM(C3:C30)</f>
        <v>137733.58000000002</v>
      </c>
      <c r="D31" s="5">
        <f t="shared" si="0"/>
        <v>118440.92</v>
      </c>
      <c r="E31" s="5">
        <f t="shared" si="0"/>
        <v>129446.84</v>
      </c>
      <c r="F31" s="5">
        <f t="shared" si="0"/>
        <v>140841.75999999998</v>
      </c>
      <c r="G31" s="5">
        <f t="shared" si="0"/>
        <v>146514.14000000001</v>
      </c>
      <c r="H31" s="5">
        <f t="shared" si="0"/>
        <v>162841.19</v>
      </c>
      <c r="I31" s="5">
        <f t="shared" si="0"/>
        <v>187104.13</v>
      </c>
      <c r="J31" s="5">
        <f t="shared" si="0"/>
        <v>185183.56000000003</v>
      </c>
      <c r="K31" s="5">
        <f t="shared" si="0"/>
        <v>181412.36</v>
      </c>
      <c r="L31" s="5">
        <f t="shared" ref="L31:O31" si="1">SUM(L3:L30)</f>
        <v>157673.05000000002</v>
      </c>
      <c r="M31" s="5">
        <f t="shared" si="1"/>
        <v>151443.89999999997</v>
      </c>
      <c r="N31" s="5">
        <f t="shared" si="1"/>
        <v>188441.76</v>
      </c>
      <c r="O31" s="5">
        <f t="shared" si="1"/>
        <v>192658.06000000003</v>
      </c>
      <c r="P31" s="5">
        <f>SUM(P3:P30)</f>
        <v>152207.81</v>
      </c>
      <c r="Q31" s="5">
        <f>SUM(Q3:Q30)</f>
        <v>152661</v>
      </c>
      <c r="R31" s="5">
        <f>SUM(R3:R30)</f>
        <v>162366.40000000005</v>
      </c>
    </row>
    <row r="34" spans="2:18" x14ac:dyDescent="0.3">
      <c r="B34" t="s">
        <v>440</v>
      </c>
      <c r="C34" s="31">
        <f t="shared" ref="C34:L34" si="2">+C31-C35</f>
        <v>47604.260000000024</v>
      </c>
      <c r="D34" s="31">
        <f t="shared" si="2"/>
        <v>40768.749999999985</v>
      </c>
      <c r="E34" s="31">
        <f t="shared" si="2"/>
        <v>46091.759999999995</v>
      </c>
      <c r="F34" s="31">
        <f t="shared" si="2"/>
        <v>47275.12999999999</v>
      </c>
      <c r="G34" s="31">
        <f t="shared" si="2"/>
        <v>49256.98000000001</v>
      </c>
      <c r="H34" s="31">
        <f t="shared" si="2"/>
        <v>44936.869999999995</v>
      </c>
      <c r="I34" s="31">
        <f t="shared" si="2"/>
        <v>65624.81</v>
      </c>
      <c r="J34" s="31">
        <f t="shared" si="2"/>
        <v>67982.290000000023</v>
      </c>
      <c r="K34" s="31">
        <f t="shared" si="2"/>
        <v>65735.179999999993</v>
      </c>
      <c r="L34" s="31">
        <f t="shared" si="2"/>
        <v>69338.910000000018</v>
      </c>
      <c r="M34" s="31">
        <f>+M31-M35</f>
        <v>69931.63999999997</v>
      </c>
      <c r="N34" s="31">
        <f t="shared" ref="N34:O34" si="3">+N31-N35</f>
        <v>75317.770000000019</v>
      </c>
      <c r="O34" s="31">
        <f t="shared" si="3"/>
        <v>69939.420000000027</v>
      </c>
      <c r="P34" s="31">
        <f t="shared" ref="P34:Q34" si="4">+P31-P35</f>
        <v>70583.349999999991</v>
      </c>
      <c r="Q34" s="31">
        <f t="shared" si="4"/>
        <v>66411.22</v>
      </c>
      <c r="R34" s="31">
        <f t="shared" ref="R34" si="5">+R31-R35</f>
        <v>72680.740000000049</v>
      </c>
    </row>
    <row r="35" spans="2:18" x14ac:dyDescent="0.3">
      <c r="B35" t="s">
        <v>441</v>
      </c>
      <c r="C35" s="41">
        <f t="shared" ref="C35:L35" si="6">SUM(C6,C8,C10:C12,C14:C15,C17,C22:C23)</f>
        <v>90129.319999999992</v>
      </c>
      <c r="D35" s="41">
        <f t="shared" si="6"/>
        <v>77672.170000000013</v>
      </c>
      <c r="E35" s="41">
        <f t="shared" si="6"/>
        <v>83355.08</v>
      </c>
      <c r="F35" s="41">
        <f t="shared" si="6"/>
        <v>93566.62999999999</v>
      </c>
      <c r="G35" s="41">
        <f t="shared" si="6"/>
        <v>97257.16</v>
      </c>
      <c r="H35" s="41">
        <f t="shared" si="6"/>
        <v>117904.32000000001</v>
      </c>
      <c r="I35" s="41">
        <f t="shared" si="6"/>
        <v>121479.32</v>
      </c>
      <c r="J35" s="41">
        <f t="shared" si="6"/>
        <v>117201.27</v>
      </c>
      <c r="K35" s="41">
        <f t="shared" si="6"/>
        <v>115677.18</v>
      </c>
      <c r="L35" s="41">
        <f t="shared" si="6"/>
        <v>88334.14</v>
      </c>
      <c r="M35" s="41">
        <f>SUM(M6,M8,M10:M12,M14:M15,M17,M22:M23)</f>
        <v>81512.259999999995</v>
      </c>
      <c r="N35" s="41">
        <f t="shared" ref="N35:O35" si="7">SUM(N6,N8,N10:N12,N14:N15,N17,N22:N23)</f>
        <v>113123.98999999999</v>
      </c>
      <c r="O35" s="41">
        <f t="shared" si="7"/>
        <v>122718.64</v>
      </c>
      <c r="P35" s="41">
        <f t="shared" ref="P35:Q35" si="8">SUM(P6,P8,P10:P12,P14:P15,P17,P22:P23)</f>
        <v>81624.460000000006</v>
      </c>
      <c r="Q35" s="41">
        <f t="shared" si="8"/>
        <v>86249.78</v>
      </c>
      <c r="R35" s="41">
        <f t="shared" ref="R35" si="9">SUM(R6,R8,R10:R12,R14:R15,R17,R22:R23)</f>
        <v>89685.66</v>
      </c>
    </row>
    <row r="36" spans="2:18" x14ac:dyDescent="0.3">
      <c r="P36" t="s">
        <v>931</v>
      </c>
      <c r="Q36" s="314">
        <f>+Q35-Q8</f>
        <v>49854.97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CEBB-FA23-4439-8777-C0F62F462FFB}">
  <sheetPr>
    <tabColor rgb="FF92D050"/>
  </sheetPr>
  <dimension ref="A1:N58"/>
  <sheetViews>
    <sheetView rightToLeft="1" topLeftCell="A50" workbookViewId="0">
      <selection activeCell="A59" sqref="A59:XFD1048576"/>
    </sheetView>
  </sheetViews>
  <sheetFormatPr defaultRowHeight="14" x14ac:dyDescent="0.3"/>
  <cols>
    <col min="1" max="1" width="13" bestFit="1" customWidth="1"/>
    <col min="3" max="3" width="10.5" bestFit="1" customWidth="1"/>
    <col min="4" max="4" width="8.83203125" bestFit="1" customWidth="1"/>
    <col min="5" max="10" width="8.33203125" bestFit="1" customWidth="1"/>
  </cols>
  <sheetData>
    <row r="1" spans="1:13" x14ac:dyDescent="0.3">
      <c r="A1" t="s">
        <v>909</v>
      </c>
      <c r="B1" t="s">
        <v>498</v>
      </c>
      <c r="C1" s="7" t="s">
        <v>82</v>
      </c>
      <c r="D1" s="7" t="s">
        <v>83</v>
      </c>
      <c r="E1" s="1">
        <v>8.25</v>
      </c>
      <c r="F1" s="1">
        <v>9.25</v>
      </c>
      <c r="G1" s="1">
        <v>10.25</v>
      </c>
      <c r="H1" s="1">
        <v>11.25</v>
      </c>
      <c r="I1" s="1">
        <v>12.25</v>
      </c>
      <c r="J1" s="1">
        <v>1.26</v>
      </c>
      <c r="K1" s="1">
        <v>2.2599999999999998</v>
      </c>
      <c r="L1" s="1">
        <v>3.26</v>
      </c>
      <c r="M1" s="1">
        <v>4.26</v>
      </c>
    </row>
    <row r="2" spans="1:13" x14ac:dyDescent="0.3">
      <c r="A2">
        <v>0</v>
      </c>
      <c r="B2">
        <v>3</v>
      </c>
      <c r="C2" s="8" t="s">
        <v>84</v>
      </c>
      <c r="D2" s="8" t="s">
        <v>85</v>
      </c>
      <c r="E2" s="4">
        <f>VLOOKUP(B2,'[5]מי ווט'!$A$2:$J$45,5,FALSE)</f>
        <v>5870</v>
      </c>
      <c r="F2" s="4">
        <f>VLOOKUP(B2,'[6]מי ווט'!$A$2:$F$42,4,FALSE)</f>
        <v>3976</v>
      </c>
      <c r="G2" s="4">
        <f>VLOOKUP(B2,'[6]מי ווט'!$A$2:$F$42,5,FALSE)</f>
        <v>2610</v>
      </c>
      <c r="H2" s="4">
        <f>VLOOKUP(B2,'[6]מי ווט'!$A$2:$F$42,6,FALSE)</f>
        <v>0</v>
      </c>
      <c r="I2" s="4"/>
      <c r="J2" s="4">
        <f>VLOOKUP(B2,'[5]מי ווט'!$A$2:$J$45,10,FALSE)</f>
        <v>0</v>
      </c>
      <c r="K2" s="4"/>
      <c r="L2" s="4"/>
      <c r="M2" s="4"/>
    </row>
    <row r="3" spans="1:13" x14ac:dyDescent="0.3">
      <c r="A3">
        <v>42</v>
      </c>
      <c r="B3">
        <v>4</v>
      </c>
      <c r="C3" s="8" t="s">
        <v>86</v>
      </c>
      <c r="D3" s="8" t="s">
        <v>87</v>
      </c>
      <c r="E3" s="4">
        <f>VLOOKUP(B3,'[5]מי ווט'!$A$2:$J$45,5,FALSE)</f>
        <v>902</v>
      </c>
      <c r="F3" s="4">
        <f>VLOOKUP(B3,'[6]מי ווט'!$A$2:$F$42,4,FALSE)</f>
        <v>2329</v>
      </c>
      <c r="G3" s="4">
        <f>VLOOKUP(B3,'[6]מי ווט'!$A$2:$F$42,5,FALSE)</f>
        <v>1369</v>
      </c>
      <c r="H3" s="4">
        <f>VLOOKUP(B3,'[6]מי ווט'!$A$2:$F$42,6,FALSE)</f>
        <v>1146</v>
      </c>
      <c r="I3" s="4">
        <v>2625</v>
      </c>
      <c r="J3" s="4">
        <f>VLOOKUP(B3,'[5]מי ווט'!$A$2:$J$45,10,FALSE)</f>
        <v>1343.17</v>
      </c>
      <c r="K3" s="4">
        <v>2520.33</v>
      </c>
      <c r="L3" s="4">
        <v>3669.1</v>
      </c>
      <c r="M3" s="4">
        <v>2557.1799999999998</v>
      </c>
    </row>
    <row r="4" spans="1:13" x14ac:dyDescent="0.3">
      <c r="A4">
        <v>67</v>
      </c>
      <c r="B4">
        <v>6</v>
      </c>
      <c r="C4" s="8" t="s">
        <v>88</v>
      </c>
      <c r="D4" s="8" t="s">
        <v>89</v>
      </c>
      <c r="E4" s="4">
        <f>VLOOKUP(B4,'[5]מי ווט'!$A$2:$J$45,5,FALSE)</f>
        <v>8099</v>
      </c>
      <c r="F4" s="4">
        <f>VLOOKUP(B4,'[6]מי ווט'!$A$2:$F$42,4,FALSE)</f>
        <v>5774</v>
      </c>
      <c r="G4" s="4">
        <f>VLOOKUP(B4,'[6]מי ווט'!$A$2:$F$42,5,FALSE)</f>
        <v>10937</v>
      </c>
      <c r="H4" s="4">
        <f>VLOOKUP(B4,'[6]מי ווט'!$A$2:$F$42,6,FALSE)</f>
        <v>5397</v>
      </c>
      <c r="I4" s="4">
        <v>5259</v>
      </c>
      <c r="J4" s="4">
        <f>VLOOKUP(B4,'[5]מי ווט'!$A$2:$J$45,10,FALSE)</f>
        <v>6368.94</v>
      </c>
      <c r="K4" s="4">
        <v>7389.15</v>
      </c>
      <c r="L4" s="4">
        <v>7061.87</v>
      </c>
      <c r="M4" s="4">
        <v>5629.8</v>
      </c>
    </row>
    <row r="5" spans="1:13" x14ac:dyDescent="0.3">
      <c r="A5">
        <v>91</v>
      </c>
      <c r="B5">
        <v>9</v>
      </c>
      <c r="C5" s="8" t="s">
        <v>90</v>
      </c>
      <c r="D5" s="8" t="s">
        <v>91</v>
      </c>
      <c r="E5" s="4">
        <f>VLOOKUP(B5,'[5]מי ווט'!$A$2:$J$45,5,FALSE)</f>
        <v>5886</v>
      </c>
      <c r="F5" s="4">
        <f>VLOOKUP(B5,'[6]מי ווט'!$A$2:$F$42,4,FALSE)</f>
        <v>9597</v>
      </c>
      <c r="G5" s="4">
        <f>VLOOKUP(B5,'[6]מי ווט'!$A$2:$F$42,5,FALSE)</f>
        <v>10862</v>
      </c>
      <c r="H5" s="4">
        <f>VLOOKUP(B5,'[6]מי ווט'!$A$2:$F$42,6,FALSE)</f>
        <v>4873</v>
      </c>
      <c r="I5" s="4">
        <v>9789</v>
      </c>
      <c r="J5" s="4">
        <f>VLOOKUP(B5,'[5]מי ווט'!$A$2:$J$45,10,FALSE)</f>
        <v>7336.72</v>
      </c>
      <c r="K5" s="4">
        <v>7305.73</v>
      </c>
      <c r="L5" s="4">
        <v>9104.85</v>
      </c>
      <c r="M5" s="4">
        <v>9493.94</v>
      </c>
    </row>
    <row r="6" spans="1:13" x14ac:dyDescent="0.3">
      <c r="A6">
        <v>109</v>
      </c>
      <c r="B6">
        <v>10</v>
      </c>
      <c r="C6" s="8" t="s">
        <v>92</v>
      </c>
      <c r="D6" s="8" t="s">
        <v>93</v>
      </c>
      <c r="E6" s="4">
        <f>VLOOKUP(B6,'[5]מי ווט'!$A$2:$J$45,5,FALSE)</f>
        <v>13153</v>
      </c>
      <c r="F6" s="4">
        <f>VLOOKUP(B6,'[6]מי ווט'!$A$2:$F$42,4,FALSE)</f>
        <v>13099</v>
      </c>
      <c r="G6" s="4">
        <f>VLOOKUP(B6,'[6]מי ווט'!$A$2:$F$42,5,FALSE)</f>
        <v>16517</v>
      </c>
      <c r="H6" s="4">
        <f>VLOOKUP(B6,'[6]מי ווט'!$A$2:$F$42,6,FALSE)</f>
        <v>13100</v>
      </c>
      <c r="I6" s="4">
        <v>13100</v>
      </c>
      <c r="J6" s="4">
        <f>VLOOKUP(B6,'[5]מי ווט'!$A$2:$J$45,10,FALSE)</f>
        <v>13148.17</v>
      </c>
      <c r="K6" s="4">
        <v>13093.87</v>
      </c>
      <c r="L6" s="4">
        <v>14192.84</v>
      </c>
      <c r="M6" s="4">
        <v>13093.87</v>
      </c>
    </row>
    <row r="7" spans="1:13" x14ac:dyDescent="0.3">
      <c r="A7">
        <v>117</v>
      </c>
      <c r="B7">
        <v>11</v>
      </c>
      <c r="C7" s="8" t="s">
        <v>94</v>
      </c>
      <c r="D7" s="8" t="s">
        <v>95</v>
      </c>
      <c r="E7" s="4">
        <f>VLOOKUP(B7,'[5]מי ווט'!$A$2:$J$45,5,FALSE)</f>
        <v>13953</v>
      </c>
      <c r="F7" s="4">
        <f>VLOOKUP(B7,'[6]מי ווט'!$A$2:$F$42,4,FALSE)</f>
        <v>13953</v>
      </c>
      <c r="G7" s="4">
        <f>VLOOKUP(B7,'[6]מי ווט'!$A$2:$F$42,5,FALSE)</f>
        <v>17551</v>
      </c>
      <c r="H7" s="4">
        <f>VLOOKUP(B7,'[6]מי ווט'!$A$2:$F$42,6,FALSE)</f>
        <v>13953</v>
      </c>
      <c r="I7" s="4">
        <v>13953</v>
      </c>
      <c r="J7" s="4">
        <f>VLOOKUP(B7,'[5]מי ווט'!$A$2:$J$45,10,FALSE)</f>
        <v>14393.17</v>
      </c>
      <c r="K7" s="4">
        <v>14393.17</v>
      </c>
      <c r="L7" s="4">
        <v>15384.54</v>
      </c>
      <c r="M7" s="4">
        <v>14579.52</v>
      </c>
    </row>
    <row r="8" spans="1:13" x14ac:dyDescent="0.3">
      <c r="A8">
        <v>133</v>
      </c>
      <c r="B8">
        <v>13</v>
      </c>
      <c r="C8" s="33" t="s">
        <v>96</v>
      </c>
      <c r="D8" s="33" t="s">
        <v>97</v>
      </c>
      <c r="E8" s="30">
        <f>VLOOKUP(B8,'[5]מי ווט'!$A$2:$J$45,5,FALSE)</f>
        <v>22203</v>
      </c>
      <c r="F8" s="30">
        <f>VLOOKUP(B8,'[6]מי ווט'!$A$2:$F$42,4,FALSE)</f>
        <v>22203</v>
      </c>
      <c r="G8" s="30">
        <f>VLOOKUP(B8,'[6]מי ווט'!$A$2:$F$42,5,FALSE)</f>
        <v>25351</v>
      </c>
      <c r="H8" s="30">
        <f>VLOOKUP(B8,'[6]מי ווט'!$A$2:$F$42,6,FALSE)</f>
        <v>22203</v>
      </c>
      <c r="I8" s="30">
        <v>22203</v>
      </c>
      <c r="J8" s="30">
        <f>VLOOKUP(B8,'[5]מי ווט'!$A$2:$J$45,10,FALSE)</f>
        <v>22196.07</v>
      </c>
      <c r="K8" s="30">
        <v>22196.07</v>
      </c>
      <c r="L8" s="30">
        <v>23026.54</v>
      </c>
      <c r="M8" s="4">
        <v>22196.07</v>
      </c>
    </row>
    <row r="9" spans="1:13" x14ac:dyDescent="0.3">
      <c r="A9">
        <v>166</v>
      </c>
      <c r="B9">
        <v>16</v>
      </c>
      <c r="C9" s="33" t="s">
        <v>98</v>
      </c>
      <c r="D9" s="33" t="s">
        <v>99</v>
      </c>
      <c r="E9" s="30">
        <f>VLOOKUP(B9,'[5]מי ווט'!$A$2:$J$45,5,FALSE)</f>
        <v>25588</v>
      </c>
      <c r="F9" s="30">
        <f>VLOOKUP(B9,'[6]מי ווט'!$A$2:$F$42,4,FALSE)</f>
        <v>30645</v>
      </c>
      <c r="G9" s="30">
        <f>VLOOKUP(B9,'[6]מי ווט'!$A$2:$F$42,5,FALSE)</f>
        <v>31945</v>
      </c>
      <c r="H9" s="30">
        <f>VLOOKUP(B9,'[6]מי ווט'!$A$2:$F$42,6,FALSE)</f>
        <v>29892</v>
      </c>
      <c r="I9" s="30">
        <v>28278</v>
      </c>
      <c r="J9" s="30">
        <f>VLOOKUP(B9,'[5]מי ווט'!$A$2:$J$45,10,FALSE)</f>
        <v>32467.87</v>
      </c>
      <c r="K9" s="30">
        <v>30531.07</v>
      </c>
      <c r="L9" s="30">
        <v>28025.94</v>
      </c>
      <c r="M9" s="4">
        <v>34619.870000000003</v>
      </c>
    </row>
    <row r="10" spans="1:13" x14ac:dyDescent="0.3">
      <c r="A10">
        <v>216</v>
      </c>
      <c r="B10">
        <v>21</v>
      </c>
      <c r="C10" s="33" t="s">
        <v>100</v>
      </c>
      <c r="D10" s="33" t="s">
        <v>101</v>
      </c>
      <c r="E10" s="30">
        <f>VLOOKUP(B10,'[5]מי ווט'!$A$2:$J$45,5,FALSE)</f>
        <v>14119</v>
      </c>
      <c r="F10" s="30">
        <f>VLOOKUP(B10,'[6]מי ווט'!$A$2:$F$42,4,FALSE)</f>
        <v>14400</v>
      </c>
      <c r="G10" s="30">
        <f>VLOOKUP(B10,'[6]מי ווט'!$A$2:$F$42,5,FALSE)</f>
        <v>17289</v>
      </c>
      <c r="H10" s="30">
        <f>VLOOKUP(B10,'[6]מי ווט'!$A$2:$F$42,6,FALSE)</f>
        <v>14084</v>
      </c>
      <c r="I10" s="30">
        <v>15460</v>
      </c>
      <c r="J10" s="30">
        <f>VLOOKUP(B10,'[5]מי ווט'!$A$2:$J$45,10,FALSE)</f>
        <v>15758.25</v>
      </c>
      <c r="K10" s="30">
        <v>14401.8</v>
      </c>
      <c r="L10" s="30">
        <v>16338.29</v>
      </c>
      <c r="M10" s="4">
        <v>14927.7</v>
      </c>
    </row>
    <row r="11" spans="1:13" x14ac:dyDescent="0.3">
      <c r="A11">
        <v>224</v>
      </c>
      <c r="B11">
        <v>22</v>
      </c>
      <c r="C11" s="8" t="s">
        <v>102</v>
      </c>
      <c r="D11" s="8" t="s">
        <v>103</v>
      </c>
      <c r="E11" s="4">
        <f>VLOOKUP(B11,'[5]מי ווט'!$A$2:$J$45,5,FALSE)</f>
        <v>11825</v>
      </c>
      <c r="F11" s="4">
        <f>VLOOKUP(B11,'[6]מי ווט'!$A$2:$F$42,4,FALSE)</f>
        <v>9836</v>
      </c>
      <c r="G11" s="4">
        <f>VLOOKUP(B11,'[6]מי ווט'!$A$2:$F$42,5,FALSE)</f>
        <v>13312</v>
      </c>
      <c r="H11" s="4">
        <f>VLOOKUP(B11,'[6]מי ווט'!$A$2:$F$42,6,FALSE)</f>
        <v>9614</v>
      </c>
      <c r="I11" s="4">
        <v>10295</v>
      </c>
      <c r="J11" s="4">
        <f>VLOOKUP(B11,'[5]מי ווט'!$A$2:$J$45,10,FALSE)</f>
        <v>8062.21</v>
      </c>
      <c r="K11" s="4">
        <v>7535.59</v>
      </c>
      <c r="L11" s="4">
        <v>10143.33</v>
      </c>
      <c r="M11" s="4">
        <v>7048.24</v>
      </c>
    </row>
    <row r="12" spans="1:13" x14ac:dyDescent="0.3">
      <c r="A12">
        <v>232</v>
      </c>
      <c r="B12">
        <v>23</v>
      </c>
      <c r="C12" s="33" t="s">
        <v>104</v>
      </c>
      <c r="D12" s="33" t="s">
        <v>105</v>
      </c>
      <c r="E12" s="30">
        <f>VLOOKUP(B12,'[5]מי ווט'!$A$2:$J$45,5,FALSE)</f>
        <v>32748</v>
      </c>
      <c r="F12" s="30">
        <f>VLOOKUP(B12,'[6]מי ווט'!$A$2:$F$42,4,FALSE)</f>
        <v>28129</v>
      </c>
      <c r="G12" s="30">
        <f>VLOOKUP(B12,'[6]מי ווט'!$A$2:$F$42,5,FALSE)</f>
        <v>37001</v>
      </c>
      <c r="H12" s="30">
        <f>VLOOKUP(B12,'[6]מי ווט'!$A$2:$F$42,6,FALSE)</f>
        <v>34631</v>
      </c>
      <c r="I12" s="30">
        <v>30685</v>
      </c>
      <c r="J12" s="30">
        <f>VLOOKUP(B12,'[5]מי ווט'!$A$2:$J$45,10,FALSE)</f>
        <v>33761.26</v>
      </c>
      <c r="K12" s="30">
        <v>35017.69</v>
      </c>
      <c r="L12" s="30">
        <v>34519.839999999997</v>
      </c>
      <c r="M12" s="4">
        <v>34091.07</v>
      </c>
    </row>
    <row r="13" spans="1:13" x14ac:dyDescent="0.3">
      <c r="A13">
        <v>0</v>
      </c>
      <c r="B13">
        <v>24</v>
      </c>
      <c r="C13" s="8" t="s">
        <v>106</v>
      </c>
      <c r="D13" s="8" t="s">
        <v>107</v>
      </c>
      <c r="E13" s="4">
        <f>VLOOKUP(B13,'[5]מי ווט'!$A$2:$J$45,5,FALSE)</f>
        <v>20161</v>
      </c>
      <c r="F13" s="4">
        <f>VLOOKUP(B13,'[6]מי ווט'!$A$2:$F$42,4,FALSE)</f>
        <v>20161</v>
      </c>
      <c r="G13" s="4">
        <f>VLOOKUP(B13,'[6]מי ווט'!$A$2:$F$42,5,FALSE)</f>
        <v>22860</v>
      </c>
      <c r="H13" s="4">
        <f>VLOOKUP(B13,'[6]מי ווט'!$A$2:$F$42,6,FALSE)</f>
        <v>20161</v>
      </c>
      <c r="I13" s="4">
        <v>21171</v>
      </c>
      <c r="J13" s="4">
        <f>VLOOKUP(B13,'[5]מי ווט'!$A$2:$J$45,10,FALSE)</f>
        <v>0</v>
      </c>
      <c r="K13" s="4"/>
      <c r="L13" s="4"/>
      <c r="M13" s="4"/>
    </row>
    <row r="14" spans="1:13" x14ac:dyDescent="0.3">
      <c r="A14">
        <v>257</v>
      </c>
      <c r="B14">
        <v>25</v>
      </c>
      <c r="C14" s="33" t="s">
        <v>108</v>
      </c>
      <c r="D14" s="33" t="s">
        <v>109</v>
      </c>
      <c r="E14" s="30">
        <f>VLOOKUP(B14,'[5]מי ווט'!$A$2:$J$45,5,FALSE)</f>
        <v>19104</v>
      </c>
      <c r="F14" s="30">
        <f>VLOOKUP(B14,'[6]מי ווט'!$A$2:$F$42,4,FALSE)</f>
        <v>19969</v>
      </c>
      <c r="G14" s="30">
        <f>VLOOKUP(B14,'[6]מי ווט'!$A$2:$F$42,5,FALSE)</f>
        <v>25727</v>
      </c>
      <c r="H14" s="30">
        <f>VLOOKUP(B14,'[6]מי ווט'!$A$2:$F$42,6,FALSE)</f>
        <v>17667</v>
      </c>
      <c r="I14" s="30">
        <v>19684</v>
      </c>
      <c r="J14" s="30">
        <f>VLOOKUP(B14,'[5]מי ווט'!$A$2:$J$45,10,FALSE)</f>
        <v>18211.91</v>
      </c>
      <c r="K14" s="30">
        <v>19846.29</v>
      </c>
      <c r="L14" s="30">
        <v>16949.41</v>
      </c>
      <c r="M14" s="4">
        <v>21272.6</v>
      </c>
    </row>
    <row r="15" spans="1:13" x14ac:dyDescent="0.3">
      <c r="A15">
        <v>265</v>
      </c>
      <c r="B15">
        <v>26</v>
      </c>
      <c r="C15" s="33" t="s">
        <v>110</v>
      </c>
      <c r="D15" s="33" t="s">
        <v>111</v>
      </c>
      <c r="E15" s="30">
        <f>VLOOKUP(B15,'[5]מי ווט'!$A$2:$J$45,5,FALSE)</f>
        <v>22473</v>
      </c>
      <c r="F15" s="30">
        <f>VLOOKUP(B15,'[6]מי ווט'!$A$2:$F$42,4,FALSE)</f>
        <v>14291</v>
      </c>
      <c r="G15" s="30">
        <f>VLOOKUP(B15,'[6]מי ווט'!$A$2:$F$42,5,FALSE)</f>
        <v>27860</v>
      </c>
      <c r="H15" s="30">
        <f>VLOOKUP(B15,'[6]מי ווט'!$A$2:$F$42,6,FALSE)</f>
        <v>24239</v>
      </c>
      <c r="I15" s="30">
        <v>18057</v>
      </c>
      <c r="J15" s="30">
        <f>VLOOKUP(B15,'[5]מי ווט'!$A$2:$J$45,10,FALSE)</f>
        <v>18688.939999999999</v>
      </c>
      <c r="K15" s="30">
        <v>16451.580000000002</v>
      </c>
      <c r="L15" s="30">
        <v>17798.13</v>
      </c>
      <c r="M15" s="4">
        <v>19973.740000000002</v>
      </c>
    </row>
    <row r="16" spans="1:13" x14ac:dyDescent="0.3">
      <c r="A16">
        <v>273</v>
      </c>
      <c r="B16">
        <v>27</v>
      </c>
      <c r="C16" s="8" t="s">
        <v>112</v>
      </c>
      <c r="D16" s="8" t="s">
        <v>113</v>
      </c>
      <c r="E16" s="4">
        <f>VLOOKUP(B16,'[5]מי ווט'!$A$2:$J$45,5,FALSE)</f>
        <v>6291</v>
      </c>
      <c r="F16" s="4">
        <f>VLOOKUP(B16,'[6]מי ווט'!$A$2:$F$42,4,FALSE)</f>
        <v>6169</v>
      </c>
      <c r="G16" s="4">
        <f>VLOOKUP(B16,'[6]מי ווט'!$A$2:$F$42,5,FALSE)</f>
        <v>10738</v>
      </c>
      <c r="H16" s="4">
        <f>VLOOKUP(B16,'[6]מי ווט'!$A$2:$F$42,6,FALSE)</f>
        <v>6301</v>
      </c>
      <c r="I16" s="4">
        <v>9108</v>
      </c>
      <c r="J16" s="4">
        <f>VLOOKUP(B16,'[5]מי ווט'!$A$2:$J$45,10,FALSE)</f>
        <v>8100.09</v>
      </c>
      <c r="K16" s="4">
        <v>7646.63</v>
      </c>
      <c r="L16" s="4">
        <v>7324.59</v>
      </c>
      <c r="M16" s="4">
        <v>8541.56</v>
      </c>
    </row>
    <row r="17" spans="1:13" x14ac:dyDescent="0.3">
      <c r="A17">
        <v>315</v>
      </c>
      <c r="B17">
        <v>31</v>
      </c>
      <c r="C17" s="8" t="s">
        <v>114</v>
      </c>
      <c r="D17" s="8" t="s">
        <v>115</v>
      </c>
      <c r="E17" s="4">
        <f>VLOOKUP(B17,'[5]מי ווט'!$A$2:$J$45,5,FALSE)</f>
        <v>8442</v>
      </c>
      <c r="F17" s="4">
        <f>VLOOKUP(B17,'[6]מי ווט'!$A$2:$F$42,4,FALSE)</f>
        <v>10852</v>
      </c>
      <c r="G17" s="4">
        <f>VLOOKUP(B17,'[6]מי ווט'!$A$2:$F$42,5,FALSE)</f>
        <v>13030</v>
      </c>
      <c r="H17" s="4">
        <f>VLOOKUP(B17,'[6]מי ווט'!$A$2:$F$42,6,FALSE)</f>
        <v>7619</v>
      </c>
      <c r="I17" s="4">
        <v>7387</v>
      </c>
      <c r="J17" s="4">
        <f>VLOOKUP(B17,'[5]מי ווט'!$A$2:$J$45,10,FALSE)</f>
        <v>7920.73</v>
      </c>
      <c r="K17" s="4">
        <v>5537.14</v>
      </c>
      <c r="L17" s="4">
        <v>8382.9500000000007</v>
      </c>
      <c r="M17" s="4">
        <v>7071.81</v>
      </c>
    </row>
    <row r="18" spans="1:13" x14ac:dyDescent="0.3">
      <c r="A18">
        <v>323</v>
      </c>
      <c r="B18">
        <v>32</v>
      </c>
      <c r="C18" s="33" t="s">
        <v>116</v>
      </c>
      <c r="D18" s="33" t="s">
        <v>117</v>
      </c>
      <c r="E18" s="30">
        <f>VLOOKUP(B18,'[5]מי ווט'!$A$2:$J$45,5,FALSE)</f>
        <v>34343</v>
      </c>
      <c r="F18" s="30">
        <f>VLOOKUP(B18,'[6]מי ווט'!$A$2:$F$42,4,FALSE)</f>
        <v>29447</v>
      </c>
      <c r="G18" s="30">
        <f>VLOOKUP(B18,'[6]מי ווט'!$A$2:$F$42,5,FALSE)</f>
        <v>39853</v>
      </c>
      <c r="H18" s="30">
        <f>VLOOKUP(B18,'[6]מי ווט'!$A$2:$F$42,6,FALSE)</f>
        <v>32920</v>
      </c>
      <c r="I18" s="30">
        <v>31086</v>
      </c>
      <c r="J18" s="30">
        <f>VLOOKUP(B18,'[5]מי ווט'!$A$2:$J$45,10,FALSE)</f>
        <v>31854.27</v>
      </c>
      <c r="K18" s="30">
        <v>30735.98</v>
      </c>
      <c r="L18" s="30">
        <v>0</v>
      </c>
      <c r="M18" s="4">
        <v>0</v>
      </c>
    </row>
    <row r="19" spans="1:13" x14ac:dyDescent="0.3">
      <c r="A19">
        <v>356</v>
      </c>
      <c r="B19">
        <v>35</v>
      </c>
      <c r="C19" s="8" t="s">
        <v>118</v>
      </c>
      <c r="D19" s="8" t="s">
        <v>119</v>
      </c>
      <c r="E19" s="4">
        <f>VLOOKUP(B19,'[5]מי ווט'!$A$2:$J$45,5,FALSE)</f>
        <v>8481</v>
      </c>
      <c r="F19" s="4">
        <f>VLOOKUP(B19,'[6]מי ווט'!$A$2:$F$42,4,FALSE)</f>
        <v>9623</v>
      </c>
      <c r="G19" s="4">
        <f>VLOOKUP(B19,'[6]מי ווט'!$A$2:$F$42,5,FALSE)</f>
        <v>12222</v>
      </c>
      <c r="H19" s="4">
        <f>VLOOKUP(B19,'[6]מי ווט'!$A$2:$F$42,6,FALSE)</f>
        <v>5784</v>
      </c>
      <c r="I19" s="4">
        <v>8745</v>
      </c>
      <c r="J19" s="4">
        <f>VLOOKUP(B19,'[5]מי ווט'!$A$2:$J$45,10,FALSE)</f>
        <v>9720.0400000000009</v>
      </c>
      <c r="K19" s="4">
        <v>8168.07</v>
      </c>
      <c r="L19" s="4">
        <v>8446.7800000000007</v>
      </c>
      <c r="M19" s="4">
        <v>8110.37</v>
      </c>
    </row>
    <row r="20" spans="1:13" x14ac:dyDescent="0.3">
      <c r="A20">
        <v>364</v>
      </c>
      <c r="B20">
        <v>36</v>
      </c>
      <c r="C20" s="8" t="s">
        <v>120</v>
      </c>
      <c r="D20" s="8" t="s">
        <v>121</v>
      </c>
      <c r="E20" s="4">
        <f>VLOOKUP(B20,'[5]מי ווט'!$A$2:$J$45,5,FALSE)</f>
        <v>6896</v>
      </c>
      <c r="F20" s="4">
        <f>VLOOKUP(B20,'[6]מי ווט'!$A$2:$F$42,4,FALSE)</f>
        <v>6586</v>
      </c>
      <c r="G20" s="4">
        <f>VLOOKUP(B20,'[6]מי ווט'!$A$2:$F$42,5,FALSE)</f>
        <v>10241</v>
      </c>
      <c r="H20" s="4">
        <f>VLOOKUP(B20,'[6]מי ווט'!$A$2:$F$42,6,FALSE)</f>
        <v>6061</v>
      </c>
      <c r="I20" s="4">
        <v>6304</v>
      </c>
      <c r="J20" s="4">
        <f>VLOOKUP(B20,'[5]מי ווט'!$A$2:$J$45,10,FALSE)</f>
        <v>6641.24</v>
      </c>
      <c r="K20" s="4">
        <v>5502.4</v>
      </c>
      <c r="L20" s="4">
        <v>4333.1400000000003</v>
      </c>
      <c r="M20" s="4">
        <v>5267.62</v>
      </c>
    </row>
    <row r="21" spans="1:13" x14ac:dyDescent="0.3">
      <c r="A21">
        <v>398</v>
      </c>
      <c r="B21">
        <v>39</v>
      </c>
      <c r="C21" s="8" t="s">
        <v>122</v>
      </c>
      <c r="D21" s="8" t="s">
        <v>123</v>
      </c>
      <c r="E21" s="4">
        <f>VLOOKUP(B21,'[5]מי ווט'!$A$2:$J$45,5,FALSE)</f>
        <v>5815</v>
      </c>
      <c r="F21" s="4">
        <f>VLOOKUP(B21,'[6]מי ווט'!$A$2:$F$42,4,FALSE)</f>
        <v>12261</v>
      </c>
      <c r="G21" s="4">
        <f>VLOOKUP(B21,'[6]מי ווט'!$A$2:$F$42,5,FALSE)</f>
        <v>12921</v>
      </c>
      <c r="H21" s="4">
        <f>VLOOKUP(B21,'[6]מי ווט'!$A$2:$F$42,6,FALSE)</f>
        <v>7715</v>
      </c>
      <c r="I21" s="4">
        <v>5940</v>
      </c>
      <c r="J21" s="4">
        <f>VLOOKUP(B21,'[5]מי ווט'!$A$2:$J$45,10,FALSE)</f>
        <v>712.15</v>
      </c>
      <c r="K21" s="4">
        <v>0</v>
      </c>
      <c r="L21" s="4">
        <v>11.5</v>
      </c>
      <c r="M21" s="4">
        <v>0</v>
      </c>
    </row>
    <row r="22" spans="1:13" x14ac:dyDescent="0.3">
      <c r="A22">
        <v>406</v>
      </c>
      <c r="B22">
        <v>40</v>
      </c>
      <c r="C22" s="8" t="s">
        <v>124</v>
      </c>
      <c r="D22" s="8" t="s">
        <v>125</v>
      </c>
      <c r="E22" s="4">
        <f>VLOOKUP(B22,'[5]מי ווט'!$A$2:$J$45,5,FALSE)</f>
        <v>8206</v>
      </c>
      <c r="F22" s="4">
        <f>VLOOKUP(B22,'[6]מי ווט'!$A$2:$F$42,4,FALSE)</f>
        <v>8630</v>
      </c>
      <c r="G22" s="4">
        <f>VLOOKUP(B22,'[6]מי ווט'!$A$2:$F$42,5,FALSE)</f>
        <v>14391</v>
      </c>
      <c r="H22" s="4">
        <f>VLOOKUP(B22,'[6]מי ווט'!$A$2:$F$42,6,FALSE)</f>
        <v>9709</v>
      </c>
      <c r="I22" s="4">
        <v>12255</v>
      </c>
      <c r="J22" s="4">
        <f>VLOOKUP(B22,'[5]מי ווט'!$A$2:$J$45,10,FALSE)</f>
        <v>8200.7999999999993</v>
      </c>
      <c r="K22" s="4">
        <v>6124.57</v>
      </c>
      <c r="L22" s="4">
        <v>9736.3799999999992</v>
      </c>
      <c r="M22" s="4">
        <v>10376.219999999999</v>
      </c>
    </row>
    <row r="23" spans="1:13" x14ac:dyDescent="0.3">
      <c r="A23">
        <v>414</v>
      </c>
      <c r="B23">
        <v>41</v>
      </c>
      <c r="C23" s="33" t="s">
        <v>126</v>
      </c>
      <c r="D23" s="33" t="s">
        <v>127</v>
      </c>
      <c r="E23" s="30">
        <f>VLOOKUP(B23,'[5]מי ווט'!$A$2:$J$45,5,FALSE)</f>
        <v>19695</v>
      </c>
      <c r="F23" s="30">
        <f>VLOOKUP(B23,'[6]מי ווט'!$A$2:$F$42,4,FALSE)</f>
        <v>20063</v>
      </c>
      <c r="G23" s="30">
        <f>VLOOKUP(B23,'[6]מי ווט'!$A$2:$F$42,5,FALSE)</f>
        <v>25820</v>
      </c>
      <c r="H23" s="30">
        <f>VLOOKUP(B23,'[6]מי ווט'!$A$2:$F$42,6,FALSE)</f>
        <v>17437</v>
      </c>
      <c r="I23" s="30">
        <v>20759</v>
      </c>
      <c r="J23" s="30">
        <f>VLOOKUP(B23,'[5]מי ווט'!$A$2:$J$45,10,FALSE)</f>
        <v>19482.349999999999</v>
      </c>
      <c r="K23" s="30">
        <v>11574.97</v>
      </c>
      <c r="L23" s="30">
        <v>20831.29</v>
      </c>
      <c r="M23" s="4">
        <v>23569.1</v>
      </c>
    </row>
    <row r="24" spans="1:13" x14ac:dyDescent="0.3">
      <c r="A24">
        <v>422</v>
      </c>
      <c r="B24">
        <v>42</v>
      </c>
      <c r="C24" s="33" t="s">
        <v>128</v>
      </c>
      <c r="D24" s="33" t="s">
        <v>129</v>
      </c>
      <c r="E24" s="30">
        <f>VLOOKUP(B24,'[5]מי ווט'!$A$2:$J$45,5,FALSE)</f>
        <v>50891</v>
      </c>
      <c r="F24" s="30">
        <f>VLOOKUP(B24,'[6]מי ווט'!$A$2:$F$42,4,FALSE)</f>
        <v>50889</v>
      </c>
      <c r="G24" s="30">
        <f>VLOOKUP(B24,'[6]מי ווט'!$A$2:$F$42,5,FALSE)</f>
        <v>53138</v>
      </c>
      <c r="H24" s="30">
        <f>VLOOKUP(B24,'[6]מי ווט'!$A$2:$F$42,6,FALSE)</f>
        <v>50889</v>
      </c>
      <c r="I24" s="30">
        <v>50890</v>
      </c>
      <c r="J24" s="30">
        <f>VLOOKUP(B24,'[5]מי ווט'!$A$2:$J$45,10,FALSE)</f>
        <v>50773.29</v>
      </c>
      <c r="K24" s="30">
        <v>50773.29</v>
      </c>
      <c r="L24" s="30">
        <v>50794.8</v>
      </c>
      <c r="M24" s="4">
        <v>45577.81</v>
      </c>
    </row>
    <row r="25" spans="1:13" x14ac:dyDescent="0.3">
      <c r="A25">
        <v>448</v>
      </c>
      <c r="B25">
        <v>44</v>
      </c>
      <c r="C25" s="33" t="s">
        <v>130</v>
      </c>
      <c r="D25" s="33" t="s">
        <v>131</v>
      </c>
      <c r="E25" s="30">
        <f>VLOOKUP(B25,'[5]מי ווט'!$A$2:$J$45,5,FALSE)</f>
        <v>11249</v>
      </c>
      <c r="F25" s="30">
        <f>VLOOKUP(B25,'[6]מי ווט'!$A$2:$F$42,4,FALSE)</f>
        <v>9322</v>
      </c>
      <c r="G25" s="30">
        <f>VLOOKUP(B25,'[6]מי ווט'!$A$2:$F$42,5,FALSE)</f>
        <v>12261</v>
      </c>
      <c r="H25" s="30">
        <f>VLOOKUP(B25,'[6]מי ווט'!$A$2:$F$42,6,FALSE)</f>
        <v>10299</v>
      </c>
      <c r="I25" s="30">
        <v>11182</v>
      </c>
      <c r="J25" s="30">
        <f>VLOOKUP(B25,'[5]מי ווט'!$A$2:$J$45,10,FALSE)</f>
        <v>9850.39</v>
      </c>
      <c r="K25" s="30">
        <v>9537.0400000000009</v>
      </c>
      <c r="L25" s="30">
        <v>872.83</v>
      </c>
      <c r="M25" s="4">
        <v>6396.52</v>
      </c>
    </row>
    <row r="26" spans="1:13" x14ac:dyDescent="0.3">
      <c r="A26">
        <v>455</v>
      </c>
      <c r="B26">
        <v>45</v>
      </c>
      <c r="C26" s="8" t="s">
        <v>132</v>
      </c>
      <c r="D26" s="8" t="s">
        <v>133</v>
      </c>
      <c r="E26" s="4">
        <f>VLOOKUP(B26,'[5]מי ווט'!$A$2:$J$45,5,FALSE)</f>
        <v>8053</v>
      </c>
      <c r="F26" s="4">
        <f>VLOOKUP(B26,'[6]מי ווט'!$A$2:$F$42,4,FALSE)</f>
        <v>7349</v>
      </c>
      <c r="G26" s="4">
        <f>VLOOKUP(B26,'[6]מי ווט'!$A$2:$F$42,5,FALSE)</f>
        <v>9694</v>
      </c>
      <c r="H26" s="4">
        <f>VLOOKUP(B26,'[6]מי ווט'!$A$2:$F$42,6,FALSE)</f>
        <v>4008</v>
      </c>
      <c r="I26" s="4"/>
      <c r="J26" s="4">
        <f>VLOOKUP(B26,'[5]מי ווט'!$A$2:$J$45,10,FALSE)</f>
        <v>0</v>
      </c>
      <c r="K26" s="4">
        <v>2851</v>
      </c>
      <c r="L26" s="4">
        <v>23.97</v>
      </c>
      <c r="M26" s="4">
        <v>0</v>
      </c>
    </row>
    <row r="27" spans="1:13" x14ac:dyDescent="0.3">
      <c r="A27">
        <v>489</v>
      </c>
      <c r="B27">
        <v>48</v>
      </c>
      <c r="C27" s="8" t="s">
        <v>134</v>
      </c>
      <c r="D27" s="8" t="s">
        <v>135</v>
      </c>
      <c r="E27" s="4">
        <f>VLOOKUP(B27,'[5]מי ווט'!$A$2:$J$45,5,FALSE)</f>
        <v>5246</v>
      </c>
      <c r="F27" s="4">
        <f>VLOOKUP(B27,'[6]מי ווט'!$A$2:$F$42,4,FALSE)</f>
        <v>4119</v>
      </c>
      <c r="G27" s="4">
        <f>VLOOKUP(B27,'[6]מי ווט'!$A$2:$F$42,5,FALSE)</f>
        <v>5855</v>
      </c>
      <c r="H27" s="4">
        <f>VLOOKUP(B27,'[6]מי ווט'!$A$2:$F$42,6,FALSE)</f>
        <v>5099</v>
      </c>
      <c r="I27" s="4">
        <v>11152</v>
      </c>
      <c r="J27" s="4">
        <f>VLOOKUP(B27,'[5]מי ווט'!$A$2:$J$45,10,FALSE)</f>
        <v>6451.44</v>
      </c>
      <c r="K27" s="4">
        <v>7269.1</v>
      </c>
      <c r="L27" s="4">
        <v>5217.47</v>
      </c>
      <c r="M27" s="4">
        <v>6265.26</v>
      </c>
    </row>
    <row r="28" spans="1:13" x14ac:dyDescent="0.3">
      <c r="A28">
        <v>0</v>
      </c>
      <c r="B28">
        <v>50</v>
      </c>
      <c r="C28" s="8" t="s">
        <v>136</v>
      </c>
      <c r="D28" s="8" t="s">
        <v>137</v>
      </c>
      <c r="E28" s="4">
        <f>VLOOKUP(B28,'[5]מי ווט'!$A$2:$J$45,5,FALSE)</f>
        <v>0</v>
      </c>
      <c r="F28" s="4">
        <f>VLOOKUP(B28,'[6]מי ווט'!$A$2:$F$42,4,FALSE)</f>
        <v>0</v>
      </c>
      <c r="G28" s="4">
        <f>VLOOKUP(B28,'[6]מי ווט'!$A$2:$F$42,5,FALSE)</f>
        <v>0</v>
      </c>
      <c r="H28" s="4">
        <f>VLOOKUP(B28,'[6]מי ווט'!$A$2:$F$42,6,FALSE)</f>
        <v>0</v>
      </c>
      <c r="I28" s="4"/>
      <c r="J28" s="4">
        <f>VLOOKUP(B28,'[5]מי ווט'!$A$2:$J$45,10,FALSE)</f>
        <v>0</v>
      </c>
      <c r="K28" s="4"/>
      <c r="L28" s="4"/>
      <c r="M28" s="4"/>
    </row>
    <row r="29" spans="1:13" x14ac:dyDescent="0.3">
      <c r="A29">
        <v>0</v>
      </c>
      <c r="B29">
        <v>51</v>
      </c>
      <c r="C29" s="33" t="s">
        <v>138</v>
      </c>
      <c r="D29" s="33" t="s">
        <v>139</v>
      </c>
      <c r="E29" s="30">
        <f>VLOOKUP(B29,'[5]מי ווט'!$A$2:$J$45,5,FALSE)</f>
        <v>1214</v>
      </c>
      <c r="F29" s="30">
        <f>VLOOKUP(B29,'[6]מי ווט'!$A$2:$F$42,4,FALSE)</f>
        <v>0</v>
      </c>
      <c r="G29" s="30">
        <f>VLOOKUP(B29,'[6]מי ווט'!$A$2:$F$42,5,FALSE)</f>
        <v>0</v>
      </c>
      <c r="H29" s="30">
        <f>VLOOKUP(B29,'[6]מי ווט'!$A$2:$F$42,6,FALSE)</f>
        <v>0</v>
      </c>
      <c r="I29" s="30"/>
      <c r="J29" s="30">
        <f>VLOOKUP(B29,'[5]מי ווט'!$A$2:$J$45,10,FALSE)</f>
        <v>0</v>
      </c>
      <c r="K29" s="30"/>
      <c r="L29" s="30"/>
      <c r="M29" s="4"/>
    </row>
    <row r="30" spans="1:13" x14ac:dyDescent="0.3">
      <c r="A30">
        <v>521</v>
      </c>
      <c r="B30">
        <v>52</v>
      </c>
      <c r="C30" s="33" t="s">
        <v>140</v>
      </c>
      <c r="D30" s="33" t="s">
        <v>98</v>
      </c>
      <c r="E30" s="30">
        <f>VLOOKUP(B30,'[5]מי ווט'!$A$2:$J$45,5,FALSE)</f>
        <v>9954</v>
      </c>
      <c r="F30" s="30">
        <f>VLOOKUP(B30,'[6]מי ווט'!$A$2:$F$42,4,FALSE)</f>
        <v>11061</v>
      </c>
      <c r="G30" s="30">
        <f>VLOOKUP(B30,'[6]מי ווט'!$A$2:$F$42,5,FALSE)</f>
        <v>9892</v>
      </c>
      <c r="H30" s="30">
        <f>VLOOKUP(B30,'[6]מי ווט'!$A$2:$F$42,6,FALSE)</f>
        <v>8072</v>
      </c>
      <c r="I30" s="30">
        <v>9223</v>
      </c>
      <c r="J30" s="30">
        <f>VLOOKUP(B30,'[5]מי ווט'!$A$2:$J$45,10,FALSE)</f>
        <v>13652.62</v>
      </c>
      <c r="K30" s="30">
        <v>13591.84</v>
      </c>
      <c r="L30" s="30">
        <v>7859.5</v>
      </c>
      <c r="M30" s="4">
        <v>17629.34</v>
      </c>
    </row>
    <row r="31" spans="1:13" x14ac:dyDescent="0.3">
      <c r="A31">
        <v>0</v>
      </c>
      <c r="B31">
        <v>54</v>
      </c>
      <c r="C31" s="8" t="s">
        <v>141</v>
      </c>
      <c r="D31" s="8" t="s">
        <v>142</v>
      </c>
      <c r="E31" s="4">
        <f>VLOOKUP(B31,'[5]מי ווט'!$A$2:$J$45,5,FALSE)</f>
        <v>0</v>
      </c>
      <c r="F31" s="4">
        <f>VLOOKUP(B31,'[6]מי ווט'!$A$2:$F$42,4,FALSE)</f>
        <v>0</v>
      </c>
      <c r="G31" s="4">
        <f>VLOOKUP(B31,'[6]מי ווט'!$A$2:$F$42,5,FALSE)</f>
        <v>0</v>
      </c>
      <c r="H31" s="4">
        <f>VLOOKUP(B31,'[6]מי ווט'!$A$2:$F$42,6,FALSE)</f>
        <v>0</v>
      </c>
      <c r="I31" s="4"/>
      <c r="J31" s="4">
        <f>VLOOKUP(B31,'[5]מי ווט'!$A$2:$J$45,10,FALSE)</f>
        <v>0</v>
      </c>
      <c r="K31" s="4"/>
      <c r="L31" s="4"/>
      <c r="M31" s="4"/>
    </row>
    <row r="32" spans="1:13" x14ac:dyDescent="0.3">
      <c r="A32">
        <v>554</v>
      </c>
      <c r="B32">
        <v>55</v>
      </c>
      <c r="C32" s="8" t="s">
        <v>143</v>
      </c>
      <c r="D32" s="8" t="s">
        <v>144</v>
      </c>
      <c r="E32" s="4">
        <f>VLOOKUP(B32,'[5]מי ווט'!$A$2:$J$45,5,FALSE)</f>
        <v>1096</v>
      </c>
      <c r="F32" s="4">
        <f>VLOOKUP(B32,'[6]מי ווט'!$A$2:$F$42,4,FALSE)</f>
        <v>2444</v>
      </c>
      <c r="G32" s="4">
        <f>VLOOKUP(B32,'[6]מי ווט'!$A$2:$F$42,5,FALSE)</f>
        <v>5136</v>
      </c>
      <c r="H32" s="4">
        <f>VLOOKUP(B32,'[6]מי ווט'!$A$2:$F$42,6,FALSE)</f>
        <v>6107</v>
      </c>
      <c r="I32" s="4">
        <v>6822</v>
      </c>
      <c r="J32" s="4">
        <f>VLOOKUP(B32,'[5]מי ווט'!$A$2:$J$45,10,FALSE)</f>
        <v>1458.55</v>
      </c>
      <c r="K32" s="4">
        <v>0</v>
      </c>
      <c r="L32" s="4">
        <v>12.51</v>
      </c>
      <c r="M32" s="4">
        <v>1005.61</v>
      </c>
    </row>
    <row r="33" spans="1:13" x14ac:dyDescent="0.3">
      <c r="A33">
        <v>562</v>
      </c>
      <c r="B33">
        <v>56</v>
      </c>
      <c r="C33" s="8" t="s">
        <v>145</v>
      </c>
      <c r="D33" s="8" t="s">
        <v>146</v>
      </c>
      <c r="E33" s="4">
        <f>VLOOKUP(B33,'[5]מי ווט'!$A$2:$J$45,5,FALSE)</f>
        <v>10086</v>
      </c>
      <c r="F33" s="4">
        <f>VLOOKUP(B33,'[6]מי ווט'!$A$2:$F$42,4,FALSE)</f>
        <v>8576</v>
      </c>
      <c r="G33" s="4">
        <f>VLOOKUP(B33,'[6]מי ווט'!$A$2:$F$42,5,FALSE)</f>
        <v>9535</v>
      </c>
      <c r="H33" s="4">
        <f>VLOOKUP(B33,'[6]מי ווט'!$A$2:$F$42,6,FALSE)</f>
        <v>7917</v>
      </c>
      <c r="I33" s="4">
        <v>6091</v>
      </c>
      <c r="J33" s="4">
        <f>VLOOKUP(B33,'[5]מי ווט'!$A$2:$J$45,10,FALSE)</f>
        <v>5118.79</v>
      </c>
      <c r="K33" s="4">
        <v>6413.55</v>
      </c>
      <c r="L33" s="4">
        <v>7222.53</v>
      </c>
      <c r="M33" s="4">
        <v>9250.42</v>
      </c>
    </row>
    <row r="34" spans="1:13" x14ac:dyDescent="0.3">
      <c r="A34">
        <v>570</v>
      </c>
      <c r="B34">
        <v>57</v>
      </c>
      <c r="C34" s="8" t="s">
        <v>147</v>
      </c>
      <c r="D34" s="8" t="s">
        <v>148</v>
      </c>
      <c r="E34" s="4">
        <f>VLOOKUP(B34,'[5]מי ווט'!$A$2:$J$45,5,FALSE)</f>
        <v>1464</v>
      </c>
      <c r="F34" s="4">
        <f>VLOOKUP(B34,'[6]מי ווט'!$A$2:$F$42,4,FALSE)</f>
        <v>5638</v>
      </c>
      <c r="G34" s="4">
        <f>VLOOKUP(B34,'[6]מי ווט'!$A$2:$F$42,5,FALSE)</f>
        <v>5153</v>
      </c>
      <c r="H34" s="4">
        <f>VLOOKUP(B34,'[6]מי ווט'!$A$2:$F$42,6,FALSE)</f>
        <v>7917</v>
      </c>
      <c r="I34" s="4">
        <v>6438</v>
      </c>
      <c r="J34" s="4">
        <f>VLOOKUP(B34,'[5]מי ווט'!$A$2:$J$45,10,FALSE)</f>
        <v>8416.75</v>
      </c>
      <c r="K34" s="4">
        <v>5243.45</v>
      </c>
      <c r="L34" s="4">
        <v>5596.84</v>
      </c>
      <c r="M34" s="4">
        <v>5060.2</v>
      </c>
    </row>
    <row r="35" spans="1:13" x14ac:dyDescent="0.3">
      <c r="A35">
        <v>588</v>
      </c>
      <c r="B35">
        <v>58</v>
      </c>
      <c r="C35" s="33" t="s">
        <v>149</v>
      </c>
      <c r="D35" s="33" t="s">
        <v>150</v>
      </c>
      <c r="E35" s="30">
        <f>VLOOKUP(B35,'[5]מי ווט'!$A$2:$J$45,5,FALSE)</f>
        <v>10722</v>
      </c>
      <c r="F35" s="30">
        <f>VLOOKUP(B35,'[6]מי ווט'!$A$2:$F$42,4,FALSE)</f>
        <v>5836</v>
      </c>
      <c r="G35" s="30">
        <f>VLOOKUP(B35,'[6]מי ווט'!$A$2:$F$42,5,FALSE)</f>
        <v>4647</v>
      </c>
      <c r="H35" s="30">
        <f>VLOOKUP(B35,'[6]מי ווט'!$A$2:$F$42,6,FALSE)</f>
        <v>6609</v>
      </c>
      <c r="I35" s="30">
        <v>5753</v>
      </c>
      <c r="J35" s="30">
        <f>VLOOKUP(B35,'[5]מי ווט'!$A$2:$J$45,10,FALSE)</f>
        <v>9808.4500000000007</v>
      </c>
      <c r="K35" s="30">
        <v>5949.05</v>
      </c>
      <c r="L35" s="30">
        <v>9491.86</v>
      </c>
      <c r="M35" s="4">
        <v>11660.19</v>
      </c>
    </row>
    <row r="36" spans="1:13" x14ac:dyDescent="0.3">
      <c r="A36">
        <v>596</v>
      </c>
      <c r="B36">
        <v>59</v>
      </c>
      <c r="C36" s="33" t="s">
        <v>151</v>
      </c>
      <c r="D36" s="33" t="s">
        <v>152</v>
      </c>
      <c r="E36" s="30">
        <f>VLOOKUP(B36,'[5]מי ווט'!$A$2:$J$45,5,FALSE)</f>
        <v>21652</v>
      </c>
      <c r="F36" s="30">
        <f>VLOOKUP(B36,'[6]מי ווט'!$A$2:$F$42,4,FALSE)</f>
        <v>26171</v>
      </c>
      <c r="G36" s="30">
        <f>VLOOKUP(B36,'[6]מי ווט'!$A$2:$F$42,5,FALSE)</f>
        <v>20980</v>
      </c>
      <c r="H36" s="30">
        <f>VLOOKUP(B36,'[6]מי ווט'!$A$2:$F$42,6,FALSE)</f>
        <v>25644</v>
      </c>
      <c r="I36" s="30">
        <v>9049</v>
      </c>
      <c r="J36" s="30">
        <f>VLOOKUP(B36,'[5]מי ווט'!$A$2:$J$45,10,FALSE)</f>
        <v>21988.33</v>
      </c>
      <c r="K36" s="30">
        <v>17405.21</v>
      </c>
      <c r="L36" s="30">
        <v>17956.77</v>
      </c>
      <c r="M36" s="4">
        <v>19122.68</v>
      </c>
    </row>
    <row r="37" spans="1:13" x14ac:dyDescent="0.3">
      <c r="A37">
        <v>0</v>
      </c>
      <c r="B37">
        <v>60</v>
      </c>
      <c r="C37" s="33" t="s">
        <v>153</v>
      </c>
      <c r="D37" s="33" t="s">
        <v>131</v>
      </c>
      <c r="E37" s="30">
        <f>VLOOKUP(B37,'[5]מי ווט'!$A$2:$J$45,5,FALSE)</f>
        <v>0</v>
      </c>
      <c r="F37" s="30">
        <f>VLOOKUP(B37,'[6]מי ווט'!$A$2:$F$42,4,FALSE)</f>
        <v>7080</v>
      </c>
      <c r="G37" s="30">
        <f>VLOOKUP(B37,'[6]מי ווט'!$A$2:$F$42,5,FALSE)</f>
        <v>3098</v>
      </c>
      <c r="H37" s="30">
        <f>VLOOKUP(B37,'[6]מי ווט'!$A$2:$F$42,6,FALSE)</f>
        <v>5839</v>
      </c>
      <c r="I37" s="30">
        <v>7343</v>
      </c>
      <c r="J37" s="30">
        <f>VLOOKUP(B37,'[5]מי ווט'!$A$2:$J$45,10,FALSE)</f>
        <v>0</v>
      </c>
      <c r="K37" s="30"/>
      <c r="L37" s="30"/>
      <c r="M37" s="4"/>
    </row>
    <row r="38" spans="1:13" x14ac:dyDescent="0.3">
      <c r="A38">
        <v>612</v>
      </c>
      <c r="B38">
        <v>61</v>
      </c>
      <c r="C38" s="33" t="s">
        <v>154</v>
      </c>
      <c r="D38" s="33" t="s">
        <v>155</v>
      </c>
      <c r="E38" s="30">
        <f>VLOOKUP(B38,'[5]מי ווט'!$A$2:$J$45,5,FALSE)</f>
        <v>0</v>
      </c>
      <c r="F38" s="30">
        <f>VLOOKUP(B38,'[6]מי ווט'!$A$2:$F$42,4,FALSE)</f>
        <v>14875</v>
      </c>
      <c r="G38" s="30">
        <f>VLOOKUP(B38,'[6]מי ווט'!$A$2:$F$42,5,FALSE)</f>
        <v>20897</v>
      </c>
      <c r="H38" s="30">
        <f>VLOOKUP(B38,'[6]מי ווט'!$A$2:$F$42,6,FALSE)</f>
        <v>21262</v>
      </c>
      <c r="I38" s="30">
        <v>31637</v>
      </c>
      <c r="J38" s="30">
        <f>VLOOKUP(B38,'[5]מי ווט'!$A$2:$J$45,10,FALSE)</f>
        <v>20970.5</v>
      </c>
      <c r="K38" s="30">
        <v>8732.2900000000009</v>
      </c>
      <c r="L38" s="30">
        <v>0</v>
      </c>
      <c r="M38" s="4">
        <v>0</v>
      </c>
    </row>
    <row r="39" spans="1:13" x14ac:dyDescent="0.3">
      <c r="A39">
        <v>620</v>
      </c>
      <c r="B39">
        <v>62</v>
      </c>
      <c r="C39" t="s">
        <v>156</v>
      </c>
      <c r="D39" t="s">
        <v>91</v>
      </c>
      <c r="E39" s="4">
        <f>VLOOKUP(B39,'[5]מי ווט'!$A$2:$J$45,5,FALSE)</f>
        <v>0</v>
      </c>
      <c r="F39" s="4">
        <f>VLOOKUP(B39,'[6]מי ווט'!$A$2:$F$42,4,FALSE)</f>
        <v>0</v>
      </c>
      <c r="G39" s="4">
        <f>VLOOKUP(B39,'[6]מי ווט'!$A$2:$F$42,5,FALSE)</f>
        <v>1838</v>
      </c>
      <c r="H39" s="4">
        <f>VLOOKUP(B39,'[6]מי ווט'!$A$2:$F$42,6,FALSE)</f>
        <v>4857</v>
      </c>
      <c r="I39" s="4">
        <v>6271</v>
      </c>
      <c r="J39" s="4">
        <f>VLOOKUP(B39,'[5]מי ווט'!$A$2:$J$45,10,FALSE)</f>
        <v>5158.84</v>
      </c>
      <c r="K39" s="4">
        <v>4947.5200000000004</v>
      </c>
      <c r="L39" s="4">
        <v>2926.35</v>
      </c>
      <c r="M39" s="4">
        <v>4801.1099999999997</v>
      </c>
    </row>
    <row r="40" spans="1:13" x14ac:dyDescent="0.3">
      <c r="A40">
        <v>638</v>
      </c>
      <c r="B40">
        <v>63</v>
      </c>
      <c r="C40" t="s">
        <v>157</v>
      </c>
      <c r="D40" t="s">
        <v>158</v>
      </c>
      <c r="E40" s="4">
        <f>VLOOKUP(B40,'[5]מי ווט'!$A$2:$J$45,5,FALSE)</f>
        <v>0</v>
      </c>
      <c r="F40" s="4">
        <f>VLOOKUP(B40,'[6]מי ווט'!$A$2:$F$42,4,FALSE)</f>
        <v>0</v>
      </c>
      <c r="G40" s="4">
        <f>VLOOKUP(B40,'[6]מי ווט'!$A$2:$F$42,5,FALSE)</f>
        <v>3926</v>
      </c>
      <c r="H40" s="4">
        <f>VLOOKUP(B40,'[6]מי ווט'!$A$2:$F$42,6,FALSE)</f>
        <v>3036</v>
      </c>
      <c r="I40" s="4">
        <v>5088</v>
      </c>
      <c r="J40" s="4">
        <f>VLOOKUP(B40,'[5]מי ווט'!$A$2:$J$45,10,FALSE)</f>
        <v>3818.41</v>
      </c>
      <c r="K40" s="4">
        <v>2462.29</v>
      </c>
      <c r="L40" s="4">
        <v>3012.16</v>
      </c>
      <c r="M40" s="4">
        <v>3458.32</v>
      </c>
    </row>
    <row r="41" spans="1:13" x14ac:dyDescent="0.3">
      <c r="A41">
        <v>0</v>
      </c>
      <c r="B41">
        <v>64</v>
      </c>
      <c r="C41" s="8" t="s">
        <v>159</v>
      </c>
      <c r="D41" s="8" t="s">
        <v>160</v>
      </c>
      <c r="E41" s="4">
        <f>VLOOKUP(B41,'[5]מי ווט'!$A$2:$J$45,5,FALSE)</f>
        <v>0</v>
      </c>
      <c r="F41" s="4">
        <f>VLOOKUP(B41,'[6]מי ווט'!$A$2:$F$42,4,FALSE)</f>
        <v>0</v>
      </c>
      <c r="G41" s="4">
        <f>VLOOKUP(B41,'[6]מי ווט'!$A$2:$F$42,5,FALSE)</f>
        <v>0</v>
      </c>
      <c r="H41" s="4">
        <f>VLOOKUP(B41,'[6]מי ווט'!$A$2:$F$42,6,FALSE)</f>
        <v>2699</v>
      </c>
      <c r="I41" s="4"/>
      <c r="J41" s="4">
        <f>VLOOKUP(B41,'[5]מי ווט'!$A$2:$J$45,10,FALSE)</f>
        <v>0</v>
      </c>
      <c r="K41" s="4"/>
      <c r="L41" s="4"/>
      <c r="M41" s="4"/>
    </row>
    <row r="42" spans="1:13" x14ac:dyDescent="0.3">
      <c r="A42">
        <v>653</v>
      </c>
      <c r="B42">
        <v>65</v>
      </c>
      <c r="C42" s="33" t="s">
        <v>161</v>
      </c>
      <c r="D42" s="33" t="s">
        <v>162</v>
      </c>
      <c r="E42" s="30">
        <f>VLOOKUP(B42,'[5]מי ווט'!$A$2:$J$45,5,FALSE)</f>
        <v>0</v>
      </c>
      <c r="F42" s="30">
        <f>VLOOKUP(B42,'[6]מי ווט'!$A$2:$F$42,4,FALSE)</f>
        <v>0</v>
      </c>
      <c r="G42" s="30">
        <f>VLOOKUP(B42,'[6]מי ווט'!$A$2:$F$42,5,FALSE)</f>
        <v>0</v>
      </c>
      <c r="H42" s="30">
        <f>VLOOKUP(B42,'[6]מי ווט'!$A$2:$F$42,6,FALSE)</f>
        <v>39290</v>
      </c>
      <c r="I42" s="30">
        <v>47103</v>
      </c>
      <c r="J42" s="30">
        <f>VLOOKUP(B42,'[5]מי ווט'!$A$2:$J$45,10,FALSE)</f>
        <v>39283.279999999999</v>
      </c>
      <c r="K42" s="30">
        <v>36995.32</v>
      </c>
      <c r="L42" s="30">
        <v>39307.25</v>
      </c>
      <c r="M42" s="4">
        <v>39283.279999999999</v>
      </c>
    </row>
    <row r="43" spans="1:13" x14ac:dyDescent="0.3">
      <c r="A43">
        <v>661</v>
      </c>
      <c r="B43">
        <v>66</v>
      </c>
      <c r="C43" s="8" t="s">
        <v>163</v>
      </c>
      <c r="D43" s="8" t="s">
        <v>164</v>
      </c>
      <c r="E43" s="4">
        <f>VLOOKUP(B43,'[5]מי ווט'!$A$2:$J$45,5,FALSE)</f>
        <v>0</v>
      </c>
      <c r="F43" s="4"/>
      <c r="G43" s="4"/>
      <c r="H43" s="4"/>
      <c r="I43" s="4">
        <v>1645</v>
      </c>
      <c r="J43" s="4">
        <f>VLOOKUP(B43,'[5]מי ווט'!$A$2:$J$45,10,FALSE)</f>
        <v>6520.95</v>
      </c>
      <c r="K43" s="4">
        <v>6750.8</v>
      </c>
      <c r="L43" s="4">
        <v>5740.57</v>
      </c>
      <c r="M43" s="4">
        <v>5490.41</v>
      </c>
    </row>
    <row r="44" spans="1:13" x14ac:dyDescent="0.3">
      <c r="A44">
        <v>679</v>
      </c>
      <c r="B44" t="e">
        <v>#N/A</v>
      </c>
      <c r="C44" s="8" t="s">
        <v>165</v>
      </c>
      <c r="D44" s="8" t="s">
        <v>166</v>
      </c>
      <c r="E44" s="4"/>
      <c r="F44" s="4"/>
      <c r="G44" s="4"/>
      <c r="H44" s="4"/>
      <c r="I44" s="4"/>
      <c r="J44" s="4">
        <f>+'[5]מי ווט'!$J$44</f>
        <v>21941.38</v>
      </c>
      <c r="K44" s="4">
        <v>21941.38</v>
      </c>
      <c r="L44" s="4">
        <v>23041.35</v>
      </c>
      <c r="M44" s="4">
        <v>21941.38</v>
      </c>
    </row>
    <row r="45" spans="1:13" x14ac:dyDescent="0.3">
      <c r="A45">
        <v>695</v>
      </c>
      <c r="B45" t="e">
        <v>#N/A</v>
      </c>
      <c r="C45" s="8" t="s">
        <v>167</v>
      </c>
      <c r="D45" s="8" t="s">
        <v>168</v>
      </c>
      <c r="E45" s="4"/>
      <c r="F45" s="4"/>
      <c r="G45" s="4"/>
      <c r="H45" s="4"/>
      <c r="I45" s="4"/>
      <c r="J45" s="4">
        <f>+'[5]מי ווט'!$J$45</f>
        <v>2926.55</v>
      </c>
      <c r="K45" s="4">
        <v>5521.62</v>
      </c>
      <c r="L45" s="4">
        <v>4627.5600000000004</v>
      </c>
      <c r="M45" s="4">
        <v>7712.76</v>
      </c>
    </row>
    <row r="46" spans="1:13" x14ac:dyDescent="0.3">
      <c r="A46">
        <v>703</v>
      </c>
      <c r="C46" s="8" t="s">
        <v>910</v>
      </c>
      <c r="D46" s="8" t="s">
        <v>374</v>
      </c>
      <c r="E46" s="4"/>
      <c r="F46" s="4"/>
      <c r="G46" s="4"/>
      <c r="H46" s="4"/>
      <c r="I46" s="4"/>
      <c r="J46" s="4"/>
      <c r="K46" s="4">
        <v>1395.09</v>
      </c>
      <c r="L46" s="4">
        <v>47.03</v>
      </c>
      <c r="M46" s="4">
        <v>0</v>
      </c>
    </row>
    <row r="47" spans="1:13" x14ac:dyDescent="0.3">
      <c r="A47">
        <v>711</v>
      </c>
      <c r="C47" s="8" t="s">
        <v>911</v>
      </c>
      <c r="D47" s="8" t="s">
        <v>544</v>
      </c>
      <c r="E47" s="4"/>
      <c r="F47" s="4"/>
      <c r="G47" s="4"/>
      <c r="H47" s="4"/>
      <c r="I47" s="4"/>
      <c r="J47" s="4"/>
      <c r="K47" s="4">
        <v>2334.58</v>
      </c>
      <c r="L47" s="4">
        <v>3362.4</v>
      </c>
      <c r="M47" s="4">
        <v>0</v>
      </c>
    </row>
    <row r="48" spans="1:13" ht="14.5" x14ac:dyDescent="0.3">
      <c r="A48" s="304">
        <v>729</v>
      </c>
      <c r="C48" s="305" t="s">
        <v>925</v>
      </c>
      <c r="D48" s="305" t="s">
        <v>926</v>
      </c>
      <c r="E48" s="4"/>
      <c r="F48" s="4"/>
      <c r="G48" s="4"/>
      <c r="H48" s="4"/>
      <c r="I48" s="4"/>
      <c r="J48" s="4"/>
      <c r="K48" s="4"/>
      <c r="L48" s="4">
        <v>6504.74</v>
      </c>
      <c r="M48" s="4">
        <v>7421.41</v>
      </c>
    </row>
    <row r="49" spans="1:14" ht="14.5" x14ac:dyDescent="0.3">
      <c r="A49" s="304">
        <v>737</v>
      </c>
      <c r="C49" s="305" t="s">
        <v>927</v>
      </c>
      <c r="D49" s="305" t="s">
        <v>251</v>
      </c>
      <c r="E49" s="4"/>
      <c r="F49" s="4"/>
      <c r="G49" s="4"/>
      <c r="H49" s="4"/>
      <c r="I49" s="4"/>
      <c r="J49" s="4"/>
      <c r="K49" s="4"/>
      <c r="L49" s="4">
        <v>1597.51</v>
      </c>
      <c r="M49" s="4">
        <v>0</v>
      </c>
    </row>
    <row r="50" spans="1:14" ht="14.5" x14ac:dyDescent="0.3">
      <c r="A50" s="304">
        <v>745</v>
      </c>
      <c r="C50" s="305" t="s">
        <v>966</v>
      </c>
      <c r="D50" s="305" t="s">
        <v>340</v>
      </c>
      <c r="M50" s="4">
        <v>5546.04</v>
      </c>
    </row>
    <row r="51" spans="1:14" ht="14.5" x14ac:dyDescent="0.3">
      <c r="A51" s="304">
        <v>752</v>
      </c>
      <c r="C51" s="305" t="s">
        <v>967</v>
      </c>
      <c r="D51" s="305" t="s">
        <v>968</v>
      </c>
      <c r="M51" s="4">
        <v>4227.5</v>
      </c>
    </row>
    <row r="52" spans="1:14" x14ac:dyDescent="0.3">
      <c r="M52" s="4"/>
    </row>
    <row r="54" spans="1:14" x14ac:dyDescent="0.3">
      <c r="E54" s="5">
        <f t="shared" ref="E54:J54" si="0">SUM(E2:E45)</f>
        <v>445880</v>
      </c>
      <c r="F54" s="5">
        <f t="shared" si="0"/>
        <v>465353</v>
      </c>
      <c r="G54" s="5">
        <f t="shared" si="0"/>
        <v>566457</v>
      </c>
      <c r="H54" s="5">
        <f t="shared" si="0"/>
        <v>514050</v>
      </c>
      <c r="I54" s="5">
        <f t="shared" si="0"/>
        <v>527830</v>
      </c>
      <c r="J54" s="5">
        <f t="shared" si="0"/>
        <v>512506.87</v>
      </c>
      <c r="K54" s="5">
        <f>SUM(K2:K48)</f>
        <v>476086.52</v>
      </c>
      <c r="L54" s="5">
        <f>SUM(L2:L49)</f>
        <v>450497.31000000006</v>
      </c>
      <c r="M54" s="5">
        <f>SUM(M2:M53)</f>
        <v>484270.51999999996</v>
      </c>
    </row>
    <row r="55" spans="1:14" x14ac:dyDescent="0.3">
      <c r="E55" s="9"/>
      <c r="F55" s="9"/>
      <c r="G55" s="9"/>
      <c r="H55" s="9"/>
      <c r="I55" s="9"/>
      <c r="J55" s="9"/>
      <c r="K55" s="1"/>
      <c r="L55" s="1"/>
      <c r="M55" s="1"/>
    </row>
    <row r="56" spans="1:14" x14ac:dyDescent="0.3">
      <c r="B56" t="s">
        <v>440</v>
      </c>
      <c r="C56" s="31"/>
      <c r="D56" s="31"/>
      <c r="E56" s="31">
        <f>+E54-E57</f>
        <v>149925</v>
      </c>
      <c r="F56" s="31">
        <f>+F54-F57</f>
        <v>160972</v>
      </c>
      <c r="G56" s="31">
        <f t="shared" ref="G56:I56" si="1">+G54-G57</f>
        <v>210698</v>
      </c>
      <c r="H56" s="31">
        <f t="shared" si="1"/>
        <v>153073</v>
      </c>
      <c r="I56" s="31">
        <f t="shared" si="1"/>
        <v>169438</v>
      </c>
      <c r="J56" s="31">
        <f>+J54-J57</f>
        <v>153759.08999999997</v>
      </c>
      <c r="K56" s="4">
        <f>+K54-K57</f>
        <v>152347.02999999997</v>
      </c>
      <c r="L56" s="4">
        <f>+L54-L57</f>
        <v>166724.86000000004</v>
      </c>
      <c r="M56" s="4">
        <f>+M54-M57</f>
        <v>173950.54999999993</v>
      </c>
      <c r="N56" s="31"/>
    </row>
    <row r="57" spans="1:14" x14ac:dyDescent="0.3">
      <c r="B57" t="s">
        <v>441</v>
      </c>
      <c r="C57" s="41"/>
      <c r="D57" s="41"/>
      <c r="E57" s="41">
        <f t="shared" ref="E57:M57" si="2">SUM(E42,E35:E38,E29:E30,E23:E25,E18,E14:E15,E12,E8:E10)</f>
        <v>295955</v>
      </c>
      <c r="F57" s="41">
        <f t="shared" si="2"/>
        <v>304381</v>
      </c>
      <c r="G57" s="41">
        <f t="shared" si="2"/>
        <v>355759</v>
      </c>
      <c r="H57" s="41">
        <f t="shared" si="2"/>
        <v>360977</v>
      </c>
      <c r="I57" s="41">
        <f t="shared" si="2"/>
        <v>358392</v>
      </c>
      <c r="J57" s="41">
        <f t="shared" si="2"/>
        <v>358747.78</v>
      </c>
      <c r="K57" s="30">
        <f t="shared" si="2"/>
        <v>323739.49000000005</v>
      </c>
      <c r="L57" s="30">
        <f t="shared" si="2"/>
        <v>283772.45</v>
      </c>
      <c r="M57" s="30">
        <f t="shared" si="2"/>
        <v>310319.97000000003</v>
      </c>
      <c r="N57" s="41"/>
    </row>
    <row r="58" spans="1:14" x14ac:dyDescent="0.3">
      <c r="K58" s="4"/>
      <c r="L58" s="4"/>
      <c r="M58" s="4"/>
    </row>
  </sheetData>
  <conditionalFormatting sqref="C1:C47 C54:C1048576 D48:D49">
    <cfRule type="duplicateValues" dxfId="30" priority="16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68AD-41DC-4CFE-A287-640EDB29D2A3}">
  <sheetPr>
    <tabColor rgb="FF92D050"/>
  </sheetPr>
  <dimension ref="A1:N22"/>
  <sheetViews>
    <sheetView rightToLeft="1" topLeftCell="A18" zoomScale="115" zoomScaleNormal="115" workbookViewId="0">
      <selection activeCell="A26" sqref="A26:XFD1048576"/>
    </sheetView>
  </sheetViews>
  <sheetFormatPr defaultRowHeight="14" x14ac:dyDescent="0.3"/>
  <cols>
    <col min="12" max="12" width="10.25" bestFit="1" customWidth="1"/>
    <col min="13" max="13" width="10.25" customWidth="1"/>
  </cols>
  <sheetData>
    <row r="1" spans="1:14" ht="28" x14ac:dyDescent="0.3">
      <c r="A1" s="302" t="s">
        <v>909</v>
      </c>
      <c r="B1" s="7" t="s">
        <v>499</v>
      </c>
      <c r="C1" s="7" t="s">
        <v>82</v>
      </c>
      <c r="D1" s="7" t="s">
        <v>83</v>
      </c>
      <c r="E1" s="7">
        <v>8.25</v>
      </c>
      <c r="F1" s="7">
        <v>9.25</v>
      </c>
      <c r="G1" s="7">
        <v>10.25</v>
      </c>
      <c r="H1" s="7">
        <v>11.25</v>
      </c>
      <c r="I1" s="7">
        <v>12.25</v>
      </c>
      <c r="J1" s="7">
        <v>1.26</v>
      </c>
      <c r="K1" s="7">
        <v>2.2599999999999998</v>
      </c>
      <c r="L1" s="7">
        <v>3.26</v>
      </c>
      <c r="M1" s="7">
        <v>4.26</v>
      </c>
      <c r="N1" t="s">
        <v>947</v>
      </c>
    </row>
    <row r="2" spans="1:14" x14ac:dyDescent="0.3">
      <c r="B2" s="8">
        <v>1</v>
      </c>
      <c r="C2" s="8" t="s">
        <v>169</v>
      </c>
      <c r="D2" s="8" t="s">
        <v>170</v>
      </c>
      <c r="E2">
        <v>2353</v>
      </c>
    </row>
    <row r="3" spans="1:14" x14ac:dyDescent="0.3">
      <c r="A3">
        <v>26</v>
      </c>
      <c r="B3" s="8">
        <v>2</v>
      </c>
      <c r="C3" s="8" t="s">
        <v>171</v>
      </c>
      <c r="D3" s="8" t="s">
        <v>172</v>
      </c>
      <c r="E3" s="4">
        <v>991</v>
      </c>
      <c r="F3" s="4">
        <v>1141</v>
      </c>
      <c r="G3" s="4">
        <v>1126</v>
      </c>
      <c r="H3" s="4">
        <v>930</v>
      </c>
      <c r="I3" s="4">
        <v>906</v>
      </c>
      <c r="J3" s="4">
        <v>669.86</v>
      </c>
      <c r="K3">
        <v>701.55</v>
      </c>
      <c r="L3" s="27">
        <v>1107.45</v>
      </c>
      <c r="M3" s="27">
        <v>340.56</v>
      </c>
      <c r="N3" s="31">
        <f>+L3</f>
        <v>1107.45</v>
      </c>
    </row>
    <row r="4" spans="1:14" x14ac:dyDescent="0.3">
      <c r="A4">
        <v>34</v>
      </c>
      <c r="B4" s="8">
        <v>3</v>
      </c>
      <c r="C4" s="8" t="s">
        <v>165</v>
      </c>
      <c r="D4" s="8" t="s">
        <v>166</v>
      </c>
      <c r="E4" s="4">
        <v>16949</v>
      </c>
      <c r="F4" s="4">
        <v>15335</v>
      </c>
      <c r="G4" s="4">
        <v>15335</v>
      </c>
      <c r="H4" s="4">
        <v>15335</v>
      </c>
      <c r="I4" s="4">
        <v>17584</v>
      </c>
      <c r="J4" s="4"/>
      <c r="L4" s="27">
        <v>0</v>
      </c>
      <c r="M4" s="27"/>
    </row>
    <row r="5" spans="1:14" x14ac:dyDescent="0.3">
      <c r="A5">
        <v>42</v>
      </c>
      <c r="B5" s="8">
        <v>4</v>
      </c>
      <c r="C5" s="8" t="s">
        <v>173</v>
      </c>
      <c r="D5" s="8" t="s">
        <v>174</v>
      </c>
      <c r="E5" s="4">
        <v>7007</v>
      </c>
      <c r="F5" s="4">
        <v>4604</v>
      </c>
      <c r="G5" s="4">
        <v>6697</v>
      </c>
      <c r="H5" s="4">
        <v>5810</v>
      </c>
      <c r="I5" s="4">
        <v>3288</v>
      </c>
      <c r="J5" s="4">
        <v>608.16999999999996</v>
      </c>
      <c r="K5">
        <v>1958.57</v>
      </c>
      <c r="L5" s="27">
        <v>0</v>
      </c>
      <c r="M5" s="27">
        <v>0</v>
      </c>
    </row>
    <row r="6" spans="1:14" x14ac:dyDescent="0.3">
      <c r="A6">
        <v>67</v>
      </c>
      <c r="B6" s="8">
        <v>6</v>
      </c>
      <c r="C6" s="8" t="s">
        <v>175</v>
      </c>
      <c r="D6" s="8" t="s">
        <v>176</v>
      </c>
      <c r="E6" s="4">
        <v>5297</v>
      </c>
      <c r="F6" s="4">
        <v>5219</v>
      </c>
      <c r="G6" s="4">
        <v>6781</v>
      </c>
      <c r="H6" s="4">
        <v>5063</v>
      </c>
      <c r="I6" s="4">
        <v>5953</v>
      </c>
      <c r="J6" s="4">
        <v>1985.82</v>
      </c>
      <c r="K6">
        <v>557.17999999999995</v>
      </c>
      <c r="L6" s="27">
        <v>570.37</v>
      </c>
      <c r="M6" s="27">
        <v>557.59</v>
      </c>
      <c r="N6" s="31">
        <f>+L6</f>
        <v>570.37</v>
      </c>
    </row>
    <row r="7" spans="1:14" x14ac:dyDescent="0.3">
      <c r="A7">
        <v>75</v>
      </c>
      <c r="B7" s="8">
        <v>7</v>
      </c>
      <c r="C7" s="8" t="s">
        <v>177</v>
      </c>
      <c r="D7" s="8" t="s">
        <v>178</v>
      </c>
      <c r="E7" s="4"/>
      <c r="F7" s="4"/>
      <c r="G7" s="4"/>
      <c r="H7" s="4"/>
      <c r="I7" s="4">
        <v>18813</v>
      </c>
      <c r="J7" s="4">
        <v>27894.09</v>
      </c>
      <c r="K7">
        <v>13069.77</v>
      </c>
      <c r="L7" s="27">
        <v>12022.55</v>
      </c>
      <c r="M7" s="27">
        <v>12266.95</v>
      </c>
      <c r="N7" s="4">
        <v>23000</v>
      </c>
    </row>
    <row r="8" spans="1:14" x14ac:dyDescent="0.3">
      <c r="B8" s="8">
        <v>8</v>
      </c>
      <c r="C8" s="8" t="s">
        <v>179</v>
      </c>
      <c r="D8" s="8" t="s">
        <v>180</v>
      </c>
      <c r="E8" s="4"/>
      <c r="F8" s="4"/>
      <c r="G8" s="4"/>
      <c r="H8" s="4">
        <v>0</v>
      </c>
      <c r="I8" s="4"/>
      <c r="J8" s="4"/>
      <c r="L8" s="27"/>
      <c r="M8" s="27"/>
    </row>
    <row r="9" spans="1:14" x14ac:dyDescent="0.3">
      <c r="A9">
        <v>166</v>
      </c>
      <c r="B9" s="8">
        <v>9</v>
      </c>
      <c r="C9" s="8" t="s">
        <v>181</v>
      </c>
      <c r="D9" s="8" t="s">
        <v>182</v>
      </c>
      <c r="E9" s="4">
        <v>6054</v>
      </c>
      <c r="F9" s="4">
        <v>6284</v>
      </c>
      <c r="G9" s="4">
        <v>5274</v>
      </c>
      <c r="H9" s="4">
        <v>0</v>
      </c>
      <c r="I9" s="4">
        <v>11333</v>
      </c>
      <c r="J9" s="4">
        <v>5787.63</v>
      </c>
      <c r="K9">
        <v>5590.68</v>
      </c>
      <c r="L9" s="27">
        <v>11671.69</v>
      </c>
      <c r="M9" s="27">
        <v>0</v>
      </c>
      <c r="N9" t="s">
        <v>946</v>
      </c>
    </row>
    <row r="10" spans="1:14" x14ac:dyDescent="0.3">
      <c r="B10" s="8">
        <v>10</v>
      </c>
      <c r="C10" s="33" t="s">
        <v>85</v>
      </c>
      <c r="D10" s="33" t="s">
        <v>183</v>
      </c>
      <c r="E10" s="30">
        <v>14949</v>
      </c>
      <c r="F10" s="30">
        <v>10496</v>
      </c>
      <c r="G10" s="30">
        <v>15968</v>
      </c>
      <c r="H10" s="30">
        <v>16105</v>
      </c>
      <c r="I10" s="30">
        <v>6682</v>
      </c>
      <c r="J10" s="30"/>
      <c r="K10" s="30"/>
      <c r="L10" s="27"/>
      <c r="M10" s="27"/>
    </row>
    <row r="11" spans="1:14" x14ac:dyDescent="0.3">
      <c r="A11">
        <v>117</v>
      </c>
      <c r="B11" s="8">
        <v>11</v>
      </c>
      <c r="C11" s="8" t="s">
        <v>184</v>
      </c>
      <c r="D11" s="8" t="s">
        <v>185</v>
      </c>
      <c r="E11" s="4"/>
      <c r="F11" s="4"/>
      <c r="G11" s="4"/>
      <c r="H11" s="4">
        <v>3951</v>
      </c>
      <c r="I11" s="4">
        <v>7957</v>
      </c>
      <c r="J11" s="4">
        <v>7414.7</v>
      </c>
      <c r="K11">
        <v>7927.75</v>
      </c>
      <c r="L11" s="27">
        <v>6111.74</v>
      </c>
      <c r="M11" s="27">
        <v>6184.56</v>
      </c>
      <c r="N11">
        <f>+K11</f>
        <v>7927.75</v>
      </c>
    </row>
    <row r="12" spans="1:14" x14ac:dyDescent="0.3">
      <c r="A12">
        <v>125</v>
      </c>
      <c r="B12" s="8">
        <v>12</v>
      </c>
      <c r="C12" s="8" t="s">
        <v>186</v>
      </c>
      <c r="D12" s="8" t="s">
        <v>142</v>
      </c>
      <c r="E12" s="4"/>
      <c r="F12" s="4"/>
      <c r="G12" s="4"/>
      <c r="H12" s="4">
        <v>3406</v>
      </c>
      <c r="I12" s="4">
        <v>5400</v>
      </c>
      <c r="J12" s="4">
        <v>3896.52</v>
      </c>
      <c r="K12">
        <v>5783.2</v>
      </c>
      <c r="L12" s="27">
        <v>3373.54</v>
      </c>
      <c r="M12" s="27">
        <v>5599.97</v>
      </c>
      <c r="N12">
        <f>+K12</f>
        <v>5783.2</v>
      </c>
    </row>
    <row r="13" spans="1:14" x14ac:dyDescent="0.3">
      <c r="A13">
        <v>133</v>
      </c>
      <c r="B13" s="8">
        <v>13</v>
      </c>
      <c r="C13" s="8" t="s">
        <v>187</v>
      </c>
      <c r="D13" s="8" t="s">
        <v>188</v>
      </c>
      <c r="E13" s="4"/>
      <c r="F13" s="4"/>
      <c r="G13" s="4"/>
      <c r="H13" s="4">
        <v>3829</v>
      </c>
      <c r="I13" s="4">
        <v>3183</v>
      </c>
      <c r="J13" s="4">
        <v>4750.66</v>
      </c>
      <c r="K13">
        <v>3978.38</v>
      </c>
      <c r="L13" s="27">
        <v>2918.39</v>
      </c>
      <c r="M13" s="27">
        <v>4365.42</v>
      </c>
      <c r="N13" s="4">
        <v>4000</v>
      </c>
    </row>
    <row r="14" spans="1:14" x14ac:dyDescent="0.3">
      <c r="A14">
        <v>141</v>
      </c>
      <c r="B14" s="8">
        <v>14</v>
      </c>
      <c r="C14" s="33" t="s">
        <v>189</v>
      </c>
      <c r="D14" s="33" t="s">
        <v>190</v>
      </c>
      <c r="E14" s="30"/>
      <c r="F14" s="30"/>
      <c r="G14" s="30"/>
      <c r="H14" s="30"/>
      <c r="I14" s="30">
        <v>12780</v>
      </c>
      <c r="J14" s="30">
        <v>13573.83</v>
      </c>
      <c r="K14" s="32">
        <v>6101.08</v>
      </c>
      <c r="L14" s="27">
        <v>0</v>
      </c>
      <c r="M14" s="27">
        <v>0</v>
      </c>
    </row>
    <row r="15" spans="1:14" x14ac:dyDescent="0.3">
      <c r="A15" s="310">
        <v>158</v>
      </c>
      <c r="B15" s="311"/>
      <c r="C15" s="312" t="s">
        <v>116</v>
      </c>
      <c r="D15" s="312" t="s">
        <v>117</v>
      </c>
      <c r="E15" s="30"/>
      <c r="F15" s="30"/>
      <c r="G15" s="30"/>
      <c r="H15" s="30"/>
      <c r="I15" s="30"/>
      <c r="J15" s="30"/>
      <c r="K15" s="32"/>
      <c r="L15" s="319">
        <v>36615.58</v>
      </c>
      <c r="M15" s="319">
        <v>31111.11</v>
      </c>
      <c r="N15">
        <v>28000</v>
      </c>
    </row>
    <row r="16" spans="1:14" x14ac:dyDescent="0.3">
      <c r="A16" s="298">
        <v>174</v>
      </c>
      <c r="C16" s="351" t="s">
        <v>965</v>
      </c>
      <c r="D16" s="351" t="s">
        <v>180</v>
      </c>
      <c r="E16" s="30"/>
      <c r="F16" s="30"/>
      <c r="G16" s="30"/>
      <c r="H16" s="30"/>
      <c r="I16" s="30"/>
      <c r="J16" s="30"/>
      <c r="K16" s="32"/>
      <c r="L16" s="27"/>
      <c r="M16" s="27">
        <v>1806.54</v>
      </c>
    </row>
    <row r="17" spans="2:14" x14ac:dyDescent="0.3">
      <c r="E17" s="5">
        <f t="shared" ref="E17:G17" si="0">SUM(E2:E14)</f>
        <v>53600</v>
      </c>
      <c r="F17" s="5">
        <f t="shared" si="0"/>
        <v>43079</v>
      </c>
      <c r="G17" s="5">
        <f t="shared" si="0"/>
        <v>51181</v>
      </c>
      <c r="H17" s="5">
        <f>SUM(H2:H14)</f>
        <v>54429</v>
      </c>
      <c r="I17" s="5">
        <f>SUM(I2:I14)</f>
        <v>93879</v>
      </c>
      <c r="J17" s="5">
        <f>SUM(J2:J14)</f>
        <v>66581.279999999999</v>
      </c>
      <c r="K17" s="5">
        <f>SUM(K2:K14)</f>
        <v>45668.159999999996</v>
      </c>
      <c r="L17" s="5">
        <f>SUM(L2:L15)</f>
        <v>74391.31</v>
      </c>
      <c r="M17" s="5">
        <f>SUM(M2:M16)</f>
        <v>62232.700000000004</v>
      </c>
    </row>
    <row r="21" spans="2:14" x14ac:dyDescent="0.3">
      <c r="B21" t="s">
        <v>440</v>
      </c>
      <c r="C21" s="31"/>
      <c r="D21" s="31"/>
      <c r="E21" s="31">
        <f>+E17-E22</f>
        <v>38651</v>
      </c>
      <c r="F21" s="31">
        <f t="shared" ref="F21:L21" si="1">+F17-F22</f>
        <v>32583</v>
      </c>
      <c r="G21" s="31">
        <f t="shared" si="1"/>
        <v>35213</v>
      </c>
      <c r="H21" s="31">
        <f t="shared" si="1"/>
        <v>38324</v>
      </c>
      <c r="I21" s="31">
        <f t="shared" si="1"/>
        <v>74417</v>
      </c>
      <c r="J21" s="31">
        <f t="shared" si="1"/>
        <v>53007.45</v>
      </c>
      <c r="K21" s="31">
        <f t="shared" si="1"/>
        <v>39567.079999999994</v>
      </c>
      <c r="L21" s="31">
        <f t="shared" si="1"/>
        <v>37775.729999999996</v>
      </c>
      <c r="M21" s="31">
        <f t="shared" ref="M21" si="2">+M17-M22</f>
        <v>31121.590000000004</v>
      </c>
      <c r="N21" s="31"/>
    </row>
    <row r="22" spans="2:14" x14ac:dyDescent="0.3">
      <c r="B22" t="s">
        <v>441</v>
      </c>
      <c r="C22" s="41"/>
      <c r="D22" s="41"/>
      <c r="E22" s="41">
        <f>+E14+E10</f>
        <v>14949</v>
      </c>
      <c r="F22" s="41">
        <f t="shared" ref="F22:K22" si="3">+F14+F10</f>
        <v>10496</v>
      </c>
      <c r="G22" s="41">
        <f t="shared" si="3"/>
        <v>15968</v>
      </c>
      <c r="H22" s="41">
        <f t="shared" si="3"/>
        <v>16105</v>
      </c>
      <c r="I22" s="41">
        <f t="shared" si="3"/>
        <v>19462</v>
      </c>
      <c r="J22" s="41">
        <f t="shared" si="3"/>
        <v>13573.83</v>
      </c>
      <c r="K22" s="41">
        <f t="shared" si="3"/>
        <v>6101.08</v>
      </c>
      <c r="L22" s="41">
        <f>+L15+L10</f>
        <v>36615.58</v>
      </c>
      <c r="M22" s="41">
        <f>+M15+M10</f>
        <v>31111.11</v>
      </c>
      <c r="N22" s="41"/>
    </row>
  </sheetData>
  <autoFilter ref="A1:L17" xr:uid="{811368AD-41DC-4CFE-A287-640EDB29D2A3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62C9-735E-41B9-A4D7-56E8BC869C38}">
  <sheetPr>
    <tabColor rgb="FFFFC000"/>
  </sheetPr>
  <dimension ref="A1:Y200"/>
  <sheetViews>
    <sheetView rightToLeft="1" topLeftCell="H192" workbookViewId="0">
      <selection activeCell="J201" sqref="A201:XFD1048576"/>
    </sheetView>
  </sheetViews>
  <sheetFormatPr defaultRowHeight="14" x14ac:dyDescent="0.3"/>
  <cols>
    <col min="1" max="1" width="11.33203125" bestFit="1" customWidth="1"/>
    <col min="2" max="2" width="8.5" bestFit="1" customWidth="1"/>
    <col min="3" max="3" width="18.08203125" bestFit="1" customWidth="1"/>
    <col min="4" max="4" width="10" bestFit="1" customWidth="1"/>
    <col min="14" max="14" width="22.5" customWidth="1"/>
    <col min="15" max="18" width="9.33203125" bestFit="1" customWidth="1"/>
    <col min="19" max="19" width="9.75" customWidth="1"/>
    <col min="20" max="21" width="8.75" hidden="1" customWidth="1"/>
    <col min="22" max="25" width="10.33203125" customWidth="1"/>
  </cols>
  <sheetData>
    <row r="1" spans="1:25" x14ac:dyDescent="0.3">
      <c r="A1" s="10"/>
      <c r="B1" s="11" t="s">
        <v>191</v>
      </c>
      <c r="C1" s="11"/>
      <c r="D1" s="13">
        <v>12</v>
      </c>
      <c r="K1" s="10"/>
      <c r="L1" s="10"/>
      <c r="M1" s="11" t="s">
        <v>191</v>
      </c>
      <c r="N1" s="11"/>
      <c r="O1" s="11"/>
      <c r="P1" s="11"/>
      <c r="Q1" s="11"/>
      <c r="R1" s="13">
        <v>11</v>
      </c>
      <c r="S1" s="13">
        <v>12</v>
      </c>
      <c r="T1" s="26">
        <v>12</v>
      </c>
      <c r="U1" s="13">
        <v>12</v>
      </c>
      <c r="V1" s="63">
        <v>1.26</v>
      </c>
      <c r="W1" s="63"/>
      <c r="X1" s="63"/>
      <c r="Y1" s="63"/>
    </row>
    <row r="2" spans="1:25" ht="56" x14ac:dyDescent="0.3">
      <c r="A2" s="12" t="s">
        <v>82</v>
      </c>
      <c r="B2" s="12" t="s">
        <v>83</v>
      </c>
      <c r="C2" s="12" t="s">
        <v>192</v>
      </c>
      <c r="D2" s="14" t="s">
        <v>193</v>
      </c>
      <c r="J2" s="303" t="s">
        <v>913</v>
      </c>
      <c r="K2" s="12" t="s">
        <v>499</v>
      </c>
      <c r="L2" s="12" t="s">
        <v>82</v>
      </c>
      <c r="M2" s="12" t="s">
        <v>83</v>
      </c>
      <c r="N2" s="12" t="s">
        <v>192</v>
      </c>
      <c r="O2" s="12">
        <v>8.25</v>
      </c>
      <c r="P2" s="12">
        <v>9.25</v>
      </c>
      <c r="Q2" s="12">
        <v>10.25</v>
      </c>
      <c r="R2" s="12">
        <v>11.25</v>
      </c>
      <c r="S2" s="12">
        <v>12.25</v>
      </c>
      <c r="T2" s="12" t="s">
        <v>501</v>
      </c>
      <c r="U2" s="12" t="s">
        <v>502</v>
      </c>
      <c r="V2" s="12">
        <v>1.26</v>
      </c>
      <c r="W2" s="12">
        <v>2.2599999999999998</v>
      </c>
      <c r="X2" s="12">
        <v>3.26</v>
      </c>
      <c r="Y2" s="12">
        <v>4.26</v>
      </c>
    </row>
    <row r="3" spans="1:25" ht="14.5" x14ac:dyDescent="0.35">
      <c r="A3" s="29" t="s">
        <v>291</v>
      </c>
      <c r="B3" s="29" t="s">
        <v>292</v>
      </c>
      <c r="C3" s="18" t="s">
        <v>293</v>
      </c>
      <c r="D3" s="17">
        <v>38142</v>
      </c>
      <c r="E3" t="s">
        <v>428</v>
      </c>
      <c r="F3" s="28" t="s">
        <v>406</v>
      </c>
      <c r="J3">
        <v>26</v>
      </c>
      <c r="K3" s="15">
        <v>2</v>
      </c>
      <c r="L3" s="29" t="s">
        <v>194</v>
      </c>
      <c r="M3" s="29" t="s">
        <v>195</v>
      </c>
      <c r="N3" s="16" t="s">
        <v>196</v>
      </c>
      <c r="O3" s="17">
        <f>VLOOKUP(K3,גליון1!$A$11:$L$323,11,FALSE)</f>
        <v>35587</v>
      </c>
      <c r="P3" s="17">
        <f>VLOOKUP(K3,גליון1!$A$11:$L$323,12,FALSE)</f>
        <v>41302</v>
      </c>
      <c r="Q3" s="17">
        <f>VLOOKUP(K3,'השוואה חודשית 11.25 מול 10.25'!$A$4:$D$330,4,FALSE)</f>
        <v>32868</v>
      </c>
      <c r="R3" s="17">
        <v>34297</v>
      </c>
      <c r="S3" s="17">
        <v>43474</v>
      </c>
      <c r="T3" s="17">
        <v>6704.5159999999996</v>
      </c>
      <c r="U3" s="17">
        <v>36769.483999999997</v>
      </c>
      <c r="V3" s="16">
        <v>34927.07</v>
      </c>
      <c r="W3" s="16">
        <f>VLOOKUP(J3,'[7]02.26 מעודכן'!$B$2:$N$144,13,FALSE)</f>
        <v>36323.760000000002</v>
      </c>
      <c r="X3" s="16">
        <v>38852.43</v>
      </c>
      <c r="Y3" s="16">
        <v>42530.35</v>
      </c>
    </row>
    <row r="4" spans="1:25" x14ac:dyDescent="0.3">
      <c r="A4" s="29" t="s">
        <v>294</v>
      </c>
      <c r="B4" s="29" t="s">
        <v>295</v>
      </c>
      <c r="C4" s="18" t="s">
        <v>293</v>
      </c>
      <c r="D4" s="17">
        <v>41484</v>
      </c>
      <c r="F4">
        <v>4</v>
      </c>
      <c r="G4" t="s">
        <v>291</v>
      </c>
      <c r="H4" t="s">
        <v>292</v>
      </c>
      <c r="J4">
        <v>34</v>
      </c>
      <c r="K4" s="15">
        <v>3</v>
      </c>
      <c r="L4" s="29" t="s">
        <v>197</v>
      </c>
      <c r="M4" s="29" t="s">
        <v>198</v>
      </c>
      <c r="N4" s="16" t="s">
        <v>196</v>
      </c>
      <c r="O4" s="17">
        <f>VLOOKUP(K4,גליון1!$A$11:$L$323,11,FALSE)</f>
        <v>39476</v>
      </c>
      <c r="P4" s="17">
        <f>VLOOKUP(K4,גליון1!$A$11:$L$323,12,FALSE)</f>
        <v>44610</v>
      </c>
      <c r="Q4" s="17">
        <f>VLOOKUP(K4,'השוואה חודשית 11.25 מול 10.25'!$A$4:$D$330,4,FALSE)</f>
        <v>25054</v>
      </c>
      <c r="R4" s="17">
        <v>39501</v>
      </c>
      <c r="S4" s="17">
        <v>51419</v>
      </c>
      <c r="T4" s="17">
        <v>11657.826000000001</v>
      </c>
      <c r="U4" s="17">
        <v>39761.173999999999</v>
      </c>
      <c r="V4" s="16">
        <v>38372.660000000003</v>
      </c>
      <c r="W4" s="16">
        <f>VLOOKUP(J4,'[7]02.26 מעודכן'!$B$2:$N$144,13,FALSE)</f>
        <v>36231.07</v>
      </c>
      <c r="X4" s="16">
        <v>35761.82</v>
      </c>
      <c r="Y4" s="16">
        <v>41270.06</v>
      </c>
    </row>
    <row r="5" spans="1:25" x14ac:dyDescent="0.3">
      <c r="A5" s="15" t="s">
        <v>296</v>
      </c>
      <c r="B5" s="15" t="s">
        <v>297</v>
      </c>
      <c r="C5" s="18" t="s">
        <v>293</v>
      </c>
      <c r="D5" s="17">
        <v>20834</v>
      </c>
      <c r="F5">
        <v>5</v>
      </c>
      <c r="G5" t="s">
        <v>294</v>
      </c>
      <c r="H5" t="s">
        <v>295</v>
      </c>
      <c r="J5">
        <v>75</v>
      </c>
      <c r="K5" s="15">
        <v>7</v>
      </c>
      <c r="L5" s="29" t="s">
        <v>199</v>
      </c>
      <c r="M5" s="29" t="s">
        <v>165</v>
      </c>
      <c r="N5" s="16" t="s">
        <v>196</v>
      </c>
      <c r="O5" s="17">
        <f>VLOOKUP(K5,גליון1!$A$11:$L$323,11,FALSE)</f>
        <v>24411</v>
      </c>
      <c r="P5" s="17">
        <f>VLOOKUP(K5,גליון1!$A$11:$L$323,12,FALSE)</f>
        <v>32909</v>
      </c>
      <c r="Q5" s="17">
        <f>VLOOKUP(K5,'השוואה חודשית 11.25 מול 10.25'!$A$4:$D$330,4,FALSE)</f>
        <v>28178</v>
      </c>
      <c r="R5" s="17">
        <v>31033</v>
      </c>
      <c r="S5" s="17">
        <v>33023</v>
      </c>
      <c r="T5" s="17">
        <v>9759.5210000000006</v>
      </c>
      <c r="U5" s="17">
        <v>23263.478999999999</v>
      </c>
      <c r="V5" s="16">
        <v>25936.48</v>
      </c>
      <c r="W5" s="16">
        <f>VLOOKUP(J5,'[7]02.26 מעודכן'!$B$2:$N$144,13,FALSE)</f>
        <v>22768.91</v>
      </c>
      <c r="X5" s="16">
        <v>23922.68</v>
      </c>
      <c r="Y5" s="16">
        <v>25292.880000000001</v>
      </c>
    </row>
    <row r="6" spans="1:25" x14ac:dyDescent="0.3">
      <c r="A6" s="15" t="s">
        <v>298</v>
      </c>
      <c r="B6" s="15" t="s">
        <v>127</v>
      </c>
      <c r="C6" s="18" t="s">
        <v>293</v>
      </c>
      <c r="D6" s="17">
        <v>328</v>
      </c>
      <c r="F6">
        <v>54</v>
      </c>
      <c r="G6" t="s">
        <v>425</v>
      </c>
      <c r="H6" t="s">
        <v>426</v>
      </c>
      <c r="J6">
        <v>166</v>
      </c>
      <c r="K6" s="15">
        <v>16</v>
      </c>
      <c r="L6" s="29" t="s">
        <v>200</v>
      </c>
      <c r="M6" s="29" t="s">
        <v>201</v>
      </c>
      <c r="N6" s="16" t="s">
        <v>196</v>
      </c>
      <c r="O6" s="17">
        <f>VLOOKUP(K6,גליון1!$A$11:$L$323,11,FALSE)</f>
        <v>4718</v>
      </c>
      <c r="P6" s="17">
        <f>VLOOKUP(K6,גליון1!$A$11:$L$323,12,FALSE)</f>
        <v>7413</v>
      </c>
      <c r="Q6" s="17">
        <f>VLOOKUP(K6,'השוואה חודשית 11.25 מול 10.25'!$A$4:$D$330,4,FALSE)</f>
        <v>15306</v>
      </c>
      <c r="R6" s="17">
        <v>22267</v>
      </c>
      <c r="S6" s="17">
        <v>24584</v>
      </c>
      <c r="T6" s="17">
        <v>3073.0207999999998</v>
      </c>
      <c r="U6" s="17">
        <v>21510.979200000002</v>
      </c>
      <c r="V6" s="16">
        <v>21804.38</v>
      </c>
      <c r="W6" s="16">
        <f>VLOOKUP(J6,'[7]02.26 מעודכן'!$B$2:$N$144,13,FALSE)</f>
        <v>20598.36</v>
      </c>
      <c r="X6" s="16">
        <v>22552.82</v>
      </c>
      <c r="Y6" s="16">
        <v>24859.8</v>
      </c>
    </row>
    <row r="7" spans="1:25" x14ac:dyDescent="0.3">
      <c r="A7" s="15" t="s">
        <v>299</v>
      </c>
      <c r="B7" s="15" t="s">
        <v>300</v>
      </c>
      <c r="C7" s="18" t="s">
        <v>293</v>
      </c>
      <c r="D7" s="17">
        <v>22348</v>
      </c>
      <c r="F7">
        <v>61</v>
      </c>
      <c r="G7" t="s">
        <v>427</v>
      </c>
      <c r="H7" t="s">
        <v>237</v>
      </c>
      <c r="J7">
        <v>208</v>
      </c>
      <c r="K7" s="15">
        <v>20</v>
      </c>
      <c r="L7" s="29" t="s">
        <v>202</v>
      </c>
      <c r="M7" s="29" t="s">
        <v>203</v>
      </c>
      <c r="N7" s="16" t="s">
        <v>196</v>
      </c>
      <c r="O7" s="17">
        <f>VLOOKUP(K7,גליון1!$A$11:$L$323,11,FALSE)</f>
        <v>20634</v>
      </c>
      <c r="P7" s="17">
        <f>VLOOKUP(K7,גליון1!$A$11:$L$323,12,FALSE)</f>
        <v>29273</v>
      </c>
      <c r="Q7" s="17">
        <f>VLOOKUP(K7,'השוואה חודשית 11.25 מול 10.25'!$A$4:$D$330,4,FALSE)</f>
        <v>22138</v>
      </c>
      <c r="R7" s="17">
        <v>22621</v>
      </c>
      <c r="S7" s="17">
        <v>67080</v>
      </c>
      <c r="T7" s="17">
        <v>6835.9363800000001</v>
      </c>
      <c r="U7" s="17">
        <v>60244.063620000001</v>
      </c>
      <c r="V7" s="17"/>
      <c r="W7" s="17">
        <f>VLOOKUP(J7,'[7]02.26 מעודכן'!$B$2:$N$144,13,FALSE)</f>
        <v>0</v>
      </c>
      <c r="X7" s="17">
        <v>0</v>
      </c>
      <c r="Y7" s="17">
        <v>0</v>
      </c>
    </row>
    <row r="8" spans="1:25" x14ac:dyDescent="0.3">
      <c r="A8" s="15" t="s">
        <v>301</v>
      </c>
      <c r="B8" s="15" t="s">
        <v>283</v>
      </c>
      <c r="C8" s="18" t="s">
        <v>293</v>
      </c>
      <c r="D8" s="17">
        <v>14556</v>
      </c>
      <c r="J8">
        <v>307</v>
      </c>
      <c r="K8" s="15">
        <v>30</v>
      </c>
      <c r="L8" s="29" t="s">
        <v>204</v>
      </c>
      <c r="M8" s="29" t="s">
        <v>205</v>
      </c>
      <c r="N8" s="16" t="s">
        <v>196</v>
      </c>
      <c r="O8" s="17">
        <f>VLOOKUP(K8,גליון1!$A$11:$L$323,11,FALSE)</f>
        <v>13752</v>
      </c>
      <c r="P8" s="17">
        <f>VLOOKUP(K8,גליון1!$A$11:$L$323,12,FALSE)</f>
        <v>22913</v>
      </c>
      <c r="Q8" s="17">
        <f>VLOOKUP(K8,'השוואה חודשית 11.25 מול 10.25'!$A$4:$D$330,4,FALSE)</f>
        <v>18151</v>
      </c>
      <c r="R8" s="17">
        <v>19367</v>
      </c>
      <c r="S8" s="17">
        <v>18443</v>
      </c>
      <c r="T8" s="17"/>
      <c r="U8" s="17">
        <v>18443</v>
      </c>
      <c r="V8" s="16">
        <v>19358.63</v>
      </c>
      <c r="W8" s="16">
        <f>VLOOKUP(J8,'[7]02.26 מעודכן'!$B$2:$N$144,13,FALSE)</f>
        <v>16845.099999999999</v>
      </c>
      <c r="X8" s="16">
        <v>13400.41</v>
      </c>
      <c r="Y8" s="16">
        <v>20698.61</v>
      </c>
    </row>
    <row r="9" spans="1:25" x14ac:dyDescent="0.3">
      <c r="A9" s="15" t="s">
        <v>302</v>
      </c>
      <c r="B9" s="15" t="s">
        <v>303</v>
      </c>
      <c r="C9" s="18" t="s">
        <v>293</v>
      </c>
      <c r="D9" s="17">
        <v>2917</v>
      </c>
      <c r="J9">
        <v>497</v>
      </c>
      <c r="K9" s="15">
        <v>49</v>
      </c>
      <c r="L9" s="29" t="s">
        <v>206</v>
      </c>
      <c r="M9" s="29" t="s">
        <v>207</v>
      </c>
      <c r="N9" s="16" t="s">
        <v>196</v>
      </c>
      <c r="O9" s="17">
        <f>VLOOKUP(K9,גליון1!$A$11:$L$323,11,FALSE)</f>
        <v>18492</v>
      </c>
      <c r="P9" s="17">
        <f>VLOOKUP(K9,גליון1!$A$11:$L$323,12,FALSE)</f>
        <v>21003</v>
      </c>
      <c r="Q9" s="17">
        <f>VLOOKUP(K9,'השוואה חודשית 11.25 מול 10.25'!$A$4:$D$330,4,FALSE)</f>
        <v>19763</v>
      </c>
      <c r="R9" s="17">
        <v>20380</v>
      </c>
      <c r="S9" s="17">
        <v>20427</v>
      </c>
      <c r="T9" s="17">
        <v>328.84761000000003</v>
      </c>
      <c r="U9" s="17">
        <v>20098.152389999999</v>
      </c>
      <c r="V9" s="16">
        <v>21599.98</v>
      </c>
      <c r="W9" s="16">
        <f>VLOOKUP(J9,'[7]02.26 מעודכן'!$B$2:$N$144,13,FALSE)</f>
        <v>22919.93</v>
      </c>
      <c r="X9" s="16">
        <v>22272.21</v>
      </c>
      <c r="Y9" s="16">
        <v>21140.21</v>
      </c>
    </row>
    <row r="10" spans="1:25" x14ac:dyDescent="0.3">
      <c r="A10" s="15" t="s">
        <v>304</v>
      </c>
      <c r="B10" s="15" t="s">
        <v>164</v>
      </c>
      <c r="C10" s="18" t="s">
        <v>293</v>
      </c>
      <c r="D10" s="17">
        <v>13400</v>
      </c>
      <c r="J10">
        <v>521</v>
      </c>
      <c r="K10" s="15">
        <v>52</v>
      </c>
      <c r="L10" s="29" t="s">
        <v>208</v>
      </c>
      <c r="M10" s="29" t="s">
        <v>209</v>
      </c>
      <c r="N10" s="16" t="s">
        <v>196</v>
      </c>
      <c r="O10" s="17">
        <f>VLOOKUP(K10,גליון1!$A$11:$L$323,11,FALSE)</f>
        <v>17258</v>
      </c>
      <c r="P10" s="17">
        <f>VLOOKUP(K10,גליון1!$A$11:$L$323,12,FALSE)</f>
        <v>22501</v>
      </c>
      <c r="Q10" s="17">
        <f>VLOOKUP(K10,'השוואה חודשית 11.25 מול 10.25'!$A$4:$D$330,4,FALSE)</f>
        <v>18269</v>
      </c>
      <c r="R10" s="17">
        <v>15819</v>
      </c>
      <c r="S10" s="17">
        <v>13952</v>
      </c>
      <c r="T10" s="17"/>
      <c r="U10" s="17">
        <v>13952</v>
      </c>
      <c r="V10" s="16">
        <v>19211.59</v>
      </c>
      <c r="W10" s="16">
        <f>VLOOKUP(J10,'[7]02.26 מעודכן'!$B$2:$N$144,13,FALSE)</f>
        <v>15457.65</v>
      </c>
      <c r="X10" s="16">
        <v>7388.3</v>
      </c>
      <c r="Y10" s="16">
        <v>11060.55</v>
      </c>
    </row>
    <row r="11" spans="1:25" x14ac:dyDescent="0.3">
      <c r="A11" s="15" t="s">
        <v>305</v>
      </c>
      <c r="B11" s="15" t="s">
        <v>306</v>
      </c>
      <c r="C11" s="18" t="s">
        <v>293</v>
      </c>
      <c r="D11" s="17">
        <v>6936</v>
      </c>
      <c r="J11">
        <v>0</v>
      </c>
      <c r="K11" s="15">
        <v>56</v>
      </c>
      <c r="L11" s="15" t="s">
        <v>345</v>
      </c>
      <c r="M11" s="15" t="s">
        <v>410</v>
      </c>
      <c r="N11" s="15" t="e">
        <f>VLOOKUP(L11,$A$3:$C$126,3,FALSE)</f>
        <v>#N/A</v>
      </c>
      <c r="O11" s="17">
        <f>VLOOKUP(K11,גליון1!$A$11:$L$323,11,FALSE)</f>
        <v>0</v>
      </c>
      <c r="P11" s="17">
        <f>VLOOKUP(K11,גליון1!$A$11:$L$323,12,FALSE)</f>
        <v>0</v>
      </c>
      <c r="Q11" s="17">
        <f>VLOOKUP(K11,'השוואה חודשית 11.25 מול 10.25'!$A$4:$D$330,4,FALSE)</f>
        <v>0</v>
      </c>
      <c r="R11" s="17">
        <v>0</v>
      </c>
      <c r="S11" s="17">
        <v>0</v>
      </c>
      <c r="T11" s="17"/>
      <c r="U11" s="17">
        <v>0</v>
      </c>
      <c r="V11" s="17"/>
      <c r="W11" s="17"/>
      <c r="X11" s="17"/>
      <c r="Y11" s="17"/>
    </row>
    <row r="12" spans="1:25" x14ac:dyDescent="0.3">
      <c r="A12" s="15" t="s">
        <v>307</v>
      </c>
      <c r="B12" s="15" t="s">
        <v>222</v>
      </c>
      <c r="C12" s="18" t="s">
        <v>293</v>
      </c>
      <c r="D12" s="17">
        <v>3348</v>
      </c>
      <c r="J12">
        <v>0</v>
      </c>
      <c r="K12" s="15">
        <v>58</v>
      </c>
      <c r="L12" s="15" t="s">
        <v>411</v>
      </c>
      <c r="M12" s="15" t="s">
        <v>412</v>
      </c>
      <c r="N12" s="15" t="e">
        <f>VLOOKUP(L12,$A$3:$C$126,3,FALSE)</f>
        <v>#N/A</v>
      </c>
      <c r="O12" s="17">
        <f>VLOOKUP(K12,גליון1!$A$11:$L$323,11,FALSE)</f>
        <v>0</v>
      </c>
      <c r="P12" s="17">
        <f>VLOOKUP(K12,גליון1!$A$11:$L$323,12,FALSE)</f>
        <v>0</v>
      </c>
      <c r="Q12" s="17">
        <f>VLOOKUP(K12,'השוואה חודשית 11.25 מול 10.25'!$A$4:$D$330,4,FALSE)</f>
        <v>0</v>
      </c>
      <c r="R12" s="17">
        <v>0</v>
      </c>
      <c r="S12" s="17">
        <v>0</v>
      </c>
      <c r="T12" s="17"/>
      <c r="U12" s="17">
        <v>0</v>
      </c>
      <c r="V12" s="17"/>
      <c r="W12" s="17"/>
      <c r="X12" s="17"/>
      <c r="Y12" s="17"/>
    </row>
    <row r="13" spans="1:25" x14ac:dyDescent="0.3">
      <c r="A13" s="15" t="s">
        <v>308</v>
      </c>
      <c r="B13" s="15" t="s">
        <v>91</v>
      </c>
      <c r="C13" s="18" t="s">
        <v>293</v>
      </c>
      <c r="D13" s="17">
        <v>12548</v>
      </c>
      <c r="J13">
        <v>596</v>
      </c>
      <c r="K13" s="15">
        <v>59</v>
      </c>
      <c r="L13" s="29" t="s">
        <v>210</v>
      </c>
      <c r="M13" s="29" t="s">
        <v>211</v>
      </c>
      <c r="N13" s="16" t="s">
        <v>196</v>
      </c>
      <c r="O13" s="17">
        <f>VLOOKUP(K13,גליון1!$A$11:$L$323,11,FALSE)</f>
        <v>31041</v>
      </c>
      <c r="P13" s="17">
        <f>VLOOKUP(K13,גליון1!$A$11:$L$323,12,FALSE)</f>
        <v>28201</v>
      </c>
      <c r="Q13" s="17">
        <f>VLOOKUP(K13,'השוואה חודשית 11.25 מול 10.25'!$A$4:$D$330,4,FALSE)</f>
        <v>42183</v>
      </c>
      <c r="R13" s="17">
        <v>25192</v>
      </c>
      <c r="S13" s="17">
        <v>59187</v>
      </c>
      <c r="T13" s="17"/>
      <c r="U13" s="17">
        <v>59187</v>
      </c>
      <c r="V13" s="16">
        <v>35820.81</v>
      </c>
      <c r="W13" s="16">
        <f>VLOOKUP(J13,'[7]02.26 מעודכן'!$B$2:$N$144,13,FALSE)</f>
        <v>40424.769999999997</v>
      </c>
      <c r="X13" s="16">
        <v>34043.800000000003</v>
      </c>
      <c r="Y13" s="16">
        <v>32166.1</v>
      </c>
    </row>
    <row r="14" spans="1:25" x14ac:dyDescent="0.3">
      <c r="A14" s="15" t="s">
        <v>309</v>
      </c>
      <c r="B14" s="15" t="s">
        <v>310</v>
      </c>
      <c r="C14" s="18" t="s">
        <v>293</v>
      </c>
      <c r="D14" s="17">
        <v>1926</v>
      </c>
      <c r="J14">
        <v>786</v>
      </c>
      <c r="K14" s="15">
        <v>78</v>
      </c>
      <c r="L14" s="29" t="s">
        <v>212</v>
      </c>
      <c r="M14" s="29" t="s">
        <v>213</v>
      </c>
      <c r="N14" s="16" t="s">
        <v>196</v>
      </c>
      <c r="O14" s="17">
        <f>VLOOKUP(K14,גליון1!$A$11:$L$323,11,FALSE)</f>
        <v>15792</v>
      </c>
      <c r="P14" s="17">
        <f>VLOOKUP(K14,גליון1!$A$11:$L$323,12,FALSE)</f>
        <v>21992</v>
      </c>
      <c r="Q14" s="17">
        <f>VLOOKUP(K14,'השוואה חודשית 11.25 מול 10.25'!$A$4:$D$330,4,FALSE)</f>
        <v>25606</v>
      </c>
      <c r="R14" s="17">
        <v>16185</v>
      </c>
      <c r="S14" s="17">
        <v>18964</v>
      </c>
      <c r="T14" s="17"/>
      <c r="U14" s="17">
        <v>18964</v>
      </c>
      <c r="V14" s="16">
        <v>23025.25</v>
      </c>
      <c r="W14" s="16">
        <f>VLOOKUP(J14,'[7]02.26 מעודכן'!$B$2:$N$144,13,FALSE)</f>
        <v>20292.400000000001</v>
      </c>
      <c r="X14" s="16">
        <v>19877.36</v>
      </c>
      <c r="Y14" s="16">
        <v>20202.330000000002</v>
      </c>
    </row>
    <row r="15" spans="1:25" x14ac:dyDescent="0.3">
      <c r="A15" s="15" t="s">
        <v>311</v>
      </c>
      <c r="B15" s="15" t="s">
        <v>312</v>
      </c>
      <c r="C15" s="18" t="s">
        <v>293</v>
      </c>
      <c r="D15" s="17">
        <v>12070</v>
      </c>
      <c r="J15">
        <v>810</v>
      </c>
      <c r="K15" s="15">
        <v>81</v>
      </c>
      <c r="L15" s="29" t="s">
        <v>214</v>
      </c>
      <c r="M15" s="29" t="s">
        <v>215</v>
      </c>
      <c r="N15" s="16" t="s">
        <v>196</v>
      </c>
      <c r="O15" s="17">
        <f>VLOOKUP(K15,גליון1!$A$11:$L$323,11,FALSE)</f>
        <v>0</v>
      </c>
      <c r="P15" s="17">
        <f>VLOOKUP(K15,גליון1!$A$11:$L$323,12,FALSE)</f>
        <v>0</v>
      </c>
      <c r="Q15" s="17">
        <f>VLOOKUP(K15,'השוואה חודשית 11.25 מול 10.25'!$A$4:$D$330,4,FALSE)</f>
        <v>0</v>
      </c>
      <c r="R15" s="17">
        <v>8416</v>
      </c>
      <c r="S15" s="17">
        <v>10041</v>
      </c>
      <c r="T15" s="17"/>
      <c r="U15" s="17">
        <v>10041</v>
      </c>
      <c r="V15" s="16">
        <v>10994.6</v>
      </c>
      <c r="W15" s="16">
        <f>VLOOKUP(J15,'[7]02.26 מעודכן'!$B$2:$N$144,13,FALSE)</f>
        <v>5701.71</v>
      </c>
      <c r="X15" s="16">
        <v>6253.87</v>
      </c>
      <c r="Y15" s="16">
        <v>7646.47</v>
      </c>
    </row>
    <row r="16" spans="1:25" x14ac:dyDescent="0.3">
      <c r="A16" s="15" t="s">
        <v>313</v>
      </c>
      <c r="B16" s="15" t="s">
        <v>314</v>
      </c>
      <c r="C16" s="18" t="s">
        <v>293</v>
      </c>
      <c r="D16" s="17">
        <v>12479</v>
      </c>
      <c r="J16">
        <v>0</v>
      </c>
      <c r="K16" s="15">
        <v>82</v>
      </c>
      <c r="L16" s="29" t="s">
        <v>414</v>
      </c>
      <c r="M16" s="29" t="s">
        <v>291</v>
      </c>
      <c r="N16" s="16" t="s">
        <v>196</v>
      </c>
      <c r="O16" s="17">
        <f>VLOOKUP(K16,גליון1!$A$11:$L$323,11,FALSE)</f>
        <v>0</v>
      </c>
      <c r="P16" s="17">
        <f>VLOOKUP(K16,גליון1!$A$11:$L$323,12,FALSE)</f>
        <v>0</v>
      </c>
      <c r="Q16" s="17">
        <f>VLOOKUP(K16,'השוואה חודשית 11.25 מול 10.25'!$A$4:$D$330,4,FALSE)</f>
        <v>15161</v>
      </c>
      <c r="R16" s="17">
        <v>0</v>
      </c>
      <c r="S16" s="17">
        <v>0</v>
      </c>
      <c r="T16" s="17"/>
      <c r="U16" s="17">
        <v>0</v>
      </c>
      <c r="V16" s="17"/>
      <c r="W16" s="17"/>
      <c r="X16" s="17"/>
      <c r="Y16" s="17"/>
    </row>
    <row r="17" spans="1:25" x14ac:dyDescent="0.3">
      <c r="A17" s="15" t="s">
        <v>315</v>
      </c>
      <c r="B17" s="15" t="s">
        <v>316</v>
      </c>
      <c r="C17" s="18" t="s">
        <v>293</v>
      </c>
      <c r="D17" s="17">
        <v>9755</v>
      </c>
      <c r="J17">
        <v>836</v>
      </c>
      <c r="K17" s="15">
        <v>83</v>
      </c>
      <c r="L17" s="29" t="s">
        <v>216</v>
      </c>
      <c r="M17" s="29" t="s">
        <v>188</v>
      </c>
      <c r="N17" s="16" t="s">
        <v>196</v>
      </c>
      <c r="O17" s="17">
        <f>VLOOKUP(K17,גליון1!$A$11:$L$323,11,FALSE)</f>
        <v>19870</v>
      </c>
      <c r="P17" s="17">
        <f>VLOOKUP(K17,גליון1!$A$11:$L$323,12,FALSE)</f>
        <v>19616</v>
      </c>
      <c r="Q17" s="17">
        <f>VLOOKUP(K17,'השוואה חודשית 11.25 מול 10.25'!$A$4:$D$330,4,FALSE)</f>
        <v>16646</v>
      </c>
      <c r="R17" s="17">
        <v>19081</v>
      </c>
      <c r="S17" s="17">
        <v>19232</v>
      </c>
      <c r="T17" s="17"/>
      <c r="U17" s="17">
        <v>19232</v>
      </c>
      <c r="V17" s="16">
        <v>18349.759999999998</v>
      </c>
      <c r="W17" s="16">
        <f>VLOOKUP(J17,'[7]02.26 מעודכן'!$B$2:$N$144,13,FALSE)</f>
        <v>16871.8</v>
      </c>
      <c r="X17" s="16">
        <v>15772.93</v>
      </c>
      <c r="Y17" s="16">
        <v>20017.71</v>
      </c>
    </row>
    <row r="18" spans="1:25" x14ac:dyDescent="0.3">
      <c r="A18" s="15" t="s">
        <v>317</v>
      </c>
      <c r="B18" s="15" t="s">
        <v>142</v>
      </c>
      <c r="C18" s="18" t="s">
        <v>293</v>
      </c>
      <c r="D18" s="17">
        <v>6259</v>
      </c>
      <c r="J18">
        <v>901</v>
      </c>
      <c r="K18" s="15">
        <v>90</v>
      </c>
      <c r="L18" s="29" t="s">
        <v>217</v>
      </c>
      <c r="M18" s="29" t="s">
        <v>218</v>
      </c>
      <c r="N18" s="16" t="s">
        <v>196</v>
      </c>
      <c r="O18" s="17">
        <f>VLOOKUP(K18,גליון1!$A$11:$L$323,11,FALSE)</f>
        <v>25367</v>
      </c>
      <c r="P18" s="17">
        <f>VLOOKUP(K18,גליון1!$A$11:$L$323,12,FALSE)</f>
        <v>22276</v>
      </c>
      <c r="Q18" s="17">
        <f>VLOOKUP(K18,'השוואה חודשית 11.25 מול 10.25'!$A$4:$D$330,4,FALSE)</f>
        <v>20286</v>
      </c>
      <c r="R18" s="17">
        <v>21494</v>
      </c>
      <c r="S18" s="17">
        <v>24749</v>
      </c>
      <c r="T18" s="17"/>
      <c r="U18" s="17">
        <v>24749</v>
      </c>
      <c r="V18" s="16">
        <v>25485.72</v>
      </c>
      <c r="W18" s="16">
        <f>VLOOKUP(J18,'[7]02.26 מעודכן'!$B$2:$N$144,13,FALSE)</f>
        <v>25265.58</v>
      </c>
      <c r="X18" s="16">
        <v>21094.400000000001</v>
      </c>
      <c r="Y18" s="16">
        <v>24466.25</v>
      </c>
    </row>
    <row r="19" spans="1:25" x14ac:dyDescent="0.3">
      <c r="A19" s="15" t="s">
        <v>318</v>
      </c>
      <c r="B19" s="15" t="s">
        <v>319</v>
      </c>
      <c r="C19" s="18" t="s">
        <v>293</v>
      </c>
      <c r="D19" s="17">
        <v>3138</v>
      </c>
      <c r="J19">
        <v>1214</v>
      </c>
      <c r="K19" s="15">
        <v>121</v>
      </c>
      <c r="L19" s="29" t="s">
        <v>219</v>
      </c>
      <c r="M19" s="29" t="s">
        <v>220</v>
      </c>
      <c r="N19" s="16" t="s">
        <v>196</v>
      </c>
      <c r="O19" s="17">
        <f>VLOOKUP(K19,גליון1!$A$11:$L$323,11,FALSE)</f>
        <v>12656</v>
      </c>
      <c r="P19" s="17">
        <f>VLOOKUP(K19,גליון1!$A$11:$L$323,12,FALSE)</f>
        <v>12687</v>
      </c>
      <c r="Q19" s="17">
        <f>VLOOKUP(K19,'השוואה חודשית 11.25 מול 10.25'!$A$4:$D$330,4,FALSE)</f>
        <v>17506</v>
      </c>
      <c r="R19" s="17">
        <v>12366</v>
      </c>
      <c r="S19" s="17">
        <v>12624</v>
      </c>
      <c r="T19" s="17"/>
      <c r="U19" s="17">
        <v>12624</v>
      </c>
      <c r="V19" s="16">
        <v>12650.48</v>
      </c>
      <c r="W19" s="16">
        <f>VLOOKUP(J19,'[7]02.26 מעודכן'!$B$2:$N$144,13,FALSE)</f>
        <v>2328.7199999999998</v>
      </c>
      <c r="X19" s="16">
        <v>23.98</v>
      </c>
      <c r="Y19" s="16">
        <v>0</v>
      </c>
    </row>
    <row r="20" spans="1:25" ht="14.5" x14ac:dyDescent="0.35">
      <c r="A20" s="15" t="s">
        <v>320</v>
      </c>
      <c r="B20" s="15" t="s">
        <v>165</v>
      </c>
      <c r="C20" s="19" t="s">
        <v>321</v>
      </c>
      <c r="D20" s="17">
        <v>17555</v>
      </c>
      <c r="E20" t="s">
        <v>432</v>
      </c>
      <c r="F20" s="28" t="s">
        <v>430</v>
      </c>
      <c r="J20">
        <v>0</v>
      </c>
      <c r="K20" s="15">
        <v>122</v>
      </c>
      <c r="L20" s="15" t="s">
        <v>419</v>
      </c>
      <c r="M20" s="15" t="s">
        <v>420</v>
      </c>
      <c r="N20" s="15" t="e">
        <f>VLOOKUP(L20,$A$3:$C$126,3,FALSE)</f>
        <v>#N/A</v>
      </c>
      <c r="O20" s="17">
        <f>VLOOKUP(K20,גליון1!$A$11:$L$323,11,FALSE)</f>
        <v>0</v>
      </c>
      <c r="P20" s="17">
        <f>VLOOKUP(K20,גליון1!$A$11:$L$323,12,FALSE)</f>
        <v>0</v>
      </c>
      <c r="Q20" s="17">
        <f>VLOOKUP(K20,'השוואה חודשית 11.25 מול 10.25'!$A$4:$D$330,4,FALSE)</f>
        <v>0</v>
      </c>
      <c r="R20" s="17">
        <v>0</v>
      </c>
      <c r="S20" s="17">
        <v>0</v>
      </c>
      <c r="T20" s="17"/>
      <c r="U20" s="17">
        <v>0</v>
      </c>
      <c r="V20" s="17"/>
      <c r="W20" s="17"/>
      <c r="X20" s="17"/>
      <c r="Y20" s="17"/>
    </row>
    <row r="21" spans="1:25" x14ac:dyDescent="0.3">
      <c r="A21" s="15" t="s">
        <v>322</v>
      </c>
      <c r="B21" s="15" t="s">
        <v>323</v>
      </c>
      <c r="C21" s="19" t="s">
        <v>321</v>
      </c>
      <c r="D21" s="17">
        <v>21759</v>
      </c>
      <c r="F21">
        <v>8</v>
      </c>
      <c r="G21" t="s">
        <v>336</v>
      </c>
      <c r="H21" t="s">
        <v>337</v>
      </c>
      <c r="J21">
        <v>0</v>
      </c>
      <c r="K21" s="15">
        <v>126</v>
      </c>
      <c r="L21" s="15" t="s">
        <v>421</v>
      </c>
      <c r="M21" s="15" t="s">
        <v>222</v>
      </c>
      <c r="N21" s="15" t="e">
        <f>VLOOKUP(L21,$A$3:$C$126,3,FALSE)</f>
        <v>#N/A</v>
      </c>
      <c r="O21" s="17">
        <f>VLOOKUP(K21,גליון1!$A$11:$L$323,11,FALSE)</f>
        <v>0</v>
      </c>
      <c r="P21" s="17">
        <f>VLOOKUP(K21,גליון1!$A$11:$L$323,12,FALSE)</f>
        <v>0</v>
      </c>
      <c r="Q21" s="17">
        <f>VLOOKUP(K21,'השוואה חודשית 11.25 מול 10.25'!$A$4:$D$330,4,FALSE)</f>
        <v>0</v>
      </c>
      <c r="R21" s="17">
        <v>0</v>
      </c>
      <c r="S21" s="17">
        <v>0</v>
      </c>
      <c r="T21" s="17"/>
      <c r="U21" s="17">
        <v>0</v>
      </c>
      <c r="V21" s="17"/>
      <c r="W21" s="17"/>
      <c r="X21" s="17"/>
      <c r="Y21" s="17"/>
    </row>
    <row r="22" spans="1:25" x14ac:dyDescent="0.3">
      <c r="A22" s="15" t="s">
        <v>326</v>
      </c>
      <c r="B22" s="15" t="s">
        <v>327</v>
      </c>
      <c r="C22" s="19" t="s">
        <v>321</v>
      </c>
      <c r="D22" s="17">
        <v>15170</v>
      </c>
      <c r="F22">
        <v>9</v>
      </c>
      <c r="G22" t="s">
        <v>338</v>
      </c>
      <c r="H22" t="s">
        <v>337</v>
      </c>
      <c r="J22">
        <v>1271</v>
      </c>
      <c r="K22" s="15">
        <v>127</v>
      </c>
      <c r="L22" s="29" t="s">
        <v>221</v>
      </c>
      <c r="M22" s="29" t="s">
        <v>222</v>
      </c>
      <c r="N22" s="16" t="s">
        <v>196</v>
      </c>
      <c r="O22" s="17">
        <f>VLOOKUP(K22,גליון1!$A$11:$L$323,11,FALSE)</f>
        <v>10660</v>
      </c>
      <c r="P22" s="17">
        <f>VLOOKUP(K22,גליון1!$A$11:$L$323,12,FALSE)</f>
        <v>14532</v>
      </c>
      <c r="Q22" s="17">
        <f>VLOOKUP(K22,'השוואה חודשית 11.25 מול 10.25'!$A$4:$D$330,4,FALSE)</f>
        <v>4290</v>
      </c>
      <c r="R22" s="17">
        <v>20026</v>
      </c>
      <c r="S22" s="17">
        <v>38724</v>
      </c>
      <c r="T22" s="17"/>
      <c r="U22" s="17">
        <v>38724</v>
      </c>
      <c r="V22" s="16">
        <v>39209.89</v>
      </c>
      <c r="W22" s="16">
        <f>VLOOKUP(J22,'[7]02.26 מעודכן'!$B$2:$N$144,13,FALSE)</f>
        <v>39467.93</v>
      </c>
      <c r="X22" s="16">
        <v>39200.480000000003</v>
      </c>
      <c r="Y22" s="16">
        <v>41512.33</v>
      </c>
    </row>
    <row r="23" spans="1:25" x14ac:dyDescent="0.3">
      <c r="A23" s="15" t="s">
        <v>328</v>
      </c>
      <c r="B23" s="15" t="s">
        <v>172</v>
      </c>
      <c r="C23" s="19" t="s">
        <v>321</v>
      </c>
      <c r="D23" s="17">
        <v>11822</v>
      </c>
      <c r="F23">
        <v>35</v>
      </c>
      <c r="G23" t="s">
        <v>339</v>
      </c>
      <c r="H23" t="s">
        <v>340</v>
      </c>
      <c r="J23">
        <v>1305</v>
      </c>
      <c r="K23" s="15">
        <v>130</v>
      </c>
      <c r="L23" s="29" t="s">
        <v>223</v>
      </c>
      <c r="M23" s="29" t="s">
        <v>224</v>
      </c>
      <c r="N23" s="16" t="s">
        <v>196</v>
      </c>
      <c r="O23" s="17">
        <f>VLOOKUP(K23,גליון1!$A$11:$L$323,11,FALSE)</f>
        <v>27834</v>
      </c>
      <c r="P23" s="17">
        <f>VLOOKUP(K23,גליון1!$A$11:$L$323,12,FALSE)</f>
        <v>27577</v>
      </c>
      <c r="Q23" s="17">
        <f>VLOOKUP(K23,'השוואה חודשית 11.25 מול 10.25'!$A$4:$D$330,4,FALSE)</f>
        <v>23663</v>
      </c>
      <c r="R23" s="17">
        <v>24930</v>
      </c>
      <c r="S23" s="17">
        <v>26342</v>
      </c>
      <c r="T23" s="17"/>
      <c r="U23" s="17">
        <v>26342</v>
      </c>
      <c r="V23" s="16">
        <v>22745.51</v>
      </c>
      <c r="W23" s="16">
        <f>VLOOKUP(J23,'[7]02.26 מעודכן'!$B$2:$N$144,13,FALSE)</f>
        <v>23109.39</v>
      </c>
      <c r="X23" s="16">
        <v>23733.09</v>
      </c>
      <c r="Y23" s="16">
        <v>32573.06</v>
      </c>
    </row>
    <row r="24" spans="1:25" x14ac:dyDescent="0.3">
      <c r="A24" s="15" t="s">
        <v>329</v>
      </c>
      <c r="B24" s="15" t="s">
        <v>330</v>
      </c>
      <c r="C24" s="19" t="s">
        <v>321</v>
      </c>
      <c r="D24" s="17">
        <v>13188</v>
      </c>
      <c r="F24">
        <v>51</v>
      </c>
      <c r="G24" t="s">
        <v>431</v>
      </c>
      <c r="H24" t="s">
        <v>222</v>
      </c>
      <c r="J24">
        <v>0</v>
      </c>
      <c r="K24" s="15">
        <v>136</v>
      </c>
      <c r="L24" s="15" t="s">
        <v>422</v>
      </c>
      <c r="M24" s="15" t="s">
        <v>423</v>
      </c>
      <c r="N24" s="15" t="e">
        <f>VLOOKUP(L24,$A$3:$C$126,3,FALSE)</f>
        <v>#N/A</v>
      </c>
      <c r="O24" s="17">
        <f>VLOOKUP(K24,גליון1!$A$11:$L$323,11,FALSE)</f>
        <v>0</v>
      </c>
      <c r="P24" s="17">
        <f>VLOOKUP(K24,גליון1!$A$11:$L$323,12,FALSE)</f>
        <v>0</v>
      </c>
      <c r="Q24" s="17">
        <f>VLOOKUP(K24,'השוואה חודשית 11.25 מול 10.25'!$A$4:$D$330,4,FALSE)</f>
        <v>0</v>
      </c>
      <c r="R24" s="17">
        <v>0</v>
      </c>
      <c r="S24" s="17">
        <v>0</v>
      </c>
      <c r="T24" s="17"/>
      <c r="U24" s="17">
        <v>0</v>
      </c>
      <c r="V24" s="17"/>
      <c r="W24" s="17"/>
      <c r="X24" s="17"/>
      <c r="Y24" s="17"/>
    </row>
    <row r="25" spans="1:25" x14ac:dyDescent="0.3">
      <c r="A25" s="15" t="s">
        <v>331</v>
      </c>
      <c r="B25" s="15" t="s">
        <v>332</v>
      </c>
      <c r="C25" s="19" t="s">
        <v>321</v>
      </c>
      <c r="D25" s="17">
        <v>6757</v>
      </c>
      <c r="F25">
        <v>125</v>
      </c>
      <c r="G25" t="s">
        <v>343</v>
      </c>
      <c r="H25" t="s">
        <v>259</v>
      </c>
      <c r="J25">
        <v>1388</v>
      </c>
      <c r="K25" s="15">
        <v>138</v>
      </c>
      <c r="L25" s="29" t="s">
        <v>225</v>
      </c>
      <c r="M25" s="29" t="s">
        <v>226</v>
      </c>
      <c r="N25" s="16" t="s">
        <v>196</v>
      </c>
      <c r="O25" s="17">
        <f>VLOOKUP(K25,גליון1!$A$11:$L$323,11,FALSE)</f>
        <v>22019</v>
      </c>
      <c r="P25" s="17">
        <f>VLOOKUP(K25,גליון1!$A$11:$L$323,12,FALSE)</f>
        <v>20529</v>
      </c>
      <c r="Q25" s="17">
        <f>VLOOKUP(K25,'השוואה חודשית 11.25 מול 10.25'!$A$4:$D$330,4,FALSE)</f>
        <v>19136</v>
      </c>
      <c r="R25" s="17">
        <v>21858</v>
      </c>
      <c r="S25" s="17">
        <v>22624</v>
      </c>
      <c r="T25" s="17"/>
      <c r="U25" s="17">
        <v>22624</v>
      </c>
      <c r="V25" s="16">
        <v>27638.77</v>
      </c>
      <c r="W25" s="16">
        <f>VLOOKUP(J25,'[7]02.26 מעודכן'!$B$2:$N$144,13,FALSE)</f>
        <v>16589.849999999999</v>
      </c>
      <c r="X25" s="16">
        <v>12808.69</v>
      </c>
      <c r="Y25" s="16">
        <v>20306.150000000001</v>
      </c>
    </row>
    <row r="26" spans="1:25" x14ac:dyDescent="0.3">
      <c r="A26" s="15" t="s">
        <v>333</v>
      </c>
      <c r="B26" s="15" t="s">
        <v>234</v>
      </c>
      <c r="C26" s="19" t="s">
        <v>321</v>
      </c>
      <c r="D26" s="17">
        <v>3363</v>
      </c>
      <c r="J26">
        <v>1438</v>
      </c>
      <c r="K26" s="15">
        <v>143</v>
      </c>
      <c r="L26" s="29" t="s">
        <v>227</v>
      </c>
      <c r="M26" s="29" t="s">
        <v>228</v>
      </c>
      <c r="N26" s="16" t="s">
        <v>196</v>
      </c>
      <c r="O26" s="17">
        <f>VLOOKUP(K26,גליון1!$A$11:$L$323,11,FALSE)</f>
        <v>24081</v>
      </c>
      <c r="P26" s="17">
        <f>VLOOKUP(K26,גליון1!$A$11:$L$323,12,FALSE)</f>
        <v>15612</v>
      </c>
      <c r="Q26" s="17">
        <f>VLOOKUP(K26,'השוואה חודשית 11.25 מול 10.25'!$A$4:$D$330,4,FALSE)</f>
        <v>17437</v>
      </c>
      <c r="R26" s="17">
        <v>9406</v>
      </c>
      <c r="S26" s="17">
        <v>10364</v>
      </c>
      <c r="T26" s="17">
        <v>889.98</v>
      </c>
      <c r="U26" s="17">
        <v>9474.02</v>
      </c>
      <c r="V26" s="16">
        <v>9686.09</v>
      </c>
      <c r="W26" s="16">
        <f>VLOOKUP(J26,'[7]02.26 מעודכן'!$B$2:$N$144,13,FALSE)</f>
        <v>8608.26</v>
      </c>
      <c r="X26" s="16">
        <v>20955.98</v>
      </c>
      <c r="Y26" s="16">
        <v>40666.25</v>
      </c>
    </row>
    <row r="27" spans="1:25" x14ac:dyDescent="0.3">
      <c r="A27" s="15" t="s">
        <v>334</v>
      </c>
      <c r="B27" s="15" t="s">
        <v>335</v>
      </c>
      <c r="C27" s="19" t="s">
        <v>321</v>
      </c>
      <c r="D27" s="17">
        <v>4347</v>
      </c>
      <c r="J27">
        <v>1453</v>
      </c>
      <c r="K27" s="15">
        <v>145</v>
      </c>
      <c r="L27" s="29" t="s">
        <v>229</v>
      </c>
      <c r="M27" s="29" t="s">
        <v>89</v>
      </c>
      <c r="N27" s="16" t="s">
        <v>196</v>
      </c>
      <c r="O27" s="17">
        <f>VLOOKUP(K27,גליון1!$A$11:$L$323,11,FALSE)</f>
        <v>11294</v>
      </c>
      <c r="P27" s="17">
        <f>VLOOKUP(K27,גליון1!$A$11:$L$323,12,FALSE)</f>
        <v>13208</v>
      </c>
      <c r="Q27" s="17">
        <f>VLOOKUP(K27,'השוואה חודשית 11.25 מול 10.25'!$A$4:$D$330,4,FALSE)</f>
        <v>9422</v>
      </c>
      <c r="R27" s="17">
        <v>14229</v>
      </c>
      <c r="S27" s="17">
        <v>9477</v>
      </c>
      <c r="T27" s="17"/>
      <c r="U27" s="17">
        <v>9477</v>
      </c>
      <c r="V27" s="16">
        <v>15173.43</v>
      </c>
      <c r="W27" s="16">
        <f>VLOOKUP(J27,'[7]02.26 מעודכן'!$B$2:$N$144,13,FALSE)</f>
        <v>11569.48</v>
      </c>
      <c r="X27" s="16">
        <v>12201.61</v>
      </c>
      <c r="Y27" s="16">
        <v>17514.22</v>
      </c>
    </row>
    <row r="28" spans="1:25" x14ac:dyDescent="0.3">
      <c r="A28" s="29" t="s">
        <v>336</v>
      </c>
      <c r="B28" s="29" t="s">
        <v>337</v>
      </c>
      <c r="C28" s="19" t="s">
        <v>321</v>
      </c>
      <c r="D28" s="17">
        <v>6648</v>
      </c>
      <c r="J28">
        <v>1701</v>
      </c>
      <c r="K28" s="15">
        <v>170</v>
      </c>
      <c r="L28" s="15" t="s">
        <v>230</v>
      </c>
      <c r="M28" s="15" t="s">
        <v>231</v>
      </c>
      <c r="N28" s="16" t="s">
        <v>196</v>
      </c>
      <c r="O28" s="17">
        <f>VLOOKUP(K28,גליון1!$A$11:$L$323,11,FALSE)</f>
        <v>12688</v>
      </c>
      <c r="P28" s="17">
        <f>VLOOKUP(K28,גליון1!$A$11:$L$323,12,FALSE)</f>
        <v>12557</v>
      </c>
      <c r="Q28" s="17">
        <f>VLOOKUP(K28,'השוואה חודשית 11.25 מול 10.25'!$A$4:$D$330,4,FALSE)</f>
        <v>13603</v>
      </c>
      <c r="R28" s="17">
        <v>12495</v>
      </c>
      <c r="S28" s="17">
        <v>12785</v>
      </c>
      <c r="T28" s="17"/>
      <c r="U28" s="17">
        <v>12785</v>
      </c>
      <c r="V28" s="16">
        <v>12650.48</v>
      </c>
      <c r="W28" s="16">
        <f>VLOOKUP(J28,'[7]02.26 מעודכן'!$B$2:$N$144,13,FALSE)</f>
        <v>12618.1</v>
      </c>
      <c r="X28" s="16">
        <v>21050.66</v>
      </c>
      <c r="Y28" s="16">
        <v>27194.799999999999</v>
      </c>
    </row>
    <row r="29" spans="1:25" x14ac:dyDescent="0.3">
      <c r="A29" s="29" t="s">
        <v>338</v>
      </c>
      <c r="B29" s="29" t="s">
        <v>337</v>
      </c>
      <c r="C29" s="19" t="s">
        <v>321</v>
      </c>
      <c r="D29" s="17">
        <v>38632</v>
      </c>
      <c r="J29">
        <v>0</v>
      </c>
      <c r="K29" s="15">
        <v>171</v>
      </c>
      <c r="L29" s="29" t="s">
        <v>503</v>
      </c>
      <c r="M29" s="29" t="s">
        <v>504</v>
      </c>
      <c r="N29" s="16" t="s">
        <v>196</v>
      </c>
      <c r="O29" s="17">
        <f>VLOOKUP(K29,גליון1!$A$11:$L$323,11,FALSE)</f>
        <v>12753</v>
      </c>
      <c r="P29" s="17">
        <f>VLOOKUP(K29,גליון1!$A$11:$L$323,12,FALSE)</f>
        <v>12461</v>
      </c>
      <c r="Q29" s="17">
        <f>VLOOKUP(K29,'השוואה חודשית 11.25 מול 10.25'!$A$4:$D$330,4,FALSE)</f>
        <v>15577</v>
      </c>
      <c r="R29" s="17">
        <v>0</v>
      </c>
      <c r="S29" s="17">
        <v>0</v>
      </c>
      <c r="T29" s="17"/>
      <c r="U29" s="17">
        <v>0</v>
      </c>
      <c r="V29" s="17"/>
      <c r="W29" s="17"/>
      <c r="X29" s="17"/>
      <c r="Y29" s="17"/>
    </row>
    <row r="30" spans="1:25" x14ac:dyDescent="0.3">
      <c r="A30" s="29" t="s">
        <v>339</v>
      </c>
      <c r="B30" s="29" t="s">
        <v>340</v>
      </c>
      <c r="C30" s="19" t="s">
        <v>321</v>
      </c>
      <c r="D30" s="17">
        <v>11818</v>
      </c>
      <c r="J30">
        <v>1727</v>
      </c>
      <c r="K30" s="15">
        <v>172</v>
      </c>
      <c r="L30" s="29" t="s">
        <v>230</v>
      </c>
      <c r="M30" s="29" t="s">
        <v>232</v>
      </c>
      <c r="N30" s="16" t="s">
        <v>196</v>
      </c>
      <c r="O30" s="17">
        <f>VLOOKUP(K30,גליון1!$A$11:$L$323,11,FALSE)</f>
        <v>12656</v>
      </c>
      <c r="P30" s="17">
        <f>VLOOKUP(K30,גליון1!$A$11:$L$323,12,FALSE)</f>
        <v>12654</v>
      </c>
      <c r="Q30" s="17">
        <f>VLOOKUP(K30,'השוואה חודשית 11.25 מול 10.25'!$A$4:$D$330,4,FALSE)</f>
        <v>13635</v>
      </c>
      <c r="R30" s="17">
        <v>12656</v>
      </c>
      <c r="S30" s="17">
        <v>12592</v>
      </c>
      <c r="T30" s="17"/>
      <c r="U30" s="17">
        <v>12592</v>
      </c>
      <c r="V30" s="16">
        <v>12715.24</v>
      </c>
      <c r="W30" s="16">
        <f>VLOOKUP(J30,'[7]02.26 מעודכן'!$B$2:$N$144,13,FALSE)</f>
        <v>12618.1</v>
      </c>
      <c r="X30" s="16">
        <v>20388.400000000001</v>
      </c>
      <c r="Y30" s="16">
        <v>23319.18</v>
      </c>
    </row>
    <row r="31" spans="1:25" x14ac:dyDescent="0.3">
      <c r="A31" s="29" t="s">
        <v>341</v>
      </c>
      <c r="B31" s="29" t="s">
        <v>342</v>
      </c>
      <c r="C31" s="19" t="s">
        <v>321</v>
      </c>
      <c r="D31" s="17">
        <v>12592</v>
      </c>
      <c r="J31">
        <v>1735</v>
      </c>
      <c r="K31" s="15">
        <v>173</v>
      </c>
      <c r="L31" s="29" t="s">
        <v>233</v>
      </c>
      <c r="M31" s="29" t="s">
        <v>234</v>
      </c>
      <c r="N31" s="16" t="s">
        <v>196</v>
      </c>
      <c r="O31" s="17">
        <f>VLOOKUP(K31,גליון1!$A$11:$L$323,11,FALSE)</f>
        <v>12462</v>
      </c>
      <c r="P31" s="17">
        <f>VLOOKUP(K31,גליון1!$A$11:$L$323,12,FALSE)</f>
        <v>12719</v>
      </c>
      <c r="Q31" s="17">
        <f>VLOOKUP(K31,'השוואה חודשית 11.25 מול 10.25'!$A$4:$D$330,4,FALSE)</f>
        <v>13764</v>
      </c>
      <c r="R31" s="17">
        <v>12559</v>
      </c>
      <c r="S31" s="17">
        <v>12656</v>
      </c>
      <c r="T31" s="17"/>
      <c r="U31" s="17">
        <v>12656</v>
      </c>
      <c r="V31" s="16">
        <v>12553.34</v>
      </c>
      <c r="W31" s="16">
        <f>VLOOKUP(J31,'[7]02.26 מעודכן'!$B$2:$N$144,13,FALSE)</f>
        <v>12618.1</v>
      </c>
      <c r="X31" s="16">
        <v>22248.92</v>
      </c>
      <c r="Y31" s="16">
        <v>24533.01</v>
      </c>
    </row>
    <row r="32" spans="1:25" x14ac:dyDescent="0.3">
      <c r="A32" s="29" t="s">
        <v>343</v>
      </c>
      <c r="B32" s="29" t="s">
        <v>259</v>
      </c>
      <c r="C32" s="19" t="s">
        <v>321</v>
      </c>
      <c r="D32" s="17">
        <v>34928</v>
      </c>
      <c r="J32">
        <v>1743</v>
      </c>
      <c r="K32" s="15">
        <v>174</v>
      </c>
      <c r="L32" s="29" t="s">
        <v>235</v>
      </c>
      <c r="M32" s="29" t="s">
        <v>236</v>
      </c>
      <c r="N32" s="16" t="s">
        <v>196</v>
      </c>
      <c r="O32" s="17">
        <f>VLOOKUP(K32,גליון1!$A$11:$L$323,11,FALSE)</f>
        <v>12559</v>
      </c>
      <c r="P32" s="17">
        <f>VLOOKUP(K32,גליון1!$A$11:$L$323,12,FALSE)</f>
        <v>12557</v>
      </c>
      <c r="Q32" s="17">
        <f>VLOOKUP(K32,'השוואה חודשית 11.25 מול 10.25'!$A$4:$D$330,4,FALSE)</f>
        <v>12721</v>
      </c>
      <c r="R32" s="17">
        <v>12688</v>
      </c>
      <c r="S32" s="17">
        <v>12559</v>
      </c>
      <c r="T32" s="17"/>
      <c r="U32" s="17">
        <v>12559</v>
      </c>
      <c r="V32" s="16">
        <v>12715.24</v>
      </c>
      <c r="W32" s="16">
        <f>VLOOKUP(J32,'[7]02.26 מעודכן'!$B$2:$N$144,13,FALSE)</f>
        <v>12650.48</v>
      </c>
      <c r="X32" s="16">
        <v>22632.89</v>
      </c>
      <c r="Y32" s="16">
        <v>26359.13</v>
      </c>
    </row>
    <row r="33" spans="1:25" ht="14.5" x14ac:dyDescent="0.35">
      <c r="A33" s="29" t="s">
        <v>194</v>
      </c>
      <c r="B33" s="29" t="s">
        <v>195</v>
      </c>
      <c r="C33" s="16" t="s">
        <v>196</v>
      </c>
      <c r="D33" s="17">
        <v>43474</v>
      </c>
      <c r="E33" t="s">
        <v>429</v>
      </c>
      <c r="F33" s="28" t="s">
        <v>406</v>
      </c>
      <c r="J33">
        <v>1750</v>
      </c>
      <c r="K33" s="15">
        <v>175</v>
      </c>
      <c r="L33" s="29" t="s">
        <v>237</v>
      </c>
      <c r="M33" s="29" t="s">
        <v>213</v>
      </c>
      <c r="N33" s="16" t="s">
        <v>196</v>
      </c>
      <c r="O33" s="17">
        <f>VLOOKUP(K33,גליון1!$A$11:$L$323,11,FALSE)</f>
        <v>12753</v>
      </c>
      <c r="P33" s="17">
        <f>VLOOKUP(K33,גליון1!$A$11:$L$323,12,FALSE)</f>
        <v>12687</v>
      </c>
      <c r="Q33" s="17">
        <f>VLOOKUP(K33,'השוואה חודשית 11.25 מול 10.25'!$A$4:$D$330,4,FALSE)</f>
        <v>12527</v>
      </c>
      <c r="R33" s="17">
        <v>12688</v>
      </c>
      <c r="S33" s="17">
        <v>12688</v>
      </c>
      <c r="T33" s="17"/>
      <c r="U33" s="17">
        <v>12688</v>
      </c>
      <c r="V33" s="16">
        <v>12650.48</v>
      </c>
      <c r="W33" s="16">
        <f>VLOOKUP(J33,'[7]02.26 מעודכן'!$B$2:$N$144,13,FALSE)</f>
        <v>12489.58</v>
      </c>
      <c r="X33" s="16">
        <v>20936.080000000002</v>
      </c>
      <c r="Y33" s="16">
        <v>19690.240000000002</v>
      </c>
    </row>
    <row r="34" spans="1:25" x14ac:dyDescent="0.3">
      <c r="A34" s="29" t="s">
        <v>197</v>
      </c>
      <c r="B34" s="29" t="s">
        <v>198</v>
      </c>
      <c r="C34" s="16" t="s">
        <v>196</v>
      </c>
      <c r="D34" s="17">
        <v>51419</v>
      </c>
      <c r="F34">
        <v>2</v>
      </c>
      <c r="G34" t="s">
        <v>194</v>
      </c>
      <c r="H34" t="s">
        <v>195</v>
      </c>
      <c r="J34">
        <v>0</v>
      </c>
      <c r="K34" s="15">
        <v>180</v>
      </c>
      <c r="L34" s="29" t="s">
        <v>251</v>
      </c>
      <c r="M34" s="29" t="s">
        <v>505</v>
      </c>
      <c r="N34" s="16" t="s">
        <v>196</v>
      </c>
      <c r="O34" s="17">
        <f>VLOOKUP(K34,גליון1!$A$11:$L$323,11,FALSE)</f>
        <v>16917</v>
      </c>
      <c r="P34" s="17">
        <f>VLOOKUP(K34,גליון1!$A$11:$L$323,12,FALSE)</f>
        <v>12495</v>
      </c>
      <c r="Q34" s="17">
        <f>VLOOKUP(K34,'השוואה חודשית 11.25 מול 10.25'!$A$4:$D$330,4,FALSE)</f>
        <v>8746</v>
      </c>
      <c r="R34" s="17">
        <v>0</v>
      </c>
      <c r="S34" s="17">
        <v>0</v>
      </c>
      <c r="T34" s="17"/>
      <c r="U34" s="17">
        <v>0</v>
      </c>
      <c r="V34" s="17"/>
      <c r="W34" s="17"/>
      <c r="X34" s="17"/>
      <c r="Y34" s="17"/>
    </row>
    <row r="35" spans="1:25" x14ac:dyDescent="0.3">
      <c r="A35" s="29" t="s">
        <v>199</v>
      </c>
      <c r="B35" s="29" t="s">
        <v>165</v>
      </c>
      <c r="C35" s="16" t="s">
        <v>196</v>
      </c>
      <c r="D35" s="17">
        <v>33023</v>
      </c>
      <c r="F35">
        <v>3</v>
      </c>
      <c r="G35" t="s">
        <v>197</v>
      </c>
      <c r="H35" t="s">
        <v>198</v>
      </c>
      <c r="J35">
        <v>0</v>
      </c>
      <c r="K35">
        <v>14</v>
      </c>
      <c r="L35" s="15" t="s">
        <v>506</v>
      </c>
      <c r="M35" s="15" t="s">
        <v>507</v>
      </c>
      <c r="N35" s="16" t="s">
        <v>196</v>
      </c>
      <c r="O35" s="17">
        <f>VLOOKUP(K35,גליון1!$A$11:$L$323,11,FALSE)</f>
        <v>11821</v>
      </c>
      <c r="P35" s="17">
        <f>VLOOKUP(K35,גליון1!$A$11:$L$323,12,FALSE)</f>
        <v>0</v>
      </c>
      <c r="Q35" s="17">
        <f>VLOOKUP(K35,'השוואה חודשית 11.25 מול 10.25'!$A$4:$D$330,4,FALSE)</f>
        <v>0</v>
      </c>
      <c r="R35" s="17">
        <v>0</v>
      </c>
      <c r="S35" s="17">
        <v>0</v>
      </c>
      <c r="T35" s="17"/>
      <c r="U35" s="17">
        <v>0</v>
      </c>
      <c r="V35" s="17"/>
      <c r="W35" s="17"/>
      <c r="X35" s="17"/>
      <c r="Y35" s="17"/>
    </row>
    <row r="36" spans="1:25" x14ac:dyDescent="0.3">
      <c r="A36" s="29" t="s">
        <v>200</v>
      </c>
      <c r="B36" s="29" t="s">
        <v>201</v>
      </c>
      <c r="C36" s="16" t="s">
        <v>196</v>
      </c>
      <c r="D36" s="17">
        <v>24584</v>
      </c>
      <c r="F36">
        <v>7</v>
      </c>
      <c r="G36" t="s">
        <v>199</v>
      </c>
      <c r="H36" t="s">
        <v>165</v>
      </c>
      <c r="J36">
        <v>232</v>
      </c>
      <c r="K36" s="15">
        <v>23</v>
      </c>
      <c r="L36" s="15" t="s">
        <v>238</v>
      </c>
      <c r="M36" s="15" t="s">
        <v>239</v>
      </c>
      <c r="N36" s="16" t="s">
        <v>196</v>
      </c>
      <c r="O36" s="17">
        <f>VLOOKUP(K36,גליון1!$A$11:$L$323,11,FALSE)</f>
        <v>21276</v>
      </c>
      <c r="P36" s="17">
        <f>VLOOKUP(K36,גליון1!$A$11:$L$323,12,FALSE)</f>
        <v>20013</v>
      </c>
      <c r="Q36" s="17">
        <f>VLOOKUP(K36,'השוואה חודשית 11.25 מול 10.25'!$A$4:$D$330,4,FALSE)</f>
        <v>26440</v>
      </c>
      <c r="R36" s="17">
        <v>20211</v>
      </c>
      <c r="S36" s="17">
        <v>28145</v>
      </c>
      <c r="T36" s="17">
        <v>6956.059510000001</v>
      </c>
      <c r="U36" s="17">
        <v>21188.940490000001</v>
      </c>
      <c r="V36" s="16">
        <v>24697.69</v>
      </c>
      <c r="W36" s="16">
        <f>VLOOKUP(J36,'[7]02.26 מעודכן'!$B$2:$N$144,13,FALSE)</f>
        <v>22673</v>
      </c>
      <c r="X36" s="16">
        <v>19734.32</v>
      </c>
      <c r="Y36" s="16">
        <v>24759.439999999999</v>
      </c>
    </row>
    <row r="37" spans="1:25" x14ac:dyDescent="0.3">
      <c r="A37" s="29" t="s">
        <v>202</v>
      </c>
      <c r="B37" s="29" t="s">
        <v>203</v>
      </c>
      <c r="C37" s="16" t="s">
        <v>196</v>
      </c>
      <c r="D37" s="17">
        <v>67080</v>
      </c>
      <c r="F37">
        <v>16</v>
      </c>
      <c r="G37" t="s">
        <v>200</v>
      </c>
      <c r="H37" t="s">
        <v>201</v>
      </c>
      <c r="J37">
        <v>281</v>
      </c>
      <c r="K37" s="15">
        <v>28</v>
      </c>
      <c r="L37" s="15" t="s">
        <v>114</v>
      </c>
      <c r="M37" s="15" t="s">
        <v>240</v>
      </c>
      <c r="N37" s="16" t="s">
        <v>196</v>
      </c>
      <c r="O37" s="17">
        <f>VLOOKUP(K37,גליון1!$A$11:$L$323,11,FALSE)</f>
        <v>24100</v>
      </c>
      <c r="P37" s="17">
        <f>VLOOKUP(K37,גליון1!$A$11:$L$323,12,FALSE)</f>
        <v>20046</v>
      </c>
      <c r="Q37" s="17">
        <f>VLOOKUP(K37,'השוואה חודשית 11.25 מול 10.25'!$A$4:$D$330,4,FALSE)</f>
        <v>24007</v>
      </c>
      <c r="R37" s="17">
        <v>19481</v>
      </c>
      <c r="S37" s="17">
        <v>19998</v>
      </c>
      <c r="T37" s="17"/>
      <c r="U37" s="17">
        <v>19998</v>
      </c>
      <c r="V37" s="16">
        <v>23092.95</v>
      </c>
      <c r="W37" s="16">
        <f>VLOOKUP(J37,'[7]02.26 מעודכן'!$B$2:$N$144,13,FALSE)</f>
        <v>17562.419999999998</v>
      </c>
      <c r="X37" s="16">
        <v>18558.45</v>
      </c>
      <c r="Y37" s="16">
        <v>20139.95</v>
      </c>
    </row>
    <row r="38" spans="1:25" x14ac:dyDescent="0.3">
      <c r="A38" s="29" t="s">
        <v>204</v>
      </c>
      <c r="B38" s="29" t="s">
        <v>205</v>
      </c>
      <c r="C38" s="16" t="s">
        <v>196</v>
      </c>
      <c r="D38" s="17">
        <v>18443</v>
      </c>
      <c r="F38">
        <v>20</v>
      </c>
      <c r="G38" t="s">
        <v>202</v>
      </c>
      <c r="H38" t="s">
        <v>203</v>
      </c>
      <c r="J38">
        <v>331</v>
      </c>
      <c r="K38" s="15">
        <v>33</v>
      </c>
      <c r="L38" s="15" t="s">
        <v>241</v>
      </c>
      <c r="M38" s="15" t="s">
        <v>242</v>
      </c>
      <c r="N38" s="16" t="s">
        <v>196</v>
      </c>
      <c r="O38" s="17">
        <f>VLOOKUP(K38,גליון1!$A$11:$L$323,11,FALSE)</f>
        <v>8627</v>
      </c>
      <c r="P38" s="17">
        <f>VLOOKUP(K38,גליון1!$A$11:$L$323,12,FALSE)</f>
        <v>7715</v>
      </c>
      <c r="Q38" s="17">
        <f>VLOOKUP(K38,'השוואה חודשית 11.25 מול 10.25'!$A$4:$D$330,4,FALSE)</f>
        <v>10245</v>
      </c>
      <c r="R38" s="17">
        <v>6520</v>
      </c>
      <c r="S38" s="17">
        <v>7289</v>
      </c>
      <c r="T38" s="17">
        <v>1738.1773900000003</v>
      </c>
      <c r="U38" s="17">
        <v>5550.8226099999993</v>
      </c>
      <c r="V38" s="16">
        <v>3174.21</v>
      </c>
      <c r="W38" s="16">
        <f>VLOOKUP(J38,'[7]02.26 מעודכן'!$B$2:$N$144,13,FALSE)</f>
        <v>3703.8</v>
      </c>
      <c r="X38" s="16">
        <v>10022.700000000001</v>
      </c>
      <c r="Y38" s="16">
        <v>1815.91</v>
      </c>
    </row>
    <row r="39" spans="1:25" x14ac:dyDescent="0.3">
      <c r="A39" s="29" t="s">
        <v>206</v>
      </c>
      <c r="B39" s="29" t="s">
        <v>207</v>
      </c>
      <c r="C39" s="16" t="s">
        <v>196</v>
      </c>
      <c r="D39" s="17">
        <v>20427</v>
      </c>
      <c r="F39">
        <v>24</v>
      </c>
      <c r="G39" t="s">
        <v>407</v>
      </c>
      <c r="H39" t="s">
        <v>408</v>
      </c>
      <c r="J39">
        <v>0</v>
      </c>
      <c r="K39" s="15">
        <v>34</v>
      </c>
      <c r="L39" s="15" t="s">
        <v>236</v>
      </c>
      <c r="M39" s="15" t="s">
        <v>508</v>
      </c>
      <c r="N39" s="15" t="e">
        <f>VLOOKUP(L39,$A$3:$C$126,3,FALSE)</f>
        <v>#N/A</v>
      </c>
      <c r="O39" s="17">
        <f>VLOOKUP(K39,גליון1!$A$11:$L$323,11,FALSE)</f>
        <v>0</v>
      </c>
      <c r="P39" s="17">
        <f>VLOOKUP(K39,גליון1!$A$11:$L$323,12,FALSE)</f>
        <v>0</v>
      </c>
      <c r="Q39" s="17">
        <f>VLOOKUP(K39,'השוואה חודשית 11.25 מול 10.25'!$A$4:$D$330,4,FALSE)</f>
        <v>0</v>
      </c>
      <c r="R39" s="17">
        <v>0</v>
      </c>
      <c r="S39" s="17">
        <v>0</v>
      </c>
      <c r="T39" s="17"/>
      <c r="U39" s="17">
        <v>0</v>
      </c>
      <c r="V39" s="17"/>
      <c r="W39" s="17"/>
      <c r="X39" s="17"/>
      <c r="Y39" s="17"/>
    </row>
    <row r="40" spans="1:25" x14ac:dyDescent="0.3">
      <c r="A40" s="29" t="s">
        <v>208</v>
      </c>
      <c r="B40" s="29" t="s">
        <v>209</v>
      </c>
      <c r="C40" s="16" t="s">
        <v>196</v>
      </c>
      <c r="D40" s="17">
        <v>13952</v>
      </c>
      <c r="F40">
        <v>30</v>
      </c>
      <c r="G40" t="s">
        <v>409</v>
      </c>
      <c r="H40" t="s">
        <v>205</v>
      </c>
      <c r="J40">
        <v>364</v>
      </c>
      <c r="K40" s="15">
        <v>36</v>
      </c>
      <c r="L40" s="15" t="s">
        <v>243</v>
      </c>
      <c r="M40" s="15" t="s">
        <v>87</v>
      </c>
      <c r="N40" s="16" t="s">
        <v>196</v>
      </c>
      <c r="O40" s="17">
        <f>VLOOKUP(K40,גליון1!$A$11:$L$323,11,FALSE)</f>
        <v>6863</v>
      </c>
      <c r="P40" s="17">
        <f>VLOOKUP(K40,גליון1!$A$11:$L$323,12,FALSE)</f>
        <v>7930</v>
      </c>
      <c r="Q40" s="17">
        <f>VLOOKUP(K40,'השוואה חודשית 11.25 מול 10.25'!$A$4:$D$330,4,FALSE)</f>
        <v>10964</v>
      </c>
      <c r="R40" s="17">
        <v>7887</v>
      </c>
      <c r="S40" s="17">
        <v>8395</v>
      </c>
      <c r="T40" s="17">
        <v>909.26289999999995</v>
      </c>
      <c r="U40" s="17">
        <v>7485.7371000000003</v>
      </c>
      <c r="V40" s="16">
        <v>7925.51</v>
      </c>
      <c r="W40" s="16">
        <f>VLOOKUP(J40,'[7]02.26 מעודכן'!$B$2:$N$144,13,FALSE)</f>
        <v>7677.62</v>
      </c>
      <c r="X40" s="16">
        <v>14.63</v>
      </c>
      <c r="Y40" s="16">
        <v>1764.09</v>
      </c>
    </row>
    <row r="41" spans="1:25" x14ac:dyDescent="0.3">
      <c r="A41" s="29" t="s">
        <v>210</v>
      </c>
      <c r="B41" s="29" t="s">
        <v>211</v>
      </c>
      <c r="C41" s="16" t="s">
        <v>196</v>
      </c>
      <c r="D41" s="17">
        <v>59187</v>
      </c>
      <c r="F41">
        <v>38</v>
      </c>
      <c r="G41" t="s">
        <v>179</v>
      </c>
      <c r="H41" t="s">
        <v>283</v>
      </c>
      <c r="J41">
        <v>398</v>
      </c>
      <c r="K41" s="15">
        <v>39</v>
      </c>
      <c r="L41" s="15" t="s">
        <v>244</v>
      </c>
      <c r="M41" s="15" t="s">
        <v>245</v>
      </c>
      <c r="N41" s="16" t="s">
        <v>196</v>
      </c>
      <c r="O41" s="17">
        <f>VLOOKUP(K41,גליון1!$A$11:$L$323,11,FALSE)</f>
        <v>8218</v>
      </c>
      <c r="P41" s="17">
        <f>VLOOKUP(K41,גליון1!$A$11:$L$323,12,FALSE)</f>
        <v>9975</v>
      </c>
      <c r="Q41" s="17">
        <f>VLOOKUP(K41,'השוואה חודשית 11.25 מול 10.25'!$A$4:$D$330,4,FALSE)</f>
        <v>21394</v>
      </c>
      <c r="R41" s="17">
        <v>10385</v>
      </c>
      <c r="S41" s="17">
        <v>22118</v>
      </c>
      <c r="T41" s="17">
        <v>3630.6758099999997</v>
      </c>
      <c r="U41" s="17">
        <v>18487.324189999999</v>
      </c>
      <c r="V41" s="16">
        <v>18895.13</v>
      </c>
      <c r="W41" s="16">
        <f>VLOOKUP(J41,'[7]02.26 מעודכן'!$B$2:$N$144,13,FALSE)</f>
        <v>18468.55</v>
      </c>
      <c r="X41" s="16">
        <v>18776.689999999999</v>
      </c>
      <c r="Y41" s="16">
        <v>19754.75</v>
      </c>
    </row>
    <row r="42" spans="1:25" x14ac:dyDescent="0.3">
      <c r="A42" s="29" t="s">
        <v>212</v>
      </c>
      <c r="B42" s="29" t="s">
        <v>213</v>
      </c>
      <c r="C42" s="16" t="s">
        <v>196</v>
      </c>
      <c r="D42" s="17">
        <v>18964</v>
      </c>
      <c r="F42">
        <v>49</v>
      </c>
      <c r="G42" t="s">
        <v>206</v>
      </c>
      <c r="H42" t="s">
        <v>207</v>
      </c>
      <c r="J42">
        <v>430</v>
      </c>
      <c r="K42" s="15">
        <v>43</v>
      </c>
      <c r="L42" s="15" t="s">
        <v>246</v>
      </c>
      <c r="M42" s="15" t="s">
        <v>247</v>
      </c>
      <c r="N42" s="16" t="s">
        <v>196</v>
      </c>
      <c r="O42" s="17">
        <f>VLOOKUP(K42,גליון1!$A$11:$L$323,11,FALSE)</f>
        <v>8031</v>
      </c>
      <c r="P42" s="17">
        <f>VLOOKUP(K42,גליון1!$A$11:$L$323,12,FALSE)</f>
        <v>14254</v>
      </c>
      <c r="Q42" s="17">
        <f>VLOOKUP(K42,'השוואה חודשית 11.25 מול 10.25'!$A$4:$D$330,4,FALSE)</f>
        <v>28453</v>
      </c>
      <c r="R42" s="17">
        <v>9840</v>
      </c>
      <c r="S42" s="17">
        <v>4439</v>
      </c>
      <c r="T42" s="17">
        <v>334.995</v>
      </c>
      <c r="U42" s="17">
        <v>4104.0050000000001</v>
      </c>
      <c r="V42" s="16">
        <v>3133.99</v>
      </c>
      <c r="W42" s="16">
        <f>VLOOKUP(J42,'[7]02.26 מעודכן'!$B$2:$N$144,13,FALSE)</f>
        <v>2104.2199999999998</v>
      </c>
      <c r="X42" s="16">
        <v>3163.74</v>
      </c>
      <c r="Y42" s="16">
        <v>22457.05</v>
      </c>
    </row>
    <row r="43" spans="1:25" x14ac:dyDescent="0.3">
      <c r="A43" s="29" t="s">
        <v>214</v>
      </c>
      <c r="B43" s="29" t="s">
        <v>215</v>
      </c>
      <c r="C43" s="16" t="s">
        <v>196</v>
      </c>
      <c r="D43" s="17">
        <v>10041</v>
      </c>
      <c r="F43">
        <v>52</v>
      </c>
      <c r="G43" t="s">
        <v>208</v>
      </c>
      <c r="H43" t="s">
        <v>209</v>
      </c>
      <c r="J43">
        <v>489</v>
      </c>
      <c r="K43" s="15">
        <v>48</v>
      </c>
      <c r="L43" s="15" t="s">
        <v>248</v>
      </c>
      <c r="M43" s="15" t="s">
        <v>249</v>
      </c>
      <c r="N43" s="16" t="s">
        <v>196</v>
      </c>
      <c r="O43" s="17">
        <f>VLOOKUP(K43,גליון1!$A$11:$L$323,11,FALSE)</f>
        <v>11284</v>
      </c>
      <c r="P43" s="17">
        <f>VLOOKUP(K43,גליון1!$A$11:$L$323,12,FALSE)</f>
        <v>12843</v>
      </c>
      <c r="Q43" s="17">
        <f>VLOOKUP(K43,'השוואה חודשית 11.25 מול 10.25'!$A$4:$D$330,4,FALSE)</f>
        <v>16153</v>
      </c>
      <c r="R43" s="17">
        <v>12562</v>
      </c>
      <c r="S43" s="17">
        <v>12645</v>
      </c>
      <c r="T43" s="17">
        <v>747.58320000000003</v>
      </c>
      <c r="U43" s="17">
        <v>11897.416799999999</v>
      </c>
      <c r="V43" s="16">
        <v>9762.99</v>
      </c>
      <c r="W43" s="16">
        <f>VLOOKUP(J43,'[7]02.26 מעודכן'!$B$2:$N$144,13,FALSE)</f>
        <v>9081.98</v>
      </c>
      <c r="X43" s="16">
        <v>9706.5</v>
      </c>
      <c r="Y43" s="16">
        <v>13886.9</v>
      </c>
    </row>
    <row r="44" spans="1:25" x14ac:dyDescent="0.3">
      <c r="A44" s="29" t="s">
        <v>216</v>
      </c>
      <c r="B44" s="29" t="s">
        <v>188</v>
      </c>
      <c r="C44" s="16" t="s">
        <v>196</v>
      </c>
      <c r="D44" s="17">
        <v>19232</v>
      </c>
      <c r="F44">
        <v>56</v>
      </c>
      <c r="G44" t="s">
        <v>345</v>
      </c>
      <c r="H44" t="s">
        <v>410</v>
      </c>
      <c r="J44">
        <v>604</v>
      </c>
      <c r="K44" s="15">
        <v>60</v>
      </c>
      <c r="L44" s="15" t="s">
        <v>250</v>
      </c>
      <c r="M44" s="15" t="s">
        <v>251</v>
      </c>
      <c r="N44" s="16" t="s">
        <v>196</v>
      </c>
      <c r="O44" s="17">
        <f>VLOOKUP(K44,גליון1!$A$11:$L$323,11,FALSE)</f>
        <v>15415</v>
      </c>
      <c r="P44" s="17">
        <f>VLOOKUP(K44,גליון1!$A$11:$L$323,12,FALSE)</f>
        <v>13709</v>
      </c>
      <c r="Q44" s="17">
        <f>VLOOKUP(K44,'השוואה חודשית 11.25 מול 10.25'!$A$4:$D$330,4,FALSE)</f>
        <v>19728</v>
      </c>
      <c r="R44" s="17">
        <v>9129</v>
      </c>
      <c r="S44" s="17">
        <v>14524</v>
      </c>
      <c r="T44" s="17"/>
      <c r="U44" s="17">
        <v>14524</v>
      </c>
      <c r="V44" s="16">
        <v>10906.64</v>
      </c>
      <c r="W44" s="16">
        <f>VLOOKUP(J44,'[7]02.26 מעודכן'!$B$2:$N$144,13,FALSE)</f>
        <v>11249.65</v>
      </c>
      <c r="X44" s="16">
        <v>7401.12</v>
      </c>
      <c r="Y44" s="16">
        <v>8643.1</v>
      </c>
    </row>
    <row r="45" spans="1:25" x14ac:dyDescent="0.3">
      <c r="A45" s="29" t="s">
        <v>217</v>
      </c>
      <c r="B45" s="29" t="s">
        <v>218</v>
      </c>
      <c r="C45" s="16" t="s">
        <v>196</v>
      </c>
      <c r="D45" s="17">
        <v>24749</v>
      </c>
      <c r="F45">
        <v>58</v>
      </c>
      <c r="G45" t="s">
        <v>411</v>
      </c>
      <c r="H45" t="s">
        <v>412</v>
      </c>
      <c r="J45">
        <v>638</v>
      </c>
      <c r="K45" s="15">
        <v>63</v>
      </c>
      <c r="L45" s="15" t="s">
        <v>252</v>
      </c>
      <c r="M45" s="15" t="s">
        <v>251</v>
      </c>
      <c r="N45" s="16" t="s">
        <v>196</v>
      </c>
      <c r="O45" s="17">
        <f>VLOOKUP(K45,גליון1!$A$11:$L$323,11,FALSE)</f>
        <v>18401</v>
      </c>
      <c r="P45" s="17">
        <f>VLOOKUP(K45,גליון1!$A$11:$L$323,12,FALSE)</f>
        <v>17836</v>
      </c>
      <c r="Q45" s="17">
        <f>VLOOKUP(K45,'השוואה חודשית 11.25 מול 10.25'!$A$4:$D$330,4,FALSE)</f>
        <v>18953</v>
      </c>
      <c r="R45" s="17">
        <v>18144</v>
      </c>
      <c r="S45" s="17">
        <v>19006</v>
      </c>
      <c r="T45" s="17">
        <v>2009.97</v>
      </c>
      <c r="U45" s="17">
        <v>16996.03</v>
      </c>
      <c r="V45" s="16">
        <v>14388.98</v>
      </c>
      <c r="W45" s="16">
        <f>VLOOKUP(J45,'[7]02.26 מעודכן'!$B$2:$N$144,13,FALSE)</f>
        <v>17449.5</v>
      </c>
      <c r="X45" s="16">
        <v>18423.72</v>
      </c>
      <c r="Y45" s="16">
        <v>19155.189999999999</v>
      </c>
    </row>
    <row r="46" spans="1:25" x14ac:dyDescent="0.3">
      <c r="A46" s="29" t="s">
        <v>219</v>
      </c>
      <c r="B46" s="29" t="s">
        <v>220</v>
      </c>
      <c r="C46" s="16" t="s">
        <v>196</v>
      </c>
      <c r="D46" s="17">
        <v>12624</v>
      </c>
      <c r="F46">
        <v>59</v>
      </c>
      <c r="G46" t="s">
        <v>210</v>
      </c>
      <c r="H46" t="s">
        <v>211</v>
      </c>
      <c r="J46">
        <v>687</v>
      </c>
      <c r="K46" s="15">
        <v>68</v>
      </c>
      <c r="L46" s="15" t="s">
        <v>253</v>
      </c>
      <c r="M46" s="15" t="s">
        <v>254</v>
      </c>
      <c r="N46" s="16" t="s">
        <v>196</v>
      </c>
      <c r="O46" s="17">
        <f>VLOOKUP(K46,גליון1!$A$11:$L$323,11,FALSE)</f>
        <v>14955</v>
      </c>
      <c r="P46" s="17">
        <f>VLOOKUP(K46,גליון1!$A$11:$L$323,12,FALSE)</f>
        <v>13289</v>
      </c>
      <c r="Q46" s="17">
        <f>VLOOKUP(K46,'השוואה חודשית 11.25 מול 10.25'!$A$4:$D$330,4,FALSE)</f>
        <v>18496</v>
      </c>
      <c r="R46" s="17">
        <v>14909</v>
      </c>
      <c r="S46" s="17">
        <v>16779</v>
      </c>
      <c r="T46" s="17"/>
      <c r="U46" s="17">
        <v>16779</v>
      </c>
      <c r="V46" s="16">
        <v>17953.349999999999</v>
      </c>
      <c r="W46" s="16">
        <f>VLOOKUP(J46,'[7]02.26 מעודכן'!$B$2:$N$144,13,FALSE)</f>
        <v>18766.78</v>
      </c>
      <c r="X46" s="16">
        <v>18297.88</v>
      </c>
      <c r="Y46" s="16">
        <v>20241.47</v>
      </c>
    </row>
    <row r="47" spans="1:25" x14ac:dyDescent="0.3">
      <c r="A47" s="29" t="s">
        <v>221</v>
      </c>
      <c r="B47" s="29" t="s">
        <v>222</v>
      </c>
      <c r="C47" s="16" t="s">
        <v>196</v>
      </c>
      <c r="D47" s="17">
        <v>38724</v>
      </c>
      <c r="F47">
        <v>66</v>
      </c>
      <c r="G47" t="s">
        <v>413</v>
      </c>
      <c r="H47" t="s">
        <v>165</v>
      </c>
      <c r="J47">
        <v>729</v>
      </c>
      <c r="K47" s="15">
        <v>72</v>
      </c>
      <c r="L47" s="15" t="s">
        <v>255</v>
      </c>
      <c r="M47" s="15" t="s">
        <v>215</v>
      </c>
      <c r="N47" s="16" t="s">
        <v>196</v>
      </c>
      <c r="O47" s="17">
        <f>VLOOKUP(K47,גליון1!$A$11:$L$323,11,FALSE)</f>
        <v>6448</v>
      </c>
      <c r="P47" s="17">
        <f>VLOOKUP(K47,גליון1!$A$11:$L$323,12,FALSE)</f>
        <v>11778</v>
      </c>
      <c r="Q47" s="17">
        <f>VLOOKUP(K47,'השוואה חודשית 11.25 מול 10.25'!$A$4:$D$330,4,FALSE)</f>
        <v>11938</v>
      </c>
      <c r="R47" s="17">
        <v>3138</v>
      </c>
      <c r="S47" s="17">
        <v>6531</v>
      </c>
      <c r="T47" s="17"/>
      <c r="U47" s="17">
        <v>6531</v>
      </c>
      <c r="V47" s="16">
        <v>12144.91</v>
      </c>
      <c r="W47" s="16">
        <f>VLOOKUP(J47,'[7]02.26 מעודכן'!$B$2:$N$144,13,FALSE)</f>
        <v>9942.0400000000009</v>
      </c>
      <c r="X47" s="16">
        <v>8910.7099999999991</v>
      </c>
      <c r="Y47" s="16">
        <v>11043.29</v>
      </c>
    </row>
    <row r="48" spans="1:25" x14ac:dyDescent="0.3">
      <c r="A48" s="29" t="s">
        <v>223</v>
      </c>
      <c r="B48" s="29" t="s">
        <v>224</v>
      </c>
      <c r="C48" s="16" t="s">
        <v>196</v>
      </c>
      <c r="D48" s="17">
        <v>26342</v>
      </c>
      <c r="F48">
        <v>78</v>
      </c>
      <c r="G48" t="s">
        <v>212</v>
      </c>
      <c r="H48" t="s">
        <v>213</v>
      </c>
      <c r="J48">
        <v>0</v>
      </c>
      <c r="K48" s="15">
        <v>73</v>
      </c>
      <c r="L48" s="15" t="s">
        <v>509</v>
      </c>
      <c r="M48" s="15" t="s">
        <v>283</v>
      </c>
      <c r="N48" s="16" t="s">
        <v>196</v>
      </c>
      <c r="O48" s="17">
        <f>VLOOKUP(K48,גליון1!$A$11:$L$323,11,FALSE)</f>
        <v>7443</v>
      </c>
      <c r="P48" s="17">
        <f>VLOOKUP(K48,גליון1!$A$11:$L$323,12,FALSE)</f>
        <v>6676</v>
      </c>
      <c r="Q48" s="17">
        <f>VLOOKUP(K48,'השוואה חודשית 11.25 מול 10.25'!$A$4:$D$330,4,FALSE)</f>
        <v>8150</v>
      </c>
      <c r="R48" s="17">
        <v>0</v>
      </c>
      <c r="S48" s="17">
        <v>0</v>
      </c>
      <c r="T48" s="17"/>
      <c r="U48" s="17">
        <v>0</v>
      </c>
      <c r="V48" s="17"/>
      <c r="W48" s="17"/>
      <c r="X48" s="17"/>
      <c r="Y48" s="17"/>
    </row>
    <row r="49" spans="1:25" x14ac:dyDescent="0.3">
      <c r="A49" s="29" t="s">
        <v>225</v>
      </c>
      <c r="B49" s="29" t="s">
        <v>226</v>
      </c>
      <c r="C49" s="16" t="s">
        <v>196</v>
      </c>
      <c r="D49" s="17">
        <v>22624</v>
      </c>
      <c r="F49">
        <v>81</v>
      </c>
      <c r="G49" t="s">
        <v>214</v>
      </c>
      <c r="H49" t="s">
        <v>215</v>
      </c>
      <c r="J49">
        <v>760</v>
      </c>
      <c r="K49" s="15">
        <v>76</v>
      </c>
      <c r="L49" s="15" t="s">
        <v>256</v>
      </c>
      <c r="M49" s="15" t="s">
        <v>257</v>
      </c>
      <c r="N49" s="16" t="s">
        <v>196</v>
      </c>
      <c r="O49" s="17">
        <f>VLOOKUP(K49,גליון1!$A$11:$L$323,11,FALSE)</f>
        <v>8006</v>
      </c>
      <c r="P49" s="17">
        <f>VLOOKUP(K49,גליון1!$A$11:$L$323,12,FALSE)</f>
        <v>5467</v>
      </c>
      <c r="Q49" s="17">
        <f>VLOOKUP(K49,'השוואה חודשית 11.25 מול 10.25'!$A$4:$D$330,4,FALSE)</f>
        <v>10829</v>
      </c>
      <c r="R49" s="17">
        <v>5656</v>
      </c>
      <c r="S49" s="17">
        <v>6000</v>
      </c>
      <c r="T49" s="17"/>
      <c r="U49" s="17">
        <v>6000</v>
      </c>
      <c r="V49" s="16">
        <v>7857.42</v>
      </c>
      <c r="W49" s="16">
        <f>VLOOKUP(J49,'[7]02.26 מעודכן'!$B$2:$N$144,13,FALSE)</f>
        <v>5725.24</v>
      </c>
      <c r="X49" s="16">
        <v>6191.35</v>
      </c>
      <c r="Y49" s="16">
        <v>8621.43</v>
      </c>
    </row>
    <row r="50" spans="1:25" x14ac:dyDescent="0.3">
      <c r="A50" s="29" t="s">
        <v>227</v>
      </c>
      <c r="B50" s="29" t="s">
        <v>228</v>
      </c>
      <c r="C50" s="16" t="s">
        <v>196</v>
      </c>
      <c r="D50" s="17">
        <v>10364</v>
      </c>
      <c r="F50">
        <v>82</v>
      </c>
      <c r="G50" t="s">
        <v>414</v>
      </c>
      <c r="H50" t="s">
        <v>291</v>
      </c>
      <c r="J50">
        <v>778</v>
      </c>
      <c r="K50" s="15">
        <v>77</v>
      </c>
      <c r="L50" s="15" t="s">
        <v>258</v>
      </c>
      <c r="M50" s="15" t="s">
        <v>259</v>
      </c>
      <c r="N50" s="16" t="s">
        <v>196</v>
      </c>
      <c r="O50" s="17">
        <f>VLOOKUP(K50,גליון1!$A$11:$L$323,11,FALSE)</f>
        <v>23440</v>
      </c>
      <c r="P50" s="17">
        <f>VLOOKUP(K50,גליון1!$A$11:$L$323,12,FALSE)</f>
        <v>20821</v>
      </c>
      <c r="Q50" s="17">
        <f>VLOOKUP(K50,'השוואה חודשית 11.25 מול 10.25'!$A$4:$D$330,4,FALSE)</f>
        <v>23926</v>
      </c>
      <c r="R50" s="17">
        <v>22486</v>
      </c>
      <c r="S50" s="17">
        <v>26625</v>
      </c>
      <c r="T50" s="17">
        <v>3559.92</v>
      </c>
      <c r="U50" s="17">
        <v>23065.08</v>
      </c>
      <c r="V50" s="16">
        <v>17857.36</v>
      </c>
      <c r="W50" s="16">
        <f>VLOOKUP(J50,'[7]02.26 מעודכן'!$B$2:$N$144,13,FALSE)</f>
        <v>21306.65</v>
      </c>
      <c r="X50" s="16">
        <v>19693.13</v>
      </c>
      <c r="Y50" s="16">
        <v>22211.32</v>
      </c>
    </row>
    <row r="51" spans="1:25" x14ac:dyDescent="0.3">
      <c r="A51" s="29" t="s">
        <v>229</v>
      </c>
      <c r="B51" s="29" t="s">
        <v>89</v>
      </c>
      <c r="C51" s="16" t="s">
        <v>196</v>
      </c>
      <c r="D51" s="17">
        <v>9477</v>
      </c>
      <c r="F51">
        <v>83</v>
      </c>
      <c r="G51" t="s">
        <v>216</v>
      </c>
      <c r="H51" t="s">
        <v>188</v>
      </c>
      <c r="J51">
        <v>794</v>
      </c>
      <c r="K51" s="15">
        <v>79</v>
      </c>
      <c r="L51" s="15" t="s">
        <v>260</v>
      </c>
      <c r="M51" s="15" t="s">
        <v>87</v>
      </c>
      <c r="N51" s="16" t="s">
        <v>196</v>
      </c>
      <c r="O51" s="17">
        <f>VLOOKUP(K51,גליון1!$A$11:$L$323,11,FALSE)</f>
        <v>11840</v>
      </c>
      <c r="P51" s="17">
        <f>VLOOKUP(K51,גליון1!$A$11:$L$323,12,FALSE)</f>
        <v>12530</v>
      </c>
      <c r="Q51" s="17">
        <f>VLOOKUP(K51,'השוואה חודשית 11.25 מול 10.25'!$A$4:$D$330,4,FALSE)</f>
        <v>15043</v>
      </c>
      <c r="R51" s="17">
        <v>11732</v>
      </c>
      <c r="S51" s="17">
        <v>11049</v>
      </c>
      <c r="T51" s="17"/>
      <c r="U51" s="17">
        <v>11049</v>
      </c>
      <c r="V51" s="16">
        <v>11145.18</v>
      </c>
      <c r="W51" s="16">
        <f>VLOOKUP(J51,'[7]02.26 מעודכן'!$B$2:$N$144,13,FALSE)</f>
        <v>9089.31</v>
      </c>
      <c r="X51" s="16">
        <v>11519.16</v>
      </c>
      <c r="Y51" s="16">
        <v>12378.99</v>
      </c>
    </row>
    <row r="52" spans="1:25" x14ac:dyDescent="0.3">
      <c r="A52" s="15" t="s">
        <v>230</v>
      </c>
      <c r="B52" s="15" t="s">
        <v>231</v>
      </c>
      <c r="C52" s="16" t="s">
        <v>196</v>
      </c>
      <c r="D52" s="17">
        <v>12785</v>
      </c>
      <c r="F52">
        <v>90</v>
      </c>
      <c r="G52" t="s">
        <v>217</v>
      </c>
      <c r="H52" t="s">
        <v>218</v>
      </c>
      <c r="J52">
        <v>802</v>
      </c>
      <c r="K52" s="15">
        <v>80</v>
      </c>
      <c r="L52" s="15" t="s">
        <v>510</v>
      </c>
      <c r="M52" s="15" t="s">
        <v>511</v>
      </c>
      <c r="N52" s="16" t="s">
        <v>196</v>
      </c>
      <c r="O52" s="17">
        <f>VLOOKUP(K52,גליון1!$A$11:$L$323,11,FALSE)</f>
        <v>2929</v>
      </c>
      <c r="P52" s="17">
        <f>VLOOKUP(K52,גליון1!$A$11:$L$323,12,FALSE)</f>
        <v>2322</v>
      </c>
      <c r="Q52" s="17">
        <f>VLOOKUP(K52,'השוואה חודשית 11.25 מול 10.25'!$A$4:$D$330,4,FALSE)</f>
        <v>5240</v>
      </c>
      <c r="R52" s="17">
        <v>1939</v>
      </c>
      <c r="S52" s="17">
        <v>0</v>
      </c>
      <c r="T52" s="17"/>
      <c r="U52" s="17">
        <v>0</v>
      </c>
      <c r="V52" s="17"/>
      <c r="W52" s="17">
        <f>VLOOKUP(J52,'[7]02.26 מעודכן'!$B$2:$N$144,13,FALSE)</f>
        <v>0</v>
      </c>
      <c r="X52" s="17">
        <v>0</v>
      </c>
      <c r="Y52" s="17">
        <v>0</v>
      </c>
    </row>
    <row r="53" spans="1:25" x14ac:dyDescent="0.3">
      <c r="A53" s="29" t="s">
        <v>230</v>
      </c>
      <c r="B53" s="29" t="s">
        <v>232</v>
      </c>
      <c r="C53" s="16" t="s">
        <v>196</v>
      </c>
      <c r="D53" s="17">
        <v>12592</v>
      </c>
      <c r="F53">
        <v>101</v>
      </c>
      <c r="G53" t="s">
        <v>415</v>
      </c>
      <c r="H53" t="s">
        <v>416</v>
      </c>
      <c r="J53">
        <v>0</v>
      </c>
      <c r="K53" s="15">
        <v>89</v>
      </c>
      <c r="L53" s="15" t="s">
        <v>512</v>
      </c>
      <c r="M53" s="15" t="s">
        <v>513</v>
      </c>
      <c r="N53" s="15" t="e">
        <f>VLOOKUP(L53,$A$3:$C$126,3,FALSE)</f>
        <v>#N/A</v>
      </c>
      <c r="O53" s="17">
        <f>VLOOKUP(K53,גליון1!$A$11:$L$323,11,FALSE)</f>
        <v>0</v>
      </c>
      <c r="P53" s="17">
        <f>VLOOKUP(K53,גליון1!$A$11:$L$323,12,FALSE)</f>
        <v>0</v>
      </c>
      <c r="Q53" s="17">
        <f>VLOOKUP(K53,'השוואה חודשית 11.25 מול 10.25'!$A$4:$D$330,4,FALSE)</f>
        <v>0</v>
      </c>
      <c r="R53" s="17">
        <v>0</v>
      </c>
      <c r="S53" s="17">
        <v>0</v>
      </c>
      <c r="T53" s="17"/>
      <c r="U53" s="17">
        <v>0</v>
      </c>
      <c r="V53" s="17"/>
      <c r="W53" s="17"/>
      <c r="X53" s="17"/>
      <c r="Y53" s="17"/>
    </row>
    <row r="54" spans="1:25" x14ac:dyDescent="0.3">
      <c r="A54" s="29" t="s">
        <v>233</v>
      </c>
      <c r="B54" s="29" t="s">
        <v>234</v>
      </c>
      <c r="C54" s="16" t="s">
        <v>196</v>
      </c>
      <c r="D54" s="17">
        <v>12656</v>
      </c>
      <c r="F54">
        <v>103</v>
      </c>
      <c r="G54" t="s">
        <v>417</v>
      </c>
      <c r="H54" t="s">
        <v>418</v>
      </c>
      <c r="J54">
        <v>919</v>
      </c>
      <c r="K54" s="15">
        <v>91</v>
      </c>
      <c r="L54" s="15" t="s">
        <v>114</v>
      </c>
      <c r="M54" s="15" t="s">
        <v>261</v>
      </c>
      <c r="N54" s="16" t="s">
        <v>196</v>
      </c>
      <c r="O54" s="17">
        <f>VLOOKUP(K54,גליון1!$A$11:$L$323,11,FALSE)</f>
        <v>14633</v>
      </c>
      <c r="P54" s="17">
        <f>VLOOKUP(K54,גליון1!$A$11:$L$323,12,FALSE)</f>
        <v>12671</v>
      </c>
      <c r="Q54" s="17">
        <f>VLOOKUP(K54,'השוואה חודשית 11.25 מול 10.25'!$A$4:$D$330,4,FALSE)</f>
        <v>20778</v>
      </c>
      <c r="R54" s="17">
        <v>14978</v>
      </c>
      <c r="S54" s="17">
        <v>16750</v>
      </c>
      <c r="T54" s="17"/>
      <c r="U54" s="17">
        <v>16750</v>
      </c>
      <c r="V54" s="16">
        <v>15007.18</v>
      </c>
      <c r="W54" s="16">
        <f>VLOOKUP(J54,'[7]02.26 מעודכן'!$B$2:$N$144,13,FALSE)</f>
        <v>14756.12</v>
      </c>
      <c r="X54" s="16">
        <v>19874.34</v>
      </c>
      <c r="Y54" s="16">
        <v>17299.05</v>
      </c>
    </row>
    <row r="55" spans="1:25" x14ac:dyDescent="0.3">
      <c r="A55" s="29" t="s">
        <v>235</v>
      </c>
      <c r="B55" s="29" t="s">
        <v>236</v>
      </c>
      <c r="C55" s="16" t="s">
        <v>196</v>
      </c>
      <c r="D55" s="17">
        <v>12559</v>
      </c>
      <c r="F55">
        <v>122</v>
      </c>
      <c r="G55" t="s">
        <v>419</v>
      </c>
      <c r="H55" t="s">
        <v>420</v>
      </c>
      <c r="J55">
        <v>927</v>
      </c>
      <c r="K55" s="15">
        <v>92</v>
      </c>
      <c r="L55" s="15" t="s">
        <v>262</v>
      </c>
      <c r="M55" s="15" t="s">
        <v>263</v>
      </c>
      <c r="N55" s="16" t="s">
        <v>196</v>
      </c>
      <c r="O55" s="17">
        <f>VLOOKUP(K55,גליון1!$A$11:$L$323,11,FALSE)</f>
        <v>4453</v>
      </c>
      <c r="P55" s="17">
        <f>VLOOKUP(K55,גליון1!$A$11:$L$323,12,FALSE)</f>
        <v>8643</v>
      </c>
      <c r="Q55" s="17">
        <f>VLOOKUP(K55,'השוואה חודשית 11.25 מול 10.25'!$A$4:$D$330,4,FALSE)</f>
        <v>8623</v>
      </c>
      <c r="R55" s="17">
        <v>7158</v>
      </c>
      <c r="S55" s="17">
        <v>5878</v>
      </c>
      <c r="T55" s="17"/>
      <c r="U55" s="17">
        <v>5878</v>
      </c>
      <c r="V55" s="16">
        <v>2625.75</v>
      </c>
      <c r="W55" s="16">
        <f>VLOOKUP(J55,'[7]02.26 מעודכן'!$B$2:$N$144,13,FALSE)</f>
        <v>538.04</v>
      </c>
      <c r="X55" s="16">
        <v>2121.14</v>
      </c>
      <c r="Y55" s="16">
        <v>10978.59</v>
      </c>
    </row>
    <row r="56" spans="1:25" x14ac:dyDescent="0.3">
      <c r="A56" s="29" t="s">
        <v>237</v>
      </c>
      <c r="B56" s="29" t="s">
        <v>213</v>
      </c>
      <c r="C56" s="16" t="s">
        <v>196</v>
      </c>
      <c r="D56" s="17">
        <v>12688</v>
      </c>
      <c r="F56">
        <v>126</v>
      </c>
      <c r="G56" t="s">
        <v>421</v>
      </c>
      <c r="H56" t="s">
        <v>222</v>
      </c>
      <c r="J56">
        <v>935</v>
      </c>
      <c r="K56" s="15">
        <v>93</v>
      </c>
      <c r="L56" s="15" t="s">
        <v>264</v>
      </c>
      <c r="M56" s="15" t="s">
        <v>207</v>
      </c>
      <c r="N56" s="16" t="s">
        <v>196</v>
      </c>
      <c r="O56" s="17">
        <f>VLOOKUP(K56,גליון1!$A$11:$L$323,11,FALSE)</f>
        <v>11696</v>
      </c>
      <c r="P56" s="17">
        <f>VLOOKUP(K56,גליון1!$A$11:$L$323,12,FALSE)</f>
        <v>12920</v>
      </c>
      <c r="Q56" s="17">
        <f>VLOOKUP(K56,'השוואה חודשית 11.25 מול 10.25'!$A$4:$D$330,4,FALSE)</f>
        <v>13754</v>
      </c>
      <c r="R56" s="17">
        <v>10831</v>
      </c>
      <c r="S56" s="17">
        <v>10169</v>
      </c>
      <c r="T56" s="17"/>
      <c r="U56" s="17">
        <v>10169</v>
      </c>
      <c r="V56" s="16">
        <v>10026.950000000001</v>
      </c>
      <c r="W56" s="16">
        <f>VLOOKUP(J56,'[7]02.26 מעודכן'!$B$2:$N$144,13,FALSE)</f>
        <v>10345.719999999999</v>
      </c>
      <c r="X56" s="16">
        <v>7119.23</v>
      </c>
      <c r="Y56" s="16">
        <v>10895.58</v>
      </c>
    </row>
    <row r="57" spans="1:25" x14ac:dyDescent="0.3">
      <c r="A57" s="15" t="s">
        <v>238</v>
      </c>
      <c r="B57" s="15" t="s">
        <v>239</v>
      </c>
      <c r="C57" s="16" t="s">
        <v>196</v>
      </c>
      <c r="D57" s="17">
        <v>28145</v>
      </c>
      <c r="F57">
        <v>127</v>
      </c>
      <c r="G57" t="s">
        <v>221</v>
      </c>
      <c r="H57" t="s">
        <v>222</v>
      </c>
      <c r="J57">
        <v>943</v>
      </c>
      <c r="K57" s="15">
        <v>94</v>
      </c>
      <c r="L57" s="15" t="s">
        <v>253</v>
      </c>
      <c r="M57" s="15" t="s">
        <v>265</v>
      </c>
      <c r="N57" s="16" t="s">
        <v>196</v>
      </c>
      <c r="O57" s="17">
        <f>VLOOKUP(K57,גליון1!$A$11:$L$323,11,FALSE)</f>
        <v>5068</v>
      </c>
      <c r="P57" s="17">
        <f>VLOOKUP(K57,גליון1!$A$11:$L$323,12,FALSE)</f>
        <v>5506</v>
      </c>
      <c r="Q57" s="17">
        <f>VLOOKUP(K57,'השוואה חודשית 11.25 מול 10.25'!$A$4:$D$330,4,FALSE)</f>
        <v>9963</v>
      </c>
      <c r="R57" s="17">
        <v>6621</v>
      </c>
      <c r="S57" s="17">
        <v>6714</v>
      </c>
      <c r="T57" s="17"/>
      <c r="U57" s="17">
        <v>6714</v>
      </c>
      <c r="V57" s="16">
        <v>8399.84</v>
      </c>
      <c r="W57" s="16">
        <f>VLOOKUP(J57,'[7]02.26 מעודכן'!$B$2:$N$144,13,FALSE)</f>
        <v>6365.3</v>
      </c>
      <c r="X57" s="16">
        <v>7306.37</v>
      </c>
      <c r="Y57" s="16">
        <v>12679.57</v>
      </c>
    </row>
    <row r="58" spans="1:25" x14ac:dyDescent="0.3">
      <c r="A58" s="15" t="s">
        <v>114</v>
      </c>
      <c r="B58" s="15" t="s">
        <v>240</v>
      </c>
      <c r="C58" s="16" t="s">
        <v>196</v>
      </c>
      <c r="D58" s="17">
        <v>19998</v>
      </c>
      <c r="F58">
        <v>130</v>
      </c>
      <c r="G58" t="s">
        <v>223</v>
      </c>
      <c r="H58" t="s">
        <v>224</v>
      </c>
      <c r="J58">
        <v>1008</v>
      </c>
      <c r="K58" s="15">
        <v>100</v>
      </c>
      <c r="L58" s="15" t="s">
        <v>223</v>
      </c>
      <c r="M58" s="15" t="s">
        <v>266</v>
      </c>
      <c r="N58" s="16" t="s">
        <v>196</v>
      </c>
      <c r="O58" s="17">
        <f>VLOOKUP(K58,גליון1!$A$11:$L$323,11,FALSE)</f>
        <v>4579</v>
      </c>
      <c r="P58" s="17">
        <f>VLOOKUP(K58,גליון1!$A$11:$L$323,12,FALSE)</f>
        <v>570</v>
      </c>
      <c r="Q58" s="17">
        <f>VLOOKUP(K58,'השוואה חודשית 11.25 מול 10.25'!$A$4:$D$330,4,FALSE)</f>
        <v>4935</v>
      </c>
      <c r="R58" s="17">
        <v>2635</v>
      </c>
      <c r="S58" s="17">
        <v>3285</v>
      </c>
      <c r="T58" s="17"/>
      <c r="U58" s="17">
        <v>3285</v>
      </c>
      <c r="V58" s="16">
        <v>2110.63</v>
      </c>
      <c r="W58" s="16">
        <f>VLOOKUP(J58,'[7]02.26 מעודכן'!$B$2:$N$144,13,FALSE)</f>
        <v>1537.53</v>
      </c>
      <c r="X58" s="16">
        <v>2649.15</v>
      </c>
      <c r="Y58" s="16">
        <v>4082.84</v>
      </c>
    </row>
    <row r="59" spans="1:25" x14ac:dyDescent="0.3">
      <c r="A59" s="15" t="s">
        <v>241</v>
      </c>
      <c r="B59" s="15" t="s">
        <v>242</v>
      </c>
      <c r="C59" s="16" t="s">
        <v>196</v>
      </c>
      <c r="D59" s="17">
        <v>7289</v>
      </c>
      <c r="F59">
        <v>136</v>
      </c>
      <c r="G59" t="s">
        <v>422</v>
      </c>
      <c r="H59" t="s">
        <v>423</v>
      </c>
      <c r="J59">
        <v>0</v>
      </c>
      <c r="K59">
        <v>102</v>
      </c>
      <c r="L59" s="15" t="s">
        <v>514</v>
      </c>
      <c r="M59" s="15" t="s">
        <v>180</v>
      </c>
      <c r="N59" s="16" t="s">
        <v>196</v>
      </c>
      <c r="O59" s="17">
        <f>VLOOKUP(K59,גליון1!$A$11:$L$323,11,FALSE)</f>
        <v>4699</v>
      </c>
      <c r="P59" s="17">
        <f>VLOOKUP(K59,גליון1!$A$11:$L$323,12,FALSE)</f>
        <v>8432</v>
      </c>
      <c r="Q59" s="17">
        <f>VLOOKUP(K59,'השוואה חודשית 11.25 מול 10.25'!$A$4:$D$330,4,FALSE)</f>
        <v>0</v>
      </c>
      <c r="R59" s="17">
        <v>0</v>
      </c>
      <c r="S59" s="17">
        <v>0</v>
      </c>
      <c r="T59" s="17"/>
      <c r="U59" s="17">
        <v>0</v>
      </c>
      <c r="V59" s="17"/>
      <c r="W59" s="17"/>
      <c r="X59" s="17"/>
      <c r="Y59" s="17"/>
    </row>
    <row r="60" spans="1:25" x14ac:dyDescent="0.3">
      <c r="A60" s="15" t="s">
        <v>243</v>
      </c>
      <c r="B60" s="15" t="s">
        <v>87</v>
      </c>
      <c r="C60" s="16" t="s">
        <v>196</v>
      </c>
      <c r="D60" s="17">
        <v>8395</v>
      </c>
      <c r="F60">
        <v>138</v>
      </c>
      <c r="G60" t="s">
        <v>225</v>
      </c>
      <c r="H60" t="s">
        <v>226</v>
      </c>
      <c r="J60">
        <v>1057</v>
      </c>
      <c r="K60" s="15">
        <v>105</v>
      </c>
      <c r="L60" s="15" t="s">
        <v>267</v>
      </c>
      <c r="M60" s="15" t="s">
        <v>268</v>
      </c>
      <c r="N60" s="16" t="s">
        <v>196</v>
      </c>
      <c r="O60" s="17">
        <f>VLOOKUP(K60,גליון1!$A$11:$L$323,11,FALSE)</f>
        <v>206</v>
      </c>
      <c r="P60" s="17">
        <f>VLOOKUP(K60,גליון1!$A$11:$L$323,12,FALSE)</f>
        <v>2834</v>
      </c>
      <c r="Q60" s="17">
        <f>VLOOKUP(K60,'השוואה חודשית 11.25 מול 10.25'!$A$4:$D$330,4,FALSE)</f>
        <v>6175</v>
      </c>
      <c r="R60" s="17">
        <v>3005</v>
      </c>
      <c r="S60" s="17">
        <v>2555</v>
      </c>
      <c r="T60" s="17"/>
      <c r="U60" s="17">
        <v>2555</v>
      </c>
      <c r="V60" s="16">
        <v>1535.49</v>
      </c>
      <c r="W60" s="16">
        <f>VLOOKUP(J60,'[7]02.26 מעודכן'!$B$2:$N$144,13,FALSE)</f>
        <v>1832.79</v>
      </c>
      <c r="X60" s="16">
        <v>4345.7</v>
      </c>
      <c r="Y60" s="16">
        <v>1399.84</v>
      </c>
    </row>
    <row r="61" spans="1:25" x14ac:dyDescent="0.3">
      <c r="A61" s="15" t="s">
        <v>244</v>
      </c>
      <c r="B61" s="15" t="s">
        <v>245</v>
      </c>
      <c r="C61" s="16" t="s">
        <v>196</v>
      </c>
      <c r="D61" s="17">
        <v>22118</v>
      </c>
      <c r="F61">
        <v>143</v>
      </c>
      <c r="G61" t="s">
        <v>424</v>
      </c>
      <c r="H61" t="s">
        <v>228</v>
      </c>
      <c r="J61">
        <v>0</v>
      </c>
      <c r="K61" s="64">
        <v>133</v>
      </c>
      <c r="L61" s="15" t="s">
        <v>187</v>
      </c>
      <c r="M61" s="15" t="s">
        <v>515</v>
      </c>
      <c r="N61" s="16" t="s">
        <v>196</v>
      </c>
      <c r="O61" s="17">
        <f>VLOOKUP(K61,גליון1!$A$11:$L$323,11,FALSE)</f>
        <v>5677</v>
      </c>
      <c r="P61" s="17">
        <f>VLOOKUP(K61,גליון1!$A$11:$L$323,12,FALSE)</f>
        <v>0</v>
      </c>
      <c r="Q61" s="17">
        <f>VLOOKUP(K61,'השוואה חודשית 11.25 מול 10.25'!$A$4:$D$330,4,FALSE)</f>
        <v>0</v>
      </c>
      <c r="R61" s="17">
        <v>0</v>
      </c>
      <c r="S61" s="17">
        <v>0</v>
      </c>
      <c r="T61" s="17"/>
      <c r="U61" s="17">
        <v>0</v>
      </c>
      <c r="V61" s="17"/>
      <c r="W61" s="17"/>
      <c r="X61" s="17"/>
      <c r="Y61" s="17"/>
    </row>
    <row r="62" spans="1:25" x14ac:dyDescent="0.3">
      <c r="A62" s="15" t="s">
        <v>246</v>
      </c>
      <c r="B62" s="15" t="s">
        <v>247</v>
      </c>
      <c r="C62" s="16" t="s">
        <v>196</v>
      </c>
      <c r="D62" s="17">
        <v>4439</v>
      </c>
      <c r="F62">
        <v>145</v>
      </c>
      <c r="G62" t="s">
        <v>229</v>
      </c>
      <c r="H62" t="s">
        <v>89</v>
      </c>
      <c r="J62">
        <v>1479</v>
      </c>
      <c r="K62" s="15">
        <v>147</v>
      </c>
      <c r="L62" s="15" t="s">
        <v>269</v>
      </c>
      <c r="M62" s="15" t="s">
        <v>270</v>
      </c>
      <c r="N62" s="16" t="s">
        <v>196</v>
      </c>
      <c r="O62" s="17">
        <f>VLOOKUP(K62,גליון1!$A$11:$L$323,11,FALSE)</f>
        <v>10104</v>
      </c>
      <c r="P62" s="17">
        <f>VLOOKUP(K62,גליון1!$A$11:$L$323,12,FALSE)</f>
        <v>12509</v>
      </c>
      <c r="Q62" s="17">
        <f>VLOOKUP(K62,'השוואה חודשית 11.25 מול 10.25'!$A$4:$D$330,4,FALSE)</f>
        <v>16112</v>
      </c>
      <c r="R62" s="17">
        <v>13147</v>
      </c>
      <c r="S62" s="17">
        <v>14210</v>
      </c>
      <c r="T62" s="17"/>
      <c r="U62" s="17">
        <v>14210</v>
      </c>
      <c r="V62" s="16">
        <v>11685.35</v>
      </c>
      <c r="W62" s="16">
        <f>VLOOKUP(J62,'[7]02.26 מעודכן'!$B$2:$N$144,13,FALSE)</f>
        <v>11359.25</v>
      </c>
      <c r="X62" s="16">
        <v>14934.65</v>
      </c>
      <c r="Y62" s="16">
        <v>13643.64</v>
      </c>
    </row>
    <row r="63" spans="1:25" x14ac:dyDescent="0.3">
      <c r="A63" s="15" t="s">
        <v>248</v>
      </c>
      <c r="B63" s="15" t="s">
        <v>249</v>
      </c>
      <c r="C63" s="16" t="s">
        <v>196</v>
      </c>
      <c r="D63" s="17">
        <v>12645</v>
      </c>
      <c r="J63">
        <v>0</v>
      </c>
      <c r="K63" s="15">
        <v>153</v>
      </c>
      <c r="L63" s="15" t="s">
        <v>516</v>
      </c>
      <c r="M63" s="15" t="s">
        <v>517</v>
      </c>
      <c r="N63" s="15" t="e">
        <f>VLOOKUP(L63,$A$3:$C$126,3,FALSE)</f>
        <v>#N/A</v>
      </c>
      <c r="O63" s="17">
        <f>VLOOKUP(K63,גליון1!$A$11:$L$323,11,FALSE)</f>
        <v>0</v>
      </c>
      <c r="P63" s="17">
        <f>VLOOKUP(K63,גליון1!$A$11:$L$323,12,FALSE)</f>
        <v>0</v>
      </c>
      <c r="Q63" s="17">
        <f>VLOOKUP(K63,'השוואה חודשית 11.25 מול 10.25'!$A$4:$D$330,4,FALSE)</f>
        <v>0</v>
      </c>
      <c r="R63" s="17">
        <v>0</v>
      </c>
      <c r="S63" s="17">
        <v>0</v>
      </c>
      <c r="T63" s="17"/>
      <c r="U63" s="17">
        <v>0</v>
      </c>
      <c r="V63" s="17"/>
      <c r="W63" s="17"/>
      <c r="X63" s="17"/>
      <c r="Y63" s="17"/>
    </row>
    <row r="64" spans="1:25" x14ac:dyDescent="0.3">
      <c r="A64" s="15" t="s">
        <v>250</v>
      </c>
      <c r="B64" s="15" t="s">
        <v>251</v>
      </c>
      <c r="C64" s="16" t="s">
        <v>196</v>
      </c>
      <c r="D64" s="17">
        <v>14524</v>
      </c>
      <c r="J64">
        <v>1545</v>
      </c>
      <c r="K64" s="15">
        <v>154</v>
      </c>
      <c r="L64" s="15" t="s">
        <v>271</v>
      </c>
      <c r="M64" s="15" t="s">
        <v>272</v>
      </c>
      <c r="N64" s="16" t="s">
        <v>196</v>
      </c>
      <c r="O64" s="17">
        <f>VLOOKUP(K64,גליון1!$A$11:$L$323,11,FALSE)</f>
        <v>7563</v>
      </c>
      <c r="P64" s="17">
        <f>VLOOKUP(K64,גליון1!$A$11:$L$323,12,FALSE)</f>
        <v>7917</v>
      </c>
      <c r="Q64" s="17">
        <f>VLOOKUP(K64,'השוואה חודשית 11.25 מול 10.25'!$A$4:$D$330,4,FALSE)</f>
        <v>8895</v>
      </c>
      <c r="R64" s="17">
        <v>1519</v>
      </c>
      <c r="S64" s="17">
        <v>3540</v>
      </c>
      <c r="T64" s="17"/>
      <c r="U64" s="17">
        <v>3540</v>
      </c>
      <c r="V64" s="16">
        <v>2664.87</v>
      </c>
      <c r="W64" s="16">
        <f>VLOOKUP(J64,'[7]02.26 מעודכן'!$B$2:$N$144,13,FALSE)</f>
        <v>2327.9499999999998</v>
      </c>
      <c r="X64" s="16">
        <v>3051.71</v>
      </c>
      <c r="Y64" s="16">
        <v>4190.1000000000004</v>
      </c>
    </row>
    <row r="65" spans="1:25" x14ac:dyDescent="0.3">
      <c r="A65" s="15" t="s">
        <v>252</v>
      </c>
      <c r="B65" s="15" t="s">
        <v>251</v>
      </c>
      <c r="C65" s="16" t="s">
        <v>196</v>
      </c>
      <c r="D65" s="17">
        <v>19006</v>
      </c>
      <c r="J65">
        <v>1552</v>
      </c>
      <c r="K65" s="15">
        <v>155</v>
      </c>
      <c r="L65" s="15" t="s">
        <v>273</v>
      </c>
      <c r="M65" s="15" t="s">
        <v>91</v>
      </c>
      <c r="N65" s="16" t="s">
        <v>196</v>
      </c>
      <c r="O65" s="17">
        <f>VLOOKUP(K65,גליון1!$A$11:$L$323,11,FALSE)</f>
        <v>3370</v>
      </c>
      <c r="P65" s="17">
        <f>VLOOKUP(K65,גליון1!$A$11:$L$323,12,FALSE)</f>
        <v>3251</v>
      </c>
      <c r="Q65" s="17">
        <f>VLOOKUP(K65,'השוואה חודשית 11.25 מול 10.25'!$A$4:$D$330,4,FALSE)</f>
        <v>10748</v>
      </c>
      <c r="R65" s="17">
        <v>8666</v>
      </c>
      <c r="S65" s="17">
        <v>7304</v>
      </c>
      <c r="T65" s="17"/>
      <c r="U65" s="17">
        <v>7304</v>
      </c>
      <c r="V65" s="16">
        <v>8936.4699999999993</v>
      </c>
      <c r="W65" s="16">
        <f>VLOOKUP(J65,'[7]02.26 מעודכן'!$B$2:$N$144,13,FALSE)</f>
        <v>4397.2700000000004</v>
      </c>
      <c r="X65" s="16">
        <v>8630.2199999999993</v>
      </c>
      <c r="Y65" s="16">
        <v>10796.62</v>
      </c>
    </row>
    <row r="66" spans="1:25" x14ac:dyDescent="0.3">
      <c r="A66" s="15" t="s">
        <v>253</v>
      </c>
      <c r="B66" s="15" t="s">
        <v>254</v>
      </c>
      <c r="C66" s="16" t="s">
        <v>196</v>
      </c>
      <c r="D66" s="17">
        <v>16779</v>
      </c>
      <c r="J66">
        <v>0</v>
      </c>
      <c r="K66" s="15">
        <v>159</v>
      </c>
      <c r="L66" s="15" t="s">
        <v>518</v>
      </c>
      <c r="M66" s="15" t="s">
        <v>519</v>
      </c>
      <c r="N66" s="15" t="e">
        <f>VLOOKUP(L66,$A$3:$C$126,3,FALSE)</f>
        <v>#N/A</v>
      </c>
      <c r="O66" s="17">
        <f>VLOOKUP(K66,גליון1!$A$11:$L$323,11,FALSE)</f>
        <v>0</v>
      </c>
      <c r="P66" s="17">
        <f>VLOOKUP(K66,גליון1!$A$11:$L$323,12,FALSE)</f>
        <v>0</v>
      </c>
      <c r="Q66" s="17">
        <f>VLOOKUP(K66,'השוואה חודשית 11.25 מול 10.25'!$A$4:$D$330,4,FALSE)</f>
        <v>0</v>
      </c>
      <c r="R66" s="17">
        <v>0</v>
      </c>
      <c r="S66" s="17">
        <v>0</v>
      </c>
      <c r="T66" s="17"/>
      <c r="U66" s="17">
        <v>0</v>
      </c>
      <c r="V66" s="17"/>
      <c r="W66" s="17"/>
      <c r="X66" s="17"/>
      <c r="Y66" s="17"/>
    </row>
    <row r="67" spans="1:25" x14ac:dyDescent="0.3">
      <c r="A67" s="15" t="s">
        <v>255</v>
      </c>
      <c r="B67" s="15" t="s">
        <v>215</v>
      </c>
      <c r="C67" s="16" t="s">
        <v>196</v>
      </c>
      <c r="D67" s="17">
        <v>6531</v>
      </c>
      <c r="J67">
        <v>0</v>
      </c>
      <c r="K67" s="64">
        <v>160</v>
      </c>
      <c r="L67" s="64" t="s">
        <v>520</v>
      </c>
      <c r="M67" s="64" t="s">
        <v>521</v>
      </c>
      <c r="N67" s="16" t="s">
        <v>196</v>
      </c>
      <c r="O67" s="17">
        <f>VLOOKUP(K67,גליון1!$A$11:$L$323,11,FALSE)</f>
        <v>3413</v>
      </c>
      <c r="P67" s="17">
        <f>VLOOKUP(K67,גליון1!$A$11:$L$323,12,FALSE)</f>
        <v>0</v>
      </c>
      <c r="Q67" s="17">
        <f>VLOOKUP(K67,'השוואה חודשית 11.25 מול 10.25'!$A$4:$D$330,4,FALSE)</f>
        <v>0</v>
      </c>
      <c r="R67" s="17">
        <v>0</v>
      </c>
      <c r="S67" s="17">
        <v>0</v>
      </c>
      <c r="T67" s="17"/>
      <c r="U67" s="17">
        <v>0</v>
      </c>
      <c r="V67" s="17"/>
      <c r="W67" s="17"/>
      <c r="X67" s="17"/>
      <c r="Y67" s="17"/>
    </row>
    <row r="68" spans="1:25" x14ac:dyDescent="0.3">
      <c r="A68" s="15" t="s">
        <v>256</v>
      </c>
      <c r="B68" s="15" t="s">
        <v>257</v>
      </c>
      <c r="C68" s="16" t="s">
        <v>196</v>
      </c>
      <c r="D68" s="17">
        <v>6000</v>
      </c>
      <c r="J68">
        <v>0</v>
      </c>
      <c r="K68" s="15">
        <v>164</v>
      </c>
      <c r="L68" s="15" t="s">
        <v>522</v>
      </c>
      <c r="M68" s="15" t="s">
        <v>523</v>
      </c>
      <c r="N68" s="15" t="e">
        <f>VLOOKUP(L68,$A$3:$C$126,3,FALSE)</f>
        <v>#N/A</v>
      </c>
      <c r="O68" s="17">
        <f>VLOOKUP(K68,גליון1!$A$11:$L$323,11,FALSE)</f>
        <v>0</v>
      </c>
      <c r="P68" s="17">
        <f>VLOOKUP(K68,גליון1!$A$11:$L$323,12,FALSE)</f>
        <v>0</v>
      </c>
      <c r="Q68" s="17">
        <f>VLOOKUP(K68,'השוואה חודשית 11.25 מול 10.25'!$A$4:$D$330,4,FALSE)</f>
        <v>0</v>
      </c>
      <c r="R68" s="17">
        <v>0</v>
      </c>
      <c r="S68" s="17">
        <v>0</v>
      </c>
      <c r="T68" s="17"/>
      <c r="U68" s="17">
        <v>0</v>
      </c>
      <c r="V68" s="17"/>
      <c r="W68" s="17"/>
      <c r="X68" s="17"/>
      <c r="Y68" s="17"/>
    </row>
    <row r="69" spans="1:25" x14ac:dyDescent="0.3">
      <c r="A69" s="15" t="s">
        <v>258</v>
      </c>
      <c r="B69" s="15" t="s">
        <v>259</v>
      </c>
      <c r="C69" s="16" t="s">
        <v>196</v>
      </c>
      <c r="D69" s="17">
        <v>26625</v>
      </c>
      <c r="J69">
        <v>0</v>
      </c>
      <c r="K69" s="15">
        <v>165</v>
      </c>
      <c r="L69" s="15" t="s">
        <v>524</v>
      </c>
      <c r="M69" s="15" t="s">
        <v>525</v>
      </c>
      <c r="N69" s="15" t="e">
        <f>VLOOKUP(L69,$A$3:$C$126,3,FALSE)</f>
        <v>#N/A</v>
      </c>
      <c r="O69" s="17">
        <f>VLOOKUP(K69,גליון1!$A$11:$L$323,11,FALSE)</f>
        <v>0</v>
      </c>
      <c r="P69" s="17">
        <f>VLOOKUP(K69,גליון1!$A$11:$L$323,12,FALSE)</f>
        <v>0</v>
      </c>
      <c r="Q69" s="17">
        <f>VLOOKUP(K69,'השוואה חודשית 11.25 מול 10.25'!$A$4:$D$330,4,FALSE)</f>
        <v>0</v>
      </c>
      <c r="R69" s="17">
        <v>0</v>
      </c>
      <c r="S69" s="17">
        <v>0</v>
      </c>
      <c r="T69" s="17"/>
      <c r="U69" s="17">
        <v>0</v>
      </c>
      <c r="V69" s="17"/>
      <c r="W69" s="17"/>
      <c r="X69" s="17"/>
      <c r="Y69" s="17"/>
    </row>
    <row r="70" spans="1:25" x14ac:dyDescent="0.3">
      <c r="A70" s="15" t="s">
        <v>260</v>
      </c>
      <c r="B70" s="15" t="s">
        <v>87</v>
      </c>
      <c r="C70" s="16" t="s">
        <v>196</v>
      </c>
      <c r="D70" s="17">
        <v>11049</v>
      </c>
      <c r="J70">
        <v>1669</v>
      </c>
      <c r="K70" s="15">
        <v>166</v>
      </c>
      <c r="L70" s="15" t="s">
        <v>274</v>
      </c>
      <c r="M70" s="15" t="s">
        <v>275</v>
      </c>
      <c r="N70" s="16" t="s">
        <v>196</v>
      </c>
      <c r="O70" s="17">
        <f>VLOOKUP(K70,גליון1!$A$11:$L$323,11,FALSE)</f>
        <v>12245</v>
      </c>
      <c r="P70" s="17">
        <f>VLOOKUP(K70,גליון1!$A$11:$L$323,12,FALSE)</f>
        <v>10315</v>
      </c>
      <c r="Q70" s="17">
        <f>VLOOKUP(K70,'השוואה חודשית 11.25 מול 10.25'!$A$4:$D$330,4,FALSE)</f>
        <v>13580</v>
      </c>
      <c r="R70" s="17">
        <v>13532</v>
      </c>
      <c r="S70" s="17">
        <v>9122</v>
      </c>
      <c r="T70" s="17"/>
      <c r="U70" s="17">
        <v>9122</v>
      </c>
      <c r="V70" s="16">
        <v>15267.7</v>
      </c>
      <c r="W70" s="16">
        <f>VLOOKUP(J70,'[7]02.26 מעודכן'!$B$2:$N$144,13,FALSE)</f>
        <v>12749.59</v>
      </c>
      <c r="X70" s="16">
        <v>14106.43</v>
      </c>
      <c r="Y70" s="16">
        <v>16543.82</v>
      </c>
    </row>
    <row r="71" spans="1:25" x14ac:dyDescent="0.3">
      <c r="A71" s="15" t="s">
        <v>114</v>
      </c>
      <c r="B71" s="15" t="s">
        <v>261</v>
      </c>
      <c r="C71" s="16" t="s">
        <v>196</v>
      </c>
      <c r="D71" s="17">
        <v>16750</v>
      </c>
      <c r="J71">
        <v>0</v>
      </c>
      <c r="K71" s="15">
        <v>167</v>
      </c>
      <c r="L71" s="15" t="s">
        <v>526</v>
      </c>
      <c r="M71" s="15" t="s">
        <v>319</v>
      </c>
      <c r="N71" s="15" t="e">
        <f>VLOOKUP(L71,$A$3:$C$126,3,FALSE)</f>
        <v>#N/A</v>
      </c>
      <c r="O71" s="17">
        <f>VLOOKUP(K71,גליון1!$A$11:$L$323,11,FALSE)</f>
        <v>0</v>
      </c>
      <c r="P71" s="17">
        <f>VLOOKUP(K71,גליון1!$A$11:$L$323,12,FALSE)</f>
        <v>0</v>
      </c>
      <c r="Q71" s="17">
        <f>VLOOKUP(K71,'השוואה חודשית 11.25 מול 10.25'!$A$4:$D$330,4,FALSE)</f>
        <v>0</v>
      </c>
      <c r="R71" s="17">
        <v>0</v>
      </c>
      <c r="S71" s="17">
        <v>0</v>
      </c>
      <c r="T71" s="17"/>
      <c r="U71" s="17">
        <v>0</v>
      </c>
      <c r="V71" s="17"/>
      <c r="W71" s="17"/>
      <c r="X71" s="17"/>
      <c r="Y71" s="17"/>
    </row>
    <row r="72" spans="1:25" x14ac:dyDescent="0.3">
      <c r="A72" s="15" t="s">
        <v>262</v>
      </c>
      <c r="B72" s="15" t="s">
        <v>263</v>
      </c>
      <c r="C72" s="16" t="s">
        <v>196</v>
      </c>
      <c r="D72" s="17">
        <v>5878</v>
      </c>
      <c r="J72">
        <v>0</v>
      </c>
      <c r="K72" s="15">
        <v>176</v>
      </c>
      <c r="L72" s="15" t="s">
        <v>527</v>
      </c>
      <c r="M72" s="15" t="s">
        <v>245</v>
      </c>
      <c r="N72" s="16" t="s">
        <v>196</v>
      </c>
      <c r="O72" s="17">
        <f>VLOOKUP(K72,גליון1!$A$11:$L$323,11,FALSE)</f>
        <v>2636</v>
      </c>
      <c r="P72" s="17">
        <f>VLOOKUP(K72,גליון1!$A$11:$L$323,12,FALSE)</f>
        <v>3936</v>
      </c>
      <c r="Q72" s="17">
        <f>VLOOKUP(K72,'השוואה חודשית 11.25 מול 10.25'!$A$4:$D$330,4,FALSE)</f>
        <v>0</v>
      </c>
      <c r="R72" s="17">
        <v>0</v>
      </c>
      <c r="S72" s="17">
        <v>0</v>
      </c>
      <c r="T72" s="17"/>
      <c r="U72" s="17">
        <v>0</v>
      </c>
      <c r="V72" s="17"/>
      <c r="W72" s="17"/>
      <c r="X72" s="17"/>
      <c r="Y72" s="17"/>
    </row>
    <row r="73" spans="1:25" x14ac:dyDescent="0.3">
      <c r="A73" s="15" t="s">
        <v>264</v>
      </c>
      <c r="B73" s="15" t="s">
        <v>207</v>
      </c>
      <c r="C73" s="16" t="s">
        <v>196</v>
      </c>
      <c r="D73" s="17">
        <v>10169</v>
      </c>
      <c r="J73">
        <v>1776</v>
      </c>
      <c r="K73" s="15">
        <v>177</v>
      </c>
      <c r="L73" s="15" t="s">
        <v>276</v>
      </c>
      <c r="M73" s="15" t="s">
        <v>277</v>
      </c>
      <c r="N73" s="16" t="s">
        <v>196</v>
      </c>
      <c r="O73" s="17">
        <f>VLOOKUP(K73,גליון1!$A$11:$L$323,11,FALSE)</f>
        <v>11370</v>
      </c>
      <c r="P73" s="17">
        <f>VLOOKUP(K73,גליון1!$A$11:$L$323,12,FALSE)</f>
        <v>11705</v>
      </c>
      <c r="Q73" s="17">
        <f>VLOOKUP(K73,'השוואה חודשית 11.25 מול 10.25'!$A$4:$D$330,4,FALSE)</f>
        <v>11089</v>
      </c>
      <c r="R73" s="17">
        <v>8307</v>
      </c>
      <c r="S73" s="17">
        <v>16166</v>
      </c>
      <c r="T73" s="17"/>
      <c r="U73" s="17">
        <v>16166</v>
      </c>
      <c r="V73" s="16">
        <v>10470.709999999999</v>
      </c>
      <c r="W73" s="16">
        <f>VLOOKUP(J73,'[7]02.26 מעודכן'!$B$2:$N$144,13,FALSE)</f>
        <v>8879.5499999999993</v>
      </c>
      <c r="X73" s="16">
        <v>8510.51</v>
      </c>
      <c r="Y73" s="16">
        <v>12917.13</v>
      </c>
    </row>
    <row r="74" spans="1:25" x14ac:dyDescent="0.3">
      <c r="A74" s="15" t="s">
        <v>253</v>
      </c>
      <c r="B74" s="15" t="s">
        <v>265</v>
      </c>
      <c r="C74" s="16" t="s">
        <v>196</v>
      </c>
      <c r="D74" s="17">
        <v>6714</v>
      </c>
      <c r="J74">
        <v>1818</v>
      </c>
      <c r="K74" s="15">
        <v>181</v>
      </c>
      <c r="L74" s="15" t="s">
        <v>278</v>
      </c>
      <c r="M74" s="15" t="s">
        <v>279</v>
      </c>
      <c r="N74" s="16" t="s">
        <v>196</v>
      </c>
      <c r="O74" s="17">
        <f>VLOOKUP(K74,גליון1!$A$11:$L$323,11,FALSE)</f>
        <v>12753</v>
      </c>
      <c r="P74" s="17">
        <f>VLOOKUP(K74,גליון1!$A$11:$L$323,12,FALSE)</f>
        <v>12751</v>
      </c>
      <c r="Q74" s="17">
        <f>VLOOKUP(K74,'השוואה חודשית 11.25 מול 10.25'!$A$4:$D$330,4,FALSE)</f>
        <v>12656</v>
      </c>
      <c r="R74" s="17">
        <v>12592</v>
      </c>
      <c r="S74" s="17">
        <v>12559</v>
      </c>
      <c r="T74" s="17"/>
      <c r="U74" s="17">
        <v>12559</v>
      </c>
      <c r="V74" s="16">
        <v>12618.1</v>
      </c>
      <c r="W74" s="16">
        <f>VLOOKUP(J74,'[7]02.26 מעודכן'!$B$2:$N$144,13,FALSE)</f>
        <v>12295.3</v>
      </c>
      <c r="X74" s="16">
        <v>12028.85</v>
      </c>
      <c r="Y74" s="16">
        <v>12184.27</v>
      </c>
    </row>
    <row r="75" spans="1:25" x14ac:dyDescent="0.3">
      <c r="A75" s="15" t="s">
        <v>223</v>
      </c>
      <c r="B75" s="15" t="s">
        <v>266</v>
      </c>
      <c r="C75" s="16" t="s">
        <v>196</v>
      </c>
      <c r="D75" s="17">
        <v>3285</v>
      </c>
      <c r="J75">
        <v>1842</v>
      </c>
      <c r="K75" s="15">
        <v>184</v>
      </c>
      <c r="L75" s="15" t="s">
        <v>528</v>
      </c>
      <c r="M75" s="15" t="s">
        <v>123</v>
      </c>
      <c r="N75" s="16" t="s">
        <v>196</v>
      </c>
      <c r="O75" s="17">
        <f>VLOOKUP(K75,גליון1!$A$11:$L$323,11,FALSE)</f>
        <v>6682</v>
      </c>
      <c r="P75" s="17">
        <f>VLOOKUP(K75,גליון1!$A$11:$L$323,12,FALSE)</f>
        <v>6276</v>
      </c>
      <c r="Q75" s="17">
        <f>VLOOKUP(K75,'השוואה חודשית 11.25 מול 10.25'!$A$4:$D$330,4,FALSE)</f>
        <v>6905</v>
      </c>
      <c r="R75" s="17">
        <v>6880</v>
      </c>
      <c r="S75" s="17">
        <v>0</v>
      </c>
      <c r="T75" s="17"/>
      <c r="U75" s="17">
        <v>0</v>
      </c>
      <c r="V75" s="17"/>
      <c r="W75" s="17">
        <f>VLOOKUP(J75,'[7]02.26 מעודכן'!$B$2:$N$144,13,FALSE)</f>
        <v>0</v>
      </c>
      <c r="X75" s="17">
        <v>0</v>
      </c>
      <c r="Y75" s="17">
        <v>0</v>
      </c>
    </row>
    <row r="76" spans="1:25" x14ac:dyDescent="0.3">
      <c r="A76" s="15" t="s">
        <v>267</v>
      </c>
      <c r="B76" s="15" t="s">
        <v>268</v>
      </c>
      <c r="C76" s="16" t="s">
        <v>196</v>
      </c>
      <c r="D76" s="17">
        <v>2555</v>
      </c>
      <c r="J76">
        <v>1859</v>
      </c>
      <c r="K76" s="15">
        <v>185</v>
      </c>
      <c r="L76" s="15" t="s">
        <v>280</v>
      </c>
      <c r="M76" s="15" t="s">
        <v>281</v>
      </c>
      <c r="N76" s="16" t="s">
        <v>196</v>
      </c>
      <c r="O76" s="17">
        <f>VLOOKUP(K76,גליון1!$A$11:$L$323,11,FALSE)</f>
        <v>5638</v>
      </c>
      <c r="P76" s="17">
        <f>VLOOKUP(K76,גליון1!$A$11:$L$323,12,FALSE)</f>
        <v>5515</v>
      </c>
      <c r="Q76" s="17">
        <f>VLOOKUP(K76,'השוואה חודשית 11.25 מול 10.25'!$A$4:$D$330,4,FALSE)</f>
        <v>5402</v>
      </c>
      <c r="R76" s="17">
        <v>4422</v>
      </c>
      <c r="S76" s="17">
        <v>5851</v>
      </c>
      <c r="T76" s="17"/>
      <c r="U76" s="17">
        <v>5851</v>
      </c>
      <c r="V76" s="16">
        <v>4994.78</v>
      </c>
      <c r="W76" s="16">
        <f>VLOOKUP(J76,'[7]02.26 מעודכן'!$B$2:$N$144,13,FALSE)</f>
        <v>2222.58</v>
      </c>
      <c r="X76" s="16">
        <v>5270.93</v>
      </c>
      <c r="Y76" s="16">
        <v>7750.77</v>
      </c>
    </row>
    <row r="77" spans="1:25" x14ac:dyDescent="0.3">
      <c r="A77" s="15" t="s">
        <v>269</v>
      </c>
      <c r="B77" s="15" t="s">
        <v>270</v>
      </c>
      <c r="C77" s="16" t="s">
        <v>196</v>
      </c>
      <c r="D77" s="17">
        <v>14210</v>
      </c>
      <c r="J77">
        <v>0</v>
      </c>
      <c r="K77" s="15">
        <v>186</v>
      </c>
      <c r="L77" s="15" t="s">
        <v>529</v>
      </c>
      <c r="M77" s="15" t="s">
        <v>511</v>
      </c>
      <c r="N77" s="16" t="s">
        <v>196</v>
      </c>
      <c r="O77" s="17">
        <f>VLOOKUP(K77,גליון1!$A$11:$L$323,11,FALSE)</f>
        <v>848</v>
      </c>
      <c r="P77" s="17">
        <f>VLOOKUP(K77,גליון1!$A$11:$L$323,12,FALSE)</f>
        <v>0</v>
      </c>
      <c r="Q77" s="17">
        <f>VLOOKUP(K77,'השוואה חודשית 11.25 מול 10.25'!$A$4:$D$330,4,FALSE)</f>
        <v>0</v>
      </c>
      <c r="R77" s="17">
        <v>0</v>
      </c>
      <c r="S77" s="17">
        <v>0</v>
      </c>
      <c r="T77" s="17"/>
      <c r="U77" s="17">
        <v>0</v>
      </c>
      <c r="V77" s="17"/>
      <c r="W77" s="17"/>
      <c r="X77" s="17"/>
      <c r="Y77" s="17"/>
    </row>
    <row r="78" spans="1:25" x14ac:dyDescent="0.3">
      <c r="A78" s="15" t="s">
        <v>271</v>
      </c>
      <c r="B78" s="15" t="s">
        <v>272</v>
      </c>
      <c r="C78" s="16" t="s">
        <v>196</v>
      </c>
      <c r="D78" s="17">
        <v>3540</v>
      </c>
      <c r="J78">
        <v>1909</v>
      </c>
      <c r="K78" s="15">
        <v>190</v>
      </c>
      <c r="L78" s="15" t="s">
        <v>187</v>
      </c>
      <c r="M78" s="15" t="s">
        <v>97</v>
      </c>
      <c r="N78" s="16" t="s">
        <v>196</v>
      </c>
      <c r="O78" s="17">
        <f>VLOOKUP(K78,גליון1!$A$11:$L$323,11,FALSE)</f>
        <v>6342</v>
      </c>
      <c r="P78" s="17">
        <f>VLOOKUP(K78,גליון1!$A$11:$L$323,12,FALSE)</f>
        <v>7231</v>
      </c>
      <c r="Q78" s="17">
        <f>VLOOKUP(K78,'השוואה חודשית 11.25 מול 10.25'!$A$4:$D$330,4,FALSE)</f>
        <v>7868</v>
      </c>
      <c r="R78" s="17">
        <v>8832</v>
      </c>
      <c r="S78" s="17">
        <v>11817</v>
      </c>
      <c r="T78" s="17"/>
      <c r="U78" s="17">
        <v>11817</v>
      </c>
      <c r="V78" s="16">
        <v>10728.95</v>
      </c>
      <c r="W78" s="16">
        <f>VLOOKUP(J78,'[7]02.26 מעודכן'!$B$2:$N$144,13,FALSE)</f>
        <v>18348.900000000001</v>
      </c>
      <c r="X78" s="16">
        <v>9183.66</v>
      </c>
      <c r="Y78" s="16">
        <v>12537.86</v>
      </c>
    </row>
    <row r="79" spans="1:25" x14ac:dyDescent="0.3">
      <c r="A79" s="15" t="s">
        <v>273</v>
      </c>
      <c r="B79" s="15" t="s">
        <v>91</v>
      </c>
      <c r="C79" s="16" t="s">
        <v>196</v>
      </c>
      <c r="D79" s="17">
        <v>7304</v>
      </c>
      <c r="J79">
        <v>1925</v>
      </c>
      <c r="K79" s="15">
        <v>192</v>
      </c>
      <c r="L79" s="15" t="s">
        <v>282</v>
      </c>
      <c r="M79" s="15" t="s">
        <v>283</v>
      </c>
      <c r="N79" s="16" t="s">
        <v>196</v>
      </c>
      <c r="O79" s="17">
        <f>VLOOKUP(K79,גליון1!$A$11:$L$323,11,FALSE)</f>
        <v>3999</v>
      </c>
      <c r="P79" s="17">
        <f>VLOOKUP(K79,גליון1!$A$11:$L$323,12,FALSE)</f>
        <v>6668</v>
      </c>
      <c r="Q79" s="17">
        <f>VLOOKUP(K79,'השוואה חודשית 11.25 מול 10.25'!$A$4:$D$330,4,FALSE)</f>
        <v>4543</v>
      </c>
      <c r="R79" s="17">
        <v>7420</v>
      </c>
      <c r="S79" s="17">
        <v>9065</v>
      </c>
      <c r="T79" s="17"/>
      <c r="U79" s="17">
        <v>9065</v>
      </c>
      <c r="V79" s="16">
        <v>7600.94</v>
      </c>
      <c r="W79" s="16">
        <f>VLOOKUP(J79,'[7]02.26 מעודכן'!$B$2:$N$144,13,FALSE)</f>
        <v>8356.19</v>
      </c>
      <c r="X79" s="16">
        <v>9288.43</v>
      </c>
      <c r="Y79" s="16">
        <v>10589.44</v>
      </c>
    </row>
    <row r="80" spans="1:25" x14ac:dyDescent="0.3">
      <c r="A80" s="15" t="s">
        <v>274</v>
      </c>
      <c r="B80" s="15" t="s">
        <v>275</v>
      </c>
      <c r="C80" s="16" t="s">
        <v>196</v>
      </c>
      <c r="D80" s="17">
        <v>9122</v>
      </c>
      <c r="J80">
        <v>0</v>
      </c>
      <c r="K80" s="15">
        <v>193</v>
      </c>
      <c r="L80" s="15" t="s">
        <v>530</v>
      </c>
      <c r="M80" s="15" t="s">
        <v>531</v>
      </c>
      <c r="N80" s="16" t="s">
        <v>196</v>
      </c>
      <c r="O80" s="17">
        <f>VLOOKUP(K80,גליון1!$A$11:$L$323,11,FALSE)</f>
        <v>1747</v>
      </c>
      <c r="P80" s="17">
        <f>VLOOKUP(K80,גליון1!$A$11:$L$323,12,FALSE)</f>
        <v>393</v>
      </c>
      <c r="Q80" s="17">
        <f>VLOOKUP(K80,'השוואה חודשית 11.25 מול 10.25'!$A$4:$D$330,4,FALSE)</f>
        <v>0</v>
      </c>
      <c r="R80" s="17">
        <v>0</v>
      </c>
      <c r="S80" s="17">
        <v>0</v>
      </c>
      <c r="T80" s="17"/>
      <c r="U80" s="17">
        <v>0</v>
      </c>
      <c r="V80" s="17"/>
      <c r="W80" s="17"/>
      <c r="X80" s="17"/>
      <c r="Y80" s="17"/>
    </row>
    <row r="81" spans="1:25" x14ac:dyDescent="0.3">
      <c r="A81" s="15" t="s">
        <v>276</v>
      </c>
      <c r="B81" s="15" t="s">
        <v>277</v>
      </c>
      <c r="C81" s="16" t="s">
        <v>196</v>
      </c>
      <c r="D81" s="17">
        <v>16166</v>
      </c>
      <c r="J81">
        <v>1958</v>
      </c>
      <c r="K81" s="15">
        <v>195</v>
      </c>
      <c r="L81" s="15" t="s">
        <v>284</v>
      </c>
      <c r="M81" s="15" t="s">
        <v>188</v>
      </c>
      <c r="N81" s="16" t="s">
        <v>196</v>
      </c>
      <c r="O81" s="17">
        <f>VLOOKUP(K81,גליון1!$A$11:$L$323,11,FALSE)</f>
        <v>0</v>
      </c>
      <c r="P81" s="17">
        <f>VLOOKUP(K81,גליון1!$A$11:$L$323,12,FALSE)</f>
        <v>8036</v>
      </c>
      <c r="Q81" s="17">
        <f>VLOOKUP(K81,'השוואה חודשית 11.25 מול 10.25'!$A$4:$D$330,4,FALSE)</f>
        <v>32589</v>
      </c>
      <c r="R81" s="17">
        <v>31825</v>
      </c>
      <c r="S81" s="17">
        <v>50353</v>
      </c>
      <c r="T81" s="17"/>
      <c r="U81" s="17">
        <v>50353</v>
      </c>
      <c r="V81" s="16">
        <v>36904.230000000003</v>
      </c>
      <c r="W81" s="16">
        <f>VLOOKUP(J81,'[7]02.26 מעודכן'!$B$2:$N$144,13,FALSE)</f>
        <v>34455.800000000003</v>
      </c>
      <c r="X81" s="16">
        <v>30788.62</v>
      </c>
      <c r="Y81" s="16">
        <v>31507.75</v>
      </c>
    </row>
    <row r="82" spans="1:25" x14ac:dyDescent="0.3">
      <c r="A82" s="15" t="s">
        <v>278</v>
      </c>
      <c r="B82" s="15" t="s">
        <v>279</v>
      </c>
      <c r="C82" s="16" t="s">
        <v>196</v>
      </c>
      <c r="D82" s="17">
        <v>12559</v>
      </c>
      <c r="J82">
        <v>0</v>
      </c>
      <c r="K82" s="15">
        <v>196</v>
      </c>
      <c r="L82" s="15" t="s">
        <v>532</v>
      </c>
      <c r="M82" s="15" t="s">
        <v>236</v>
      </c>
      <c r="N82" s="16" t="s">
        <v>196</v>
      </c>
      <c r="O82" s="17">
        <f>VLOOKUP(K82,גליון1!$A$11:$L$323,11,FALSE)</f>
        <v>0</v>
      </c>
      <c r="P82" s="17">
        <f>VLOOKUP(K82,גליון1!$A$11:$L$323,12,FALSE)</f>
        <v>4261</v>
      </c>
      <c r="Q82" s="17">
        <f>VLOOKUP(K82,'השוואה חודשית 11.25 מול 10.25'!$A$4:$D$330,4,FALSE)</f>
        <v>4689</v>
      </c>
      <c r="R82" s="17">
        <v>0</v>
      </c>
      <c r="S82" s="17">
        <v>0</v>
      </c>
      <c r="T82" s="17"/>
      <c r="U82" s="17">
        <v>0</v>
      </c>
      <c r="V82" s="17"/>
      <c r="W82" s="17"/>
      <c r="X82" s="17"/>
      <c r="Y82" s="17"/>
    </row>
    <row r="83" spans="1:25" x14ac:dyDescent="0.3">
      <c r="A83" s="15" t="s">
        <v>280</v>
      </c>
      <c r="B83" s="15" t="s">
        <v>281</v>
      </c>
      <c r="C83" s="16" t="s">
        <v>196</v>
      </c>
      <c r="D83" s="17">
        <v>5851</v>
      </c>
      <c r="J83">
        <v>1974</v>
      </c>
      <c r="K83" s="15">
        <v>197</v>
      </c>
      <c r="L83" s="15" t="s">
        <v>533</v>
      </c>
      <c r="M83" s="15" t="s">
        <v>534</v>
      </c>
      <c r="N83" s="16" t="s">
        <v>196</v>
      </c>
      <c r="O83" s="17">
        <f>VLOOKUP(K83,גליון1!$A$11:$L$323,11,FALSE)</f>
        <v>0</v>
      </c>
      <c r="P83" s="17">
        <f>VLOOKUP(K83,גליון1!$A$11:$L$323,12,FALSE)</f>
        <v>647</v>
      </c>
      <c r="Q83" s="17">
        <f>VLOOKUP(K83,'השוואה חודשית 11.25 מול 10.25'!$A$4:$D$330,4,FALSE)</f>
        <v>5533</v>
      </c>
      <c r="R83" s="17">
        <v>2614</v>
      </c>
      <c r="S83" s="17">
        <v>0</v>
      </c>
      <c r="T83" s="17"/>
      <c r="U83" s="17">
        <v>0</v>
      </c>
      <c r="V83" s="17"/>
      <c r="W83" s="17">
        <f>VLOOKUP(J83,'[7]02.26 מעודכן'!$B$2:$N$144,13,FALSE)</f>
        <v>0</v>
      </c>
      <c r="X83" s="17">
        <v>0</v>
      </c>
      <c r="Y83" s="17">
        <v>0</v>
      </c>
    </row>
    <row r="84" spans="1:25" x14ac:dyDescent="0.3">
      <c r="A84" s="15" t="s">
        <v>187</v>
      </c>
      <c r="B84" s="15" t="s">
        <v>97</v>
      </c>
      <c r="C84" s="16" t="s">
        <v>196</v>
      </c>
      <c r="D84" s="17">
        <v>11817</v>
      </c>
      <c r="J84">
        <v>1990</v>
      </c>
      <c r="K84" s="15">
        <v>199</v>
      </c>
      <c r="L84" s="15" t="s">
        <v>535</v>
      </c>
      <c r="M84" s="15" t="s">
        <v>536</v>
      </c>
      <c r="N84" s="16" t="s">
        <v>196</v>
      </c>
      <c r="O84" s="17"/>
      <c r="P84" s="17"/>
      <c r="Q84" s="17">
        <f>VLOOKUP(K84,'השוואה חודשית 11.25 מול 10.25'!$A$4:$D$330,4,FALSE)</f>
        <v>2434</v>
      </c>
      <c r="R84" s="17">
        <v>4997</v>
      </c>
      <c r="S84" s="17">
        <v>0</v>
      </c>
      <c r="T84" s="17"/>
      <c r="U84" s="17">
        <v>0</v>
      </c>
      <c r="V84" s="17"/>
      <c r="W84" s="17">
        <f>VLOOKUP(J84,'[7]02.26 מעודכן'!$B$2:$N$144,13,FALSE)</f>
        <v>0</v>
      </c>
      <c r="X84" s="17">
        <v>0</v>
      </c>
      <c r="Y84" s="17">
        <v>0</v>
      </c>
    </row>
    <row r="85" spans="1:25" x14ac:dyDescent="0.3">
      <c r="A85" s="15" t="s">
        <v>282</v>
      </c>
      <c r="B85" s="15" t="s">
        <v>283</v>
      </c>
      <c r="C85" s="16" t="s">
        <v>196</v>
      </c>
      <c r="D85" s="17">
        <v>9065</v>
      </c>
      <c r="J85">
        <v>2006</v>
      </c>
      <c r="K85" s="15">
        <v>200</v>
      </c>
      <c r="L85" s="15" t="s">
        <v>285</v>
      </c>
      <c r="M85" s="15" t="s">
        <v>286</v>
      </c>
      <c r="N85" s="16" t="s">
        <v>196</v>
      </c>
      <c r="O85" s="17"/>
      <c r="P85" s="17"/>
      <c r="Q85" s="17">
        <f>VLOOKUP(K85,'השוואה חודשית 11.25 מול 10.25'!$A$4:$D$330,4,FALSE)</f>
        <v>3095</v>
      </c>
      <c r="R85" s="17">
        <v>5959</v>
      </c>
      <c r="S85" s="17">
        <v>6717</v>
      </c>
      <c r="T85" s="17"/>
      <c r="U85" s="17">
        <v>6717</v>
      </c>
      <c r="V85" s="16">
        <v>7677.18</v>
      </c>
      <c r="W85" s="16">
        <f>VLOOKUP(J85,'[7]02.26 מעודכן'!$B$2:$N$144,13,FALSE)</f>
        <v>9168.51</v>
      </c>
      <c r="X85" s="16">
        <v>9755.23</v>
      </c>
      <c r="Y85" s="16">
        <v>15062.56</v>
      </c>
    </row>
    <row r="86" spans="1:25" x14ac:dyDescent="0.3">
      <c r="A86" s="15" t="s">
        <v>284</v>
      </c>
      <c r="B86" s="15" t="s">
        <v>188</v>
      </c>
      <c r="C86" s="16" t="s">
        <v>196</v>
      </c>
      <c r="D86" s="17">
        <v>50353</v>
      </c>
      <c r="J86">
        <v>0</v>
      </c>
      <c r="K86" s="15">
        <v>201</v>
      </c>
      <c r="L86" s="15" t="s">
        <v>537</v>
      </c>
      <c r="M86" s="15" t="s">
        <v>538</v>
      </c>
      <c r="N86" s="16" t="s">
        <v>196</v>
      </c>
      <c r="O86" s="17"/>
      <c r="P86" s="17"/>
      <c r="Q86" s="17">
        <f>VLOOKUP(K86,'השוואה חודשית 11.25 מול 10.25'!$A$4:$D$330,4,FALSE)</f>
        <v>199</v>
      </c>
      <c r="R86" s="17">
        <v>0</v>
      </c>
      <c r="S86" s="17">
        <v>0</v>
      </c>
      <c r="T86" s="17"/>
      <c r="U86" s="17">
        <v>0</v>
      </c>
      <c r="V86" s="17"/>
      <c r="W86" s="17"/>
      <c r="X86" s="17"/>
      <c r="Y86" s="17"/>
    </row>
    <row r="87" spans="1:25" x14ac:dyDescent="0.3">
      <c r="A87" s="15" t="s">
        <v>285</v>
      </c>
      <c r="B87" s="15" t="s">
        <v>286</v>
      </c>
      <c r="C87" s="16" t="s">
        <v>196</v>
      </c>
      <c r="D87" s="17">
        <v>6717</v>
      </c>
      <c r="J87">
        <v>2030</v>
      </c>
      <c r="K87" s="15">
        <v>203</v>
      </c>
      <c r="L87" s="15" t="s">
        <v>287</v>
      </c>
      <c r="M87" s="15" t="s">
        <v>288</v>
      </c>
      <c r="N87" s="16" t="s">
        <v>196</v>
      </c>
      <c r="O87" s="17"/>
      <c r="P87" s="17"/>
      <c r="Q87" s="17">
        <f>VLOOKUP(K87,'השוואה חודשית 11.25 מול 10.25'!$A$4:$D$330,4,FALSE)</f>
        <v>0</v>
      </c>
      <c r="R87" s="17">
        <v>2267</v>
      </c>
      <c r="S87" s="17">
        <v>5922</v>
      </c>
      <c r="T87" s="17"/>
      <c r="U87" s="17">
        <v>5922</v>
      </c>
      <c r="V87" s="16">
        <v>5325.58</v>
      </c>
      <c r="W87" s="16">
        <f>VLOOKUP(J87,'[7]02.26 מעודכן'!$B$2:$N$144,13,FALSE)</f>
        <v>5562.67</v>
      </c>
      <c r="X87" s="16">
        <v>8201.33</v>
      </c>
      <c r="Y87" s="16">
        <v>10456.69</v>
      </c>
    </row>
    <row r="88" spans="1:25" x14ac:dyDescent="0.3">
      <c r="A88" s="15" t="s">
        <v>287</v>
      </c>
      <c r="B88" s="15" t="s">
        <v>288</v>
      </c>
      <c r="C88" s="16" t="s">
        <v>196</v>
      </c>
      <c r="D88" s="17">
        <v>5922</v>
      </c>
      <c r="J88">
        <v>2071</v>
      </c>
      <c r="K88" s="15">
        <v>207</v>
      </c>
      <c r="L88" s="15" t="s">
        <v>289</v>
      </c>
      <c r="M88" s="15" t="s">
        <v>266</v>
      </c>
      <c r="N88" s="16" t="s">
        <v>196</v>
      </c>
      <c r="O88" s="17"/>
      <c r="P88" s="17"/>
      <c r="Q88" s="17"/>
      <c r="R88" s="17">
        <v>0</v>
      </c>
      <c r="S88" s="17">
        <v>1665</v>
      </c>
      <c r="T88" s="17"/>
      <c r="U88" s="17">
        <v>1665</v>
      </c>
      <c r="V88" s="16">
        <v>3658.25</v>
      </c>
      <c r="W88" s="16">
        <f>VLOOKUP(J88,'[7]02.26 מעודכן'!$B$2:$N$144,13,FALSE)</f>
        <v>4853.4799999999996</v>
      </c>
      <c r="X88" s="16">
        <v>2168.5700000000002</v>
      </c>
      <c r="Y88" s="16">
        <v>4377.6499999999996</v>
      </c>
    </row>
    <row r="89" spans="1:25" x14ac:dyDescent="0.3">
      <c r="A89" s="15" t="s">
        <v>289</v>
      </c>
      <c r="B89" s="15" t="s">
        <v>266</v>
      </c>
      <c r="C89" s="16" t="s">
        <v>196</v>
      </c>
      <c r="D89" s="17">
        <v>1665</v>
      </c>
      <c r="J89">
        <v>2089</v>
      </c>
      <c r="K89" s="15">
        <v>208</v>
      </c>
      <c r="L89" s="15" t="s">
        <v>290</v>
      </c>
      <c r="M89" s="15" t="s">
        <v>283</v>
      </c>
      <c r="N89" s="16" t="s">
        <v>196</v>
      </c>
      <c r="O89" s="17"/>
      <c r="P89" s="17"/>
      <c r="Q89" s="17"/>
      <c r="R89" s="17">
        <v>0</v>
      </c>
      <c r="S89" s="17">
        <v>6419</v>
      </c>
      <c r="T89" s="17"/>
      <c r="U89" s="17">
        <v>6419</v>
      </c>
      <c r="V89" s="16">
        <v>6657.54</v>
      </c>
      <c r="W89" s="16">
        <f>VLOOKUP(J89,'[7]02.26 מעודכן'!$B$2:$N$144,13,FALSE)</f>
        <v>4219.2700000000004</v>
      </c>
      <c r="X89" s="16">
        <v>14.08</v>
      </c>
      <c r="Y89" s="16">
        <v>776.04</v>
      </c>
    </row>
    <row r="90" spans="1:25" x14ac:dyDescent="0.3">
      <c r="A90" s="15" t="s">
        <v>290</v>
      </c>
      <c r="B90" s="15" t="s">
        <v>283</v>
      </c>
      <c r="C90" s="16" t="s">
        <v>196</v>
      </c>
      <c r="D90" s="17">
        <v>6419</v>
      </c>
      <c r="J90" s="306">
        <v>2121</v>
      </c>
      <c r="K90" s="306"/>
      <c r="L90" s="15" t="s">
        <v>539</v>
      </c>
      <c r="M90" s="15" t="s">
        <v>540</v>
      </c>
      <c r="N90" s="16" t="s">
        <v>196</v>
      </c>
      <c r="O90" s="17"/>
      <c r="P90" s="17"/>
      <c r="Q90" s="17"/>
      <c r="R90" s="17"/>
      <c r="S90" s="17"/>
      <c r="T90" s="17"/>
      <c r="U90" s="17"/>
      <c r="V90" s="16">
        <v>5253.36</v>
      </c>
      <c r="W90" s="16">
        <f>VLOOKUP(J90,'[7]02.26 מעודכן'!$B$2:$N$144,13,FALSE)</f>
        <v>5687.45</v>
      </c>
      <c r="X90" s="16">
        <v>2910.94</v>
      </c>
      <c r="Y90" s="16">
        <v>6249.49</v>
      </c>
    </row>
    <row r="91" spans="1:25" x14ac:dyDescent="0.3">
      <c r="A91" s="15" t="s">
        <v>324</v>
      </c>
      <c r="B91" s="15" t="s">
        <v>325</v>
      </c>
      <c r="C91" s="16" t="s">
        <v>196</v>
      </c>
      <c r="D91" s="17">
        <v>14087</v>
      </c>
      <c r="J91" s="306">
        <v>2139</v>
      </c>
      <c r="K91" s="15"/>
      <c r="L91" s="15" t="s">
        <v>541</v>
      </c>
      <c r="M91" s="15" t="s">
        <v>542</v>
      </c>
      <c r="N91" s="16" t="s">
        <v>196</v>
      </c>
      <c r="O91" s="17"/>
      <c r="P91" s="17"/>
      <c r="Q91" s="17"/>
      <c r="R91" s="17"/>
      <c r="S91" s="17"/>
      <c r="T91" s="17"/>
      <c r="U91" s="17"/>
      <c r="V91" s="16">
        <v>593.53</v>
      </c>
      <c r="W91" s="16">
        <f>VLOOKUP(J91,'[7]02.26 מעודכן'!$B$2:$N$144,13,FALSE)</f>
        <v>1126.83</v>
      </c>
      <c r="X91" s="16">
        <v>1100.4000000000001</v>
      </c>
      <c r="Y91" s="16">
        <v>6415.9</v>
      </c>
    </row>
    <row r="92" spans="1:25" x14ac:dyDescent="0.3">
      <c r="A92" s="15" t="s">
        <v>396</v>
      </c>
      <c r="B92" s="15" t="s">
        <v>397</v>
      </c>
      <c r="C92" s="16" t="s">
        <v>196</v>
      </c>
      <c r="D92" s="17">
        <v>39530</v>
      </c>
      <c r="J92">
        <v>42</v>
      </c>
      <c r="K92" s="29">
        <v>4</v>
      </c>
      <c r="L92" s="29" t="s">
        <v>291</v>
      </c>
      <c r="M92" s="29" t="s">
        <v>292</v>
      </c>
      <c r="N92" s="18" t="str">
        <f>VLOOKUP(L92,$A$3:$C$126,3,FALSE)</f>
        <v>א.י כירורגיה ואורטופדיה</v>
      </c>
      <c r="O92" s="17">
        <f>VLOOKUP(K92,גליון1!$A$11:$L$323,11,FALSE)</f>
        <v>35815</v>
      </c>
      <c r="P92" s="17">
        <f>VLOOKUP(K92,גליון1!$A$11:$L$323,12,FALSE)</f>
        <v>42225</v>
      </c>
      <c r="Q92" s="17">
        <f>VLOOKUP(K92,'השוואה חודשית 11.25 מול 10.25'!$A$4:$D$330,4,FALSE)</f>
        <v>34591</v>
      </c>
      <c r="R92" s="17">
        <v>39008</v>
      </c>
      <c r="S92" s="17">
        <v>38142</v>
      </c>
      <c r="T92" s="17"/>
      <c r="U92" s="17">
        <v>38142</v>
      </c>
      <c r="V92" s="18">
        <v>39101.71</v>
      </c>
      <c r="W92" s="18">
        <f>VLOOKUP(J92,'[7]02.26 מעודכן'!$B$2:$N$144,13,FALSE)</f>
        <v>35065.01</v>
      </c>
      <c r="X92" s="18">
        <v>206234.53</v>
      </c>
      <c r="Y92" s="18">
        <v>44148.13</v>
      </c>
    </row>
    <row r="93" spans="1:25" x14ac:dyDescent="0.3">
      <c r="A93" s="15" t="s">
        <v>398</v>
      </c>
      <c r="B93" s="15" t="s">
        <v>303</v>
      </c>
      <c r="C93" s="22" t="s">
        <v>399</v>
      </c>
      <c r="D93" s="17">
        <v>38014</v>
      </c>
      <c r="J93">
        <v>59</v>
      </c>
      <c r="K93" s="29">
        <v>5</v>
      </c>
      <c r="L93" s="29" t="s">
        <v>294</v>
      </c>
      <c r="M93" s="29" t="s">
        <v>295</v>
      </c>
      <c r="N93" s="18" t="s">
        <v>293</v>
      </c>
      <c r="O93" s="17">
        <f>VLOOKUP(K93,גליון1!$A$11:$L$323,11,FALSE)</f>
        <v>44129</v>
      </c>
      <c r="P93" s="17">
        <f>VLOOKUP(K93,גליון1!$A$11:$L$323,12,FALSE)</f>
        <v>36836</v>
      </c>
      <c r="Q93" s="17">
        <f>VLOOKUP(K93,'השוואה חודשית 11.25 מול 10.25'!$A$4:$D$330,4,FALSE)</f>
        <v>67424</v>
      </c>
      <c r="R93" s="17">
        <v>40501</v>
      </c>
      <c r="S93" s="17">
        <v>41484</v>
      </c>
      <c r="T93" s="17"/>
      <c r="U93" s="17">
        <v>41484</v>
      </c>
      <c r="V93" s="18">
        <v>40762.11</v>
      </c>
      <c r="W93" s="18">
        <f>VLOOKUP(J93,'[7]02.26 מעודכן'!$B$2:$N$144,13,FALSE)</f>
        <v>44798.82</v>
      </c>
      <c r="X93" s="18">
        <v>216904.02</v>
      </c>
      <c r="Y93" s="18">
        <v>40336.120000000003</v>
      </c>
    </row>
    <row r="94" spans="1:25" x14ac:dyDescent="0.3">
      <c r="A94" s="15" t="s">
        <v>400</v>
      </c>
      <c r="B94" s="15" t="s">
        <v>401</v>
      </c>
      <c r="C94" s="22" t="s">
        <v>399</v>
      </c>
      <c r="D94" s="17">
        <v>4389</v>
      </c>
      <c r="J94">
        <v>547</v>
      </c>
      <c r="K94" s="15">
        <v>54</v>
      </c>
      <c r="L94" s="15" t="s">
        <v>425</v>
      </c>
      <c r="M94" s="15" t="s">
        <v>426</v>
      </c>
      <c r="N94" s="18" t="s">
        <v>293</v>
      </c>
      <c r="O94" s="17">
        <f>VLOOKUP(K94,גליון1!$A$11:$L$323,11,FALSE)</f>
        <v>14835</v>
      </c>
      <c r="P94" s="17">
        <f>VLOOKUP(K94,גליון1!$A$11:$L$323,12,FALSE)</f>
        <v>1941</v>
      </c>
      <c r="Q94" s="17">
        <f>VLOOKUP(K94,'השוואה חודשית 11.25 מול 10.25'!$A$4:$D$330,4,FALSE)</f>
        <v>157</v>
      </c>
      <c r="R94" s="17">
        <v>4640</v>
      </c>
      <c r="S94" s="17">
        <v>0</v>
      </c>
      <c r="T94" s="17"/>
      <c r="U94" s="17">
        <v>0</v>
      </c>
      <c r="V94" s="17"/>
      <c r="W94" s="18">
        <f>VLOOKUP(J94,'[7]02.26 מעודכן'!$B$2:$N$144,13,FALSE)</f>
        <v>7440.62</v>
      </c>
      <c r="X94" s="18">
        <v>14914.14</v>
      </c>
      <c r="Y94" s="18">
        <v>30601.15</v>
      </c>
    </row>
    <row r="95" spans="1:25" x14ac:dyDescent="0.3">
      <c r="A95" s="15" t="s">
        <v>187</v>
      </c>
      <c r="B95" s="15" t="s">
        <v>402</v>
      </c>
      <c r="C95" s="22" t="s">
        <v>399</v>
      </c>
      <c r="D95" s="17">
        <v>4158</v>
      </c>
      <c r="J95">
        <v>612</v>
      </c>
      <c r="K95" s="15">
        <v>61</v>
      </c>
      <c r="L95" s="29" t="s">
        <v>427</v>
      </c>
      <c r="M95" s="29" t="s">
        <v>237</v>
      </c>
      <c r="N95" s="18" t="s">
        <v>293</v>
      </c>
      <c r="O95" s="17">
        <f>VLOOKUP(K95,גליון1!$A$11:$L$323,11,FALSE)</f>
        <v>23847</v>
      </c>
      <c r="P95" s="17">
        <f>VLOOKUP(K95,גליון1!$A$11:$L$323,12,FALSE)</f>
        <v>0</v>
      </c>
      <c r="Q95" s="17">
        <f>VLOOKUP(K95,'השוואה חודשית 11.25 מול 10.25'!$A$4:$D$330,4,FALSE)</f>
        <v>510</v>
      </c>
      <c r="R95" s="17">
        <v>0</v>
      </c>
      <c r="S95" s="17">
        <v>0</v>
      </c>
      <c r="T95" s="17"/>
      <c r="U95" s="17">
        <v>0</v>
      </c>
      <c r="V95" s="17"/>
      <c r="W95" s="18">
        <f>VLOOKUP(J95,'[7]02.26 מעודכן'!$B$2:$N$144,13,FALSE)</f>
        <v>9408.6200000000008</v>
      </c>
      <c r="X95" s="18">
        <v>21740.6</v>
      </c>
      <c r="Y95" s="18">
        <v>26430.5</v>
      </c>
    </row>
    <row r="96" spans="1:25" x14ac:dyDescent="0.3">
      <c r="A96" s="15" t="s">
        <v>367</v>
      </c>
      <c r="B96" s="15" t="s">
        <v>368</v>
      </c>
      <c r="C96" s="21" t="s">
        <v>369</v>
      </c>
      <c r="D96" s="17">
        <v>14306</v>
      </c>
      <c r="J96">
        <v>1636</v>
      </c>
      <c r="K96" s="15">
        <v>163</v>
      </c>
      <c r="L96" s="15" t="s">
        <v>296</v>
      </c>
      <c r="M96" s="15" t="s">
        <v>297</v>
      </c>
      <c r="N96" s="18" t="str">
        <f>VLOOKUP(L96,$A$3:$C$126,3,FALSE)</f>
        <v>א.י כירורגיה ואורטופדיה</v>
      </c>
      <c r="O96" s="17">
        <f>VLOOKUP(K96,גליון1!$A$11:$L$323,11,FALSE)</f>
        <v>13440</v>
      </c>
      <c r="P96" s="17">
        <f>VLOOKUP(K96,גליון1!$A$11:$L$323,12,FALSE)</f>
        <v>13728</v>
      </c>
      <c r="Q96" s="17">
        <f>VLOOKUP(K96,'השוואה חודשית 11.25 מול 10.25'!$A$4:$D$330,4,FALSE)</f>
        <v>13537</v>
      </c>
      <c r="R96" s="17">
        <v>13375</v>
      </c>
      <c r="S96" s="17">
        <v>20834</v>
      </c>
      <c r="T96" s="17"/>
      <c r="U96" s="17">
        <v>20834</v>
      </c>
      <c r="V96" s="17"/>
      <c r="W96" s="17">
        <f>VLOOKUP(J96,'[7]02.26 מעודכן'!$B$2:$N$144,13,FALSE)</f>
        <v>0</v>
      </c>
      <c r="X96" s="17">
        <v>0</v>
      </c>
      <c r="Y96" s="17">
        <v>0</v>
      </c>
    </row>
    <row r="97" spans="1:25" x14ac:dyDescent="0.3">
      <c r="A97" s="15" t="s">
        <v>370</v>
      </c>
      <c r="B97" s="15" t="s">
        <v>371</v>
      </c>
      <c r="C97" s="21" t="s">
        <v>369</v>
      </c>
      <c r="D97" s="17">
        <v>19233</v>
      </c>
      <c r="J97">
        <v>67</v>
      </c>
      <c r="K97" s="15">
        <v>6</v>
      </c>
      <c r="L97" s="15" t="s">
        <v>298</v>
      </c>
      <c r="M97" s="15" t="s">
        <v>127</v>
      </c>
      <c r="N97" s="18" t="str">
        <f>VLOOKUP(L97,$A$3:$C$126,3,FALSE)</f>
        <v>א.י כירורגיה ואורטופדיה</v>
      </c>
      <c r="O97" s="17">
        <f>VLOOKUP(K97,גליון1!$A$11:$L$323,11,FALSE)</f>
        <v>579</v>
      </c>
      <c r="P97" s="17">
        <f>VLOOKUP(K97,גליון1!$A$11:$L$323,12,FALSE)</f>
        <v>0</v>
      </c>
      <c r="Q97" s="17">
        <f>VLOOKUP(K97,'השוואה חודשית 11.25 מול 10.25'!$A$4:$D$330,4,FALSE)</f>
        <v>1984</v>
      </c>
      <c r="R97" s="17">
        <v>4795</v>
      </c>
      <c r="S97" s="17">
        <v>328</v>
      </c>
      <c r="T97" s="17"/>
      <c r="U97" s="17">
        <v>328</v>
      </c>
      <c r="V97" s="18">
        <v>155.51</v>
      </c>
      <c r="W97" s="18">
        <f>VLOOKUP(J97,'[7]02.26 מעודכן'!$B$2:$N$144,13,FALSE)</f>
        <v>155.51</v>
      </c>
      <c r="X97" s="18">
        <v>171.61</v>
      </c>
      <c r="Y97" s="18">
        <v>71.760000000000005</v>
      </c>
    </row>
    <row r="98" spans="1:25" x14ac:dyDescent="0.3">
      <c r="A98" s="15" t="s">
        <v>372</v>
      </c>
      <c r="B98" s="15" t="s">
        <v>91</v>
      </c>
      <c r="C98" s="21" t="s">
        <v>369</v>
      </c>
      <c r="D98" s="17">
        <v>4997</v>
      </c>
      <c r="J98">
        <v>174</v>
      </c>
      <c r="K98" s="15">
        <v>17</v>
      </c>
      <c r="L98" s="15" t="s">
        <v>299</v>
      </c>
      <c r="M98" s="15" t="s">
        <v>300</v>
      </c>
      <c r="N98" s="18" t="str">
        <f>VLOOKUP(L98,$A$3:$C$126,3,FALSE)</f>
        <v>א.י כירורגיה ואורטופדיה</v>
      </c>
      <c r="O98" s="17">
        <f>VLOOKUP(K98,גליון1!$A$11:$L$323,11,FALSE)</f>
        <v>22779</v>
      </c>
      <c r="P98" s="17">
        <f>VLOOKUP(K98,גליון1!$A$11:$L$323,12,FALSE)</f>
        <v>22840</v>
      </c>
      <c r="Q98" s="17">
        <f>VLOOKUP(K98,'השוואה חודשית 11.25 מול 10.25'!$A$4:$D$330,4,FALSE)</f>
        <v>21869</v>
      </c>
      <c r="R98" s="17">
        <v>24898</v>
      </c>
      <c r="S98" s="17">
        <v>22348</v>
      </c>
      <c r="T98" s="17"/>
      <c r="U98" s="17">
        <v>22348</v>
      </c>
      <c r="V98" s="18">
        <v>23532.66</v>
      </c>
      <c r="W98" s="18">
        <f>VLOOKUP(J98,'[7]02.26 מעודכן'!$B$2:$N$144,13,FALSE)</f>
        <v>22686.13</v>
      </c>
      <c r="X98" s="18">
        <v>22059.45</v>
      </c>
      <c r="Y98" s="18">
        <v>22020.98</v>
      </c>
    </row>
    <row r="99" spans="1:25" x14ac:dyDescent="0.3">
      <c r="A99" s="15" t="s">
        <v>373</v>
      </c>
      <c r="B99" s="15" t="s">
        <v>374</v>
      </c>
      <c r="C99" s="21" t="s">
        <v>369</v>
      </c>
      <c r="D99" s="17">
        <v>11957</v>
      </c>
      <c r="J99">
        <v>323</v>
      </c>
      <c r="K99" s="15">
        <v>32</v>
      </c>
      <c r="L99" s="15" t="s">
        <v>301</v>
      </c>
      <c r="M99" s="15" t="s">
        <v>283</v>
      </c>
      <c r="N99" s="18" t="str">
        <f>VLOOKUP(L99,$A$3:$C$126,3,FALSE)</f>
        <v>א.י כירורגיה ואורטופדיה</v>
      </c>
      <c r="O99" s="17">
        <f>VLOOKUP(K99,גליון1!$A$11:$L$323,11,FALSE)</f>
        <v>10264</v>
      </c>
      <c r="P99" s="17">
        <f>VLOOKUP(K99,גליון1!$A$11:$L$323,12,FALSE)</f>
        <v>11952</v>
      </c>
      <c r="Q99" s="17">
        <f>VLOOKUP(K99,'השוואה חודשית 11.25 מול 10.25'!$A$4:$D$330,4,FALSE)</f>
        <v>11190</v>
      </c>
      <c r="R99" s="17">
        <v>15083</v>
      </c>
      <c r="S99" s="17">
        <v>14556</v>
      </c>
      <c r="T99" s="17"/>
      <c r="U99" s="17">
        <v>14556</v>
      </c>
      <c r="V99" s="18">
        <v>12948.53</v>
      </c>
      <c r="W99" s="18">
        <f>VLOOKUP(J99,'[7]02.26 מעודכן'!$B$2:$N$144,13,FALSE)</f>
        <v>9579.15</v>
      </c>
      <c r="X99" s="18">
        <v>2912.51</v>
      </c>
      <c r="Y99" s="18">
        <v>1967.75</v>
      </c>
    </row>
    <row r="100" spans="1:25" x14ac:dyDescent="0.3">
      <c r="A100" s="15" t="s">
        <v>375</v>
      </c>
      <c r="B100" s="15" t="s">
        <v>142</v>
      </c>
      <c r="C100" s="21" t="s">
        <v>369</v>
      </c>
      <c r="D100" s="17">
        <v>10747</v>
      </c>
      <c r="J100">
        <v>372</v>
      </c>
      <c r="K100" s="15">
        <v>37</v>
      </c>
      <c r="L100" s="15" t="s">
        <v>302</v>
      </c>
      <c r="M100" s="15" t="s">
        <v>303</v>
      </c>
      <c r="N100" s="18" t="str">
        <f>VLOOKUP(L100,$A$3:$C$126,3,FALSE)</f>
        <v>א.י כירורגיה ואורטופדיה</v>
      </c>
      <c r="O100" s="17">
        <f>VLOOKUP(K100,גליון1!$A$11:$L$323,11,FALSE)</f>
        <v>4619</v>
      </c>
      <c r="P100" s="17">
        <f>VLOOKUP(K100,גליון1!$A$11:$L$323,12,FALSE)</f>
        <v>0</v>
      </c>
      <c r="Q100" s="17">
        <f>VLOOKUP(K100,'השוואה חודשית 11.25 מול 10.25'!$A$4:$D$330,4,FALSE)</f>
        <v>325</v>
      </c>
      <c r="R100" s="17">
        <v>6244</v>
      </c>
      <c r="S100" s="17">
        <v>2917</v>
      </c>
      <c r="T100" s="17"/>
      <c r="U100" s="17">
        <v>2917</v>
      </c>
      <c r="V100" s="18">
        <v>2102.06</v>
      </c>
      <c r="W100" s="18">
        <f>VLOOKUP(J100,'[7]02.26 מעודכן'!$B$2:$N$144,13,FALSE)</f>
        <v>1173.3900000000001</v>
      </c>
      <c r="X100" s="18">
        <v>2084.67</v>
      </c>
      <c r="Y100" s="18">
        <v>5182.3999999999996</v>
      </c>
    </row>
    <row r="101" spans="1:25" x14ac:dyDescent="0.3">
      <c r="A101" s="15" t="s">
        <v>376</v>
      </c>
      <c r="B101" s="15" t="s">
        <v>377</v>
      </c>
      <c r="C101" s="21" t="s">
        <v>369</v>
      </c>
      <c r="D101" s="17">
        <v>5239</v>
      </c>
      <c r="J101">
        <v>0</v>
      </c>
      <c r="K101" s="15">
        <v>44</v>
      </c>
      <c r="L101" s="15" t="s">
        <v>543</v>
      </c>
      <c r="M101" s="15" t="s">
        <v>544</v>
      </c>
      <c r="N101" s="18" t="s">
        <v>293</v>
      </c>
      <c r="O101" s="17">
        <f>VLOOKUP(K101,גליון1!$A$11:$L$323,11,FALSE)</f>
        <v>10646</v>
      </c>
      <c r="P101" s="17">
        <f>VLOOKUP(K101,גליון1!$A$11:$L$323,12,FALSE)</f>
        <v>9335</v>
      </c>
      <c r="Q101" s="17">
        <f>VLOOKUP(K101,'השוואה חודשית 11.25 מול 10.25'!$A$4:$D$330,4,FALSE)</f>
        <v>22198</v>
      </c>
      <c r="R101" s="17">
        <v>2657</v>
      </c>
      <c r="S101" s="17">
        <v>0</v>
      </c>
      <c r="T101" s="17"/>
      <c r="U101" s="17">
        <v>0</v>
      </c>
      <c r="V101" s="17"/>
      <c r="W101" s="17"/>
      <c r="X101" s="17"/>
      <c r="Y101" s="17"/>
    </row>
    <row r="102" spans="1:25" x14ac:dyDescent="0.3">
      <c r="A102" s="15" t="s">
        <v>378</v>
      </c>
      <c r="B102" s="15" t="s">
        <v>379</v>
      </c>
      <c r="C102" s="21" t="s">
        <v>369</v>
      </c>
      <c r="D102" s="17">
        <v>9916</v>
      </c>
      <c r="J102">
        <v>539</v>
      </c>
      <c r="K102" s="15">
        <v>53</v>
      </c>
      <c r="L102" s="15" t="s">
        <v>304</v>
      </c>
      <c r="M102" s="15" t="s">
        <v>164</v>
      </c>
      <c r="N102" s="18" t="str">
        <f t="shared" ref="N102:N112" si="0">VLOOKUP(L102,$A$3:$C$126,3,FALSE)</f>
        <v>א.י כירורגיה ואורטופדיה</v>
      </c>
      <c r="O102" s="17">
        <f>VLOOKUP(K102,גליון1!$A$11:$L$323,11,FALSE)</f>
        <v>10643</v>
      </c>
      <c r="P102" s="17">
        <f>VLOOKUP(K102,גליון1!$A$11:$L$323,12,FALSE)</f>
        <v>9271</v>
      </c>
      <c r="Q102" s="17">
        <f>VLOOKUP(K102,'השוואה חודשית 11.25 מול 10.25'!$A$4:$D$330,4,FALSE)</f>
        <v>11567</v>
      </c>
      <c r="R102" s="17">
        <v>15311</v>
      </c>
      <c r="S102" s="17">
        <v>13400</v>
      </c>
      <c r="T102" s="17"/>
      <c r="U102" s="17">
        <v>13400</v>
      </c>
      <c r="V102" s="17"/>
      <c r="W102" s="17">
        <f>VLOOKUP(J102,'[7]02.26 מעודכן'!$B$2:$N$144,13,FALSE)</f>
        <v>0</v>
      </c>
      <c r="X102" s="17">
        <v>0</v>
      </c>
      <c r="Y102" s="17">
        <v>0</v>
      </c>
    </row>
    <row r="103" spans="1:25" x14ac:dyDescent="0.3">
      <c r="A103" s="15" t="s">
        <v>380</v>
      </c>
      <c r="B103" s="15" t="s">
        <v>322</v>
      </c>
      <c r="C103" s="21" t="s">
        <v>369</v>
      </c>
      <c r="D103" s="17">
        <v>7295</v>
      </c>
      <c r="J103">
        <v>570</v>
      </c>
      <c r="K103" s="15">
        <v>57</v>
      </c>
      <c r="L103" s="15" t="s">
        <v>305</v>
      </c>
      <c r="M103" s="15" t="s">
        <v>306</v>
      </c>
      <c r="N103" s="18" t="str">
        <f t="shared" si="0"/>
        <v>א.י כירורגיה ואורטופדיה</v>
      </c>
      <c r="O103" s="17">
        <f>VLOOKUP(K103,גליון1!$A$11:$L$323,11,FALSE)</f>
        <v>6026</v>
      </c>
      <c r="P103" s="17">
        <f>VLOOKUP(K103,גליון1!$A$11:$L$323,12,FALSE)</f>
        <v>14837</v>
      </c>
      <c r="Q103" s="17">
        <f>VLOOKUP(K103,'השוואה חודשית 11.25 מול 10.25'!$A$4:$D$330,4,FALSE)</f>
        <v>7753</v>
      </c>
      <c r="R103" s="17">
        <v>8835</v>
      </c>
      <c r="S103" s="17">
        <v>6936</v>
      </c>
      <c r="T103" s="17"/>
      <c r="U103" s="17">
        <v>6936</v>
      </c>
      <c r="V103" s="18">
        <v>14625.16</v>
      </c>
      <c r="W103" s="18">
        <f>VLOOKUP(J103,'[7]02.26 מעודכן'!$B$2:$N$144,13,FALSE)</f>
        <v>3469.58</v>
      </c>
      <c r="X103" s="18">
        <v>7566.71</v>
      </c>
      <c r="Y103" s="18">
        <v>10132.379999999999</v>
      </c>
    </row>
    <row r="104" spans="1:25" x14ac:dyDescent="0.3">
      <c r="A104" s="15" t="s">
        <v>381</v>
      </c>
      <c r="B104" s="15" t="s">
        <v>382</v>
      </c>
      <c r="C104" s="21" t="s">
        <v>369</v>
      </c>
      <c r="D104" s="17">
        <v>8200</v>
      </c>
      <c r="J104">
        <v>1099</v>
      </c>
      <c r="K104" s="15">
        <v>109</v>
      </c>
      <c r="L104" s="15" t="s">
        <v>307</v>
      </c>
      <c r="M104" s="15" t="s">
        <v>222</v>
      </c>
      <c r="N104" s="18" t="str">
        <f t="shared" si="0"/>
        <v>א.י כירורגיה ואורטופדיה</v>
      </c>
      <c r="O104" s="17">
        <f>VLOOKUP(K104,גליון1!$A$11:$L$323,11,FALSE)</f>
        <v>8898</v>
      </c>
      <c r="P104" s="17">
        <f>VLOOKUP(K104,גליון1!$A$11:$L$323,12,FALSE)</f>
        <v>4781</v>
      </c>
      <c r="Q104" s="17">
        <f>VLOOKUP(K104,'השוואה חודשית 11.25 מול 10.25'!$A$4:$D$330,4,FALSE)</f>
        <v>586</v>
      </c>
      <c r="R104" s="17">
        <v>6005</v>
      </c>
      <c r="S104" s="17">
        <v>3348</v>
      </c>
      <c r="T104" s="17"/>
      <c r="U104" s="17">
        <v>3348</v>
      </c>
      <c r="V104" s="18">
        <v>3239.2</v>
      </c>
      <c r="W104" s="18">
        <f>VLOOKUP(J104,'[7]02.26 מעודכן'!$B$2:$N$144,13,FALSE)</f>
        <v>1607.7</v>
      </c>
      <c r="X104" s="18">
        <v>6738.21</v>
      </c>
      <c r="Y104" s="18">
        <v>3831.05</v>
      </c>
    </row>
    <row r="105" spans="1:25" x14ac:dyDescent="0.3">
      <c r="A105" s="15" t="s">
        <v>194</v>
      </c>
      <c r="B105" s="15" t="s">
        <v>383</v>
      </c>
      <c r="C105" s="21" t="s">
        <v>369</v>
      </c>
      <c r="D105" s="17">
        <v>27882</v>
      </c>
      <c r="J105">
        <v>1198</v>
      </c>
      <c r="K105" s="15">
        <v>119</v>
      </c>
      <c r="L105" s="15" t="s">
        <v>308</v>
      </c>
      <c r="M105" s="15" t="s">
        <v>91</v>
      </c>
      <c r="N105" s="18" t="str">
        <f t="shared" si="0"/>
        <v>א.י כירורגיה ואורטופדיה</v>
      </c>
      <c r="O105" s="17">
        <f>VLOOKUP(K105,גליון1!$A$11:$L$323,11,FALSE)</f>
        <v>10652</v>
      </c>
      <c r="P105" s="17">
        <f>VLOOKUP(K105,גליון1!$A$11:$L$323,12,FALSE)</f>
        <v>10523</v>
      </c>
      <c r="Q105" s="17">
        <f>VLOOKUP(K105,'השוואה חודשית 11.25 מול 10.25'!$A$4:$D$330,4,FALSE)</f>
        <v>10527</v>
      </c>
      <c r="R105" s="17">
        <v>17350</v>
      </c>
      <c r="S105" s="17">
        <v>12548</v>
      </c>
      <c r="T105" s="17"/>
      <c r="U105" s="17">
        <v>12548</v>
      </c>
      <c r="V105" s="18">
        <v>10879.44</v>
      </c>
      <c r="W105" s="18">
        <f>VLOOKUP(J105,'[7]02.26 מעודכן'!$B$2:$N$144,13,FALSE)</f>
        <v>12168.52</v>
      </c>
      <c r="X105" s="18">
        <v>11122.98</v>
      </c>
      <c r="Y105" s="18">
        <v>12759.57</v>
      </c>
    </row>
    <row r="106" spans="1:25" x14ac:dyDescent="0.3">
      <c r="A106" s="15" t="s">
        <v>384</v>
      </c>
      <c r="B106" s="15" t="s">
        <v>385</v>
      </c>
      <c r="C106" s="21" t="s">
        <v>369</v>
      </c>
      <c r="D106" s="17">
        <v>15878</v>
      </c>
      <c r="J106">
        <v>1206</v>
      </c>
      <c r="K106" s="15">
        <v>120</v>
      </c>
      <c r="L106" s="15" t="s">
        <v>309</v>
      </c>
      <c r="M106" s="15" t="s">
        <v>310</v>
      </c>
      <c r="N106" s="18" t="str">
        <f t="shared" si="0"/>
        <v>א.י כירורגיה ואורטופדיה</v>
      </c>
      <c r="O106" s="17">
        <f>VLOOKUP(K106,גליון1!$A$11:$L$323,11,FALSE)</f>
        <v>955</v>
      </c>
      <c r="P106" s="17">
        <f>VLOOKUP(K106,גליון1!$A$11:$L$323,12,FALSE)</f>
        <v>2186</v>
      </c>
      <c r="Q106" s="17">
        <f>VLOOKUP(K106,'השוואה חודשית 11.25 מול 10.25'!$A$4:$D$330,4,FALSE)</f>
        <v>1203</v>
      </c>
      <c r="R106" s="17">
        <v>4342</v>
      </c>
      <c r="S106" s="17">
        <v>1926</v>
      </c>
      <c r="T106" s="17"/>
      <c r="U106" s="17">
        <v>1926</v>
      </c>
      <c r="V106" s="18">
        <v>1234.96</v>
      </c>
      <c r="W106" s="18">
        <f>VLOOKUP(J106,'[7]02.26 מעודכן'!$B$2:$N$144,13,FALSE)</f>
        <v>845.16</v>
      </c>
      <c r="X106" s="18">
        <v>7.72</v>
      </c>
      <c r="Y106" s="18">
        <v>1462.27</v>
      </c>
    </row>
    <row r="107" spans="1:25" x14ac:dyDescent="0.3">
      <c r="A107" s="15" t="s">
        <v>386</v>
      </c>
      <c r="B107" s="15" t="s">
        <v>387</v>
      </c>
      <c r="C107" s="21" t="s">
        <v>369</v>
      </c>
      <c r="D107" s="17">
        <v>25226</v>
      </c>
      <c r="J107">
        <v>1230</v>
      </c>
      <c r="K107" s="15">
        <v>123</v>
      </c>
      <c r="L107" s="15" t="s">
        <v>311</v>
      </c>
      <c r="M107" s="15" t="s">
        <v>312</v>
      </c>
      <c r="N107" s="18" t="str">
        <f t="shared" si="0"/>
        <v>א.י כירורגיה ואורטופדיה</v>
      </c>
      <c r="O107" s="17">
        <f>VLOOKUP(K107,גליון1!$A$11:$L$323,11,FALSE)</f>
        <v>12382</v>
      </c>
      <c r="P107" s="17">
        <f>VLOOKUP(K107,גליון1!$A$11:$L$323,12,FALSE)</f>
        <v>11919</v>
      </c>
      <c r="Q107" s="17">
        <f>VLOOKUP(K107,'השוואה חודשית 11.25 מול 10.25'!$A$4:$D$330,4,FALSE)</f>
        <v>10956</v>
      </c>
      <c r="R107" s="17">
        <v>15122</v>
      </c>
      <c r="S107" s="17">
        <v>12070</v>
      </c>
      <c r="T107" s="17"/>
      <c r="U107" s="17">
        <v>12070</v>
      </c>
      <c r="V107" s="18">
        <v>11308.6</v>
      </c>
      <c r="W107" s="18">
        <f>VLOOKUP(J107,'[7]02.26 מעודכן'!$B$2:$N$144,13,FALSE)</f>
        <v>12728.86</v>
      </c>
      <c r="X107" s="18">
        <v>15244.55</v>
      </c>
      <c r="Y107" s="18">
        <v>17016.150000000001</v>
      </c>
    </row>
    <row r="108" spans="1:25" x14ac:dyDescent="0.3">
      <c r="A108" s="15" t="s">
        <v>388</v>
      </c>
      <c r="B108" s="15" t="s">
        <v>389</v>
      </c>
      <c r="C108" s="21" t="s">
        <v>369</v>
      </c>
      <c r="D108" s="17">
        <v>12990</v>
      </c>
      <c r="J108">
        <v>0</v>
      </c>
      <c r="K108" s="15">
        <v>142</v>
      </c>
      <c r="L108" s="15" t="s">
        <v>545</v>
      </c>
      <c r="M108" s="15" t="s">
        <v>546</v>
      </c>
      <c r="N108" s="15" t="e">
        <f t="shared" si="0"/>
        <v>#N/A</v>
      </c>
      <c r="O108" s="17">
        <f>VLOOKUP(K108,גליון1!$A$11:$L$323,11,FALSE)</f>
        <v>0</v>
      </c>
      <c r="P108" s="17">
        <f>VLOOKUP(K108,גליון1!$A$11:$L$323,12,FALSE)</f>
        <v>0</v>
      </c>
      <c r="Q108" s="17">
        <f>VLOOKUP(K108,'השוואה חודשית 11.25 מול 10.25'!$A$4:$D$330,4,FALSE)</f>
        <v>0</v>
      </c>
      <c r="R108" s="17">
        <v>0</v>
      </c>
      <c r="S108" s="17">
        <v>0</v>
      </c>
      <c r="T108" s="17"/>
      <c r="U108" s="17">
        <v>0</v>
      </c>
      <c r="V108" s="17"/>
      <c r="W108" s="17"/>
      <c r="X108" s="17"/>
      <c r="Y108" s="17"/>
    </row>
    <row r="109" spans="1:25" x14ac:dyDescent="0.3">
      <c r="A109" s="15" t="s">
        <v>390</v>
      </c>
      <c r="B109" s="15" t="s">
        <v>135</v>
      </c>
      <c r="C109" s="21" t="s">
        <v>369</v>
      </c>
      <c r="D109" s="17">
        <v>3773</v>
      </c>
      <c r="J109">
        <v>1628</v>
      </c>
      <c r="K109" s="15">
        <v>162</v>
      </c>
      <c r="L109" s="15" t="s">
        <v>313</v>
      </c>
      <c r="M109" s="15" t="s">
        <v>314</v>
      </c>
      <c r="N109" s="18" t="str">
        <f t="shared" si="0"/>
        <v>א.י כירורגיה ואורטופדיה</v>
      </c>
      <c r="O109" s="17">
        <f>VLOOKUP(K109,גליון1!$A$11:$L$323,11,FALSE)</f>
        <v>6895</v>
      </c>
      <c r="P109" s="17">
        <f>VLOOKUP(K109,גליון1!$A$11:$L$323,12,FALSE)</f>
        <v>3732</v>
      </c>
      <c r="Q109" s="17">
        <f>VLOOKUP(K109,'השוואה חודשית 11.25 מול 10.25'!$A$4:$D$330,4,FALSE)</f>
        <v>5682</v>
      </c>
      <c r="R109" s="17">
        <v>7795</v>
      </c>
      <c r="S109" s="17">
        <v>12479</v>
      </c>
      <c r="T109" s="17"/>
      <c r="U109" s="17">
        <v>12479</v>
      </c>
      <c r="V109" s="18">
        <v>10521.45</v>
      </c>
      <c r="W109" s="18">
        <f>VLOOKUP(J109,'[7]02.26 מעודכן'!$B$2:$N$144,13,FALSE)</f>
        <v>9158.5499999999993</v>
      </c>
      <c r="X109" s="18">
        <v>10930.21</v>
      </c>
      <c r="Y109" s="18">
        <v>11191.34</v>
      </c>
    </row>
    <row r="110" spans="1:25" x14ac:dyDescent="0.3">
      <c r="A110" s="15" t="s">
        <v>391</v>
      </c>
      <c r="B110" s="15" t="s">
        <v>392</v>
      </c>
      <c r="C110" s="21" t="s">
        <v>369</v>
      </c>
      <c r="D110" s="17">
        <v>8758</v>
      </c>
      <c r="J110">
        <v>1784</v>
      </c>
      <c r="K110" s="15">
        <v>178</v>
      </c>
      <c r="L110" s="15" t="s">
        <v>315</v>
      </c>
      <c r="M110" s="15" t="s">
        <v>316</v>
      </c>
      <c r="N110" s="18" t="str">
        <f t="shared" si="0"/>
        <v>א.י כירורגיה ואורטופדיה</v>
      </c>
      <c r="O110" s="17">
        <f>VLOOKUP(K110,גליון1!$A$11:$L$323,11,FALSE)</f>
        <v>9324</v>
      </c>
      <c r="P110" s="17">
        <f>VLOOKUP(K110,גליון1!$A$11:$L$323,12,FALSE)</f>
        <v>8374</v>
      </c>
      <c r="Q110" s="17">
        <f>VLOOKUP(K110,'השוואה חודשית 11.25 מול 10.25'!$A$4:$D$330,4,FALSE)</f>
        <v>9241</v>
      </c>
      <c r="R110" s="17">
        <v>10536</v>
      </c>
      <c r="S110" s="17">
        <v>9755</v>
      </c>
      <c r="T110" s="17"/>
      <c r="U110" s="17">
        <v>9755</v>
      </c>
      <c r="V110" s="18">
        <v>10206.959999999999</v>
      </c>
      <c r="W110" s="18">
        <f>VLOOKUP(J110,'[7]02.26 מעודכן'!$B$2:$N$144,13,FALSE)</f>
        <v>8439.2099999999991</v>
      </c>
      <c r="X110" s="18">
        <v>9018.99</v>
      </c>
      <c r="Y110" s="18">
        <v>10690.82</v>
      </c>
    </row>
    <row r="111" spans="1:25" x14ac:dyDescent="0.3">
      <c r="A111" s="15" t="s">
        <v>393</v>
      </c>
      <c r="B111" s="15" t="s">
        <v>394</v>
      </c>
      <c r="C111" s="21" t="s">
        <v>369</v>
      </c>
      <c r="D111" s="17">
        <v>31553</v>
      </c>
      <c r="J111">
        <v>1883</v>
      </c>
      <c r="K111" s="15">
        <v>188</v>
      </c>
      <c r="L111" s="15" t="s">
        <v>317</v>
      </c>
      <c r="M111" s="15" t="s">
        <v>142</v>
      </c>
      <c r="N111" s="18" t="str">
        <f t="shared" si="0"/>
        <v>א.י כירורגיה ואורטופדיה</v>
      </c>
      <c r="O111" s="17">
        <f>VLOOKUP(K111,גליון1!$A$11:$L$323,11,FALSE)</f>
        <v>6351</v>
      </c>
      <c r="P111" s="17">
        <f>VLOOKUP(K111,גליון1!$A$11:$L$323,12,FALSE)</f>
        <v>4830</v>
      </c>
      <c r="Q111" s="17">
        <f>VLOOKUP(K111,'השוואה חודשית 11.25 מול 10.25'!$A$4:$D$330,4,FALSE)</f>
        <v>5683</v>
      </c>
      <c r="R111" s="17">
        <v>3356</v>
      </c>
      <c r="S111" s="17">
        <v>6259</v>
      </c>
      <c r="T111" s="17"/>
      <c r="U111" s="17">
        <v>6259</v>
      </c>
      <c r="V111" s="18">
        <v>4410.3900000000003</v>
      </c>
      <c r="W111" s="18">
        <f>VLOOKUP(J111,'[7]02.26 מעודכן'!$B$2:$N$144,13,FALSE)</f>
        <v>3095.4</v>
      </c>
      <c r="X111" s="18">
        <v>3593.88</v>
      </c>
      <c r="Y111" s="18">
        <v>4198.38</v>
      </c>
    </row>
    <row r="112" spans="1:25" x14ac:dyDescent="0.3">
      <c r="A112" s="15" t="s">
        <v>395</v>
      </c>
      <c r="B112" s="15" t="s">
        <v>236</v>
      </c>
      <c r="C112" s="21" t="s">
        <v>369</v>
      </c>
      <c r="D112" s="17">
        <v>3625</v>
      </c>
      <c r="J112">
        <v>2063</v>
      </c>
      <c r="K112" s="15">
        <v>206</v>
      </c>
      <c r="L112" s="15" t="s">
        <v>318</v>
      </c>
      <c r="M112" s="15" t="s">
        <v>319</v>
      </c>
      <c r="N112" s="18" t="str">
        <f t="shared" si="0"/>
        <v>א.י כירורגיה ואורטופדיה</v>
      </c>
      <c r="O112" s="17"/>
      <c r="P112" s="17"/>
      <c r="Q112" s="17"/>
      <c r="R112" s="17">
        <v>0</v>
      </c>
      <c r="S112" s="17">
        <v>3138</v>
      </c>
      <c r="T112" s="17"/>
      <c r="U112" s="17">
        <v>3138</v>
      </c>
      <c r="V112" s="18">
        <v>7311.96</v>
      </c>
      <c r="W112" s="18">
        <f>VLOOKUP(J112,'[7]02.26 מעודכן'!$B$2:$N$144,13,FALSE)</f>
        <v>7690.67</v>
      </c>
      <c r="X112" s="18">
        <v>6500.38</v>
      </c>
      <c r="Y112" s="18">
        <v>13445.18</v>
      </c>
    </row>
    <row r="113" spans="1:25" x14ac:dyDescent="0.3">
      <c r="A113" s="29" t="s">
        <v>344</v>
      </c>
      <c r="B113" s="29" t="s">
        <v>345</v>
      </c>
      <c r="C113" s="20" t="s">
        <v>346</v>
      </c>
      <c r="D113" s="17">
        <v>48759</v>
      </c>
      <c r="J113">
        <v>109</v>
      </c>
      <c r="K113" s="15">
        <v>10</v>
      </c>
      <c r="L113" s="15" t="s">
        <v>320</v>
      </c>
      <c r="M113" s="15" t="s">
        <v>165</v>
      </c>
      <c r="N113" s="19" t="s">
        <v>321</v>
      </c>
      <c r="O113" s="17">
        <f>VLOOKUP(K113,גליון1!$A$11:$L$323,11,FALSE)</f>
        <v>16047</v>
      </c>
      <c r="P113" s="17">
        <f>VLOOKUP(K113,גליון1!$A$11:$L$323,12,FALSE)</f>
        <v>16208</v>
      </c>
      <c r="Q113" s="17">
        <f>VLOOKUP(K113,'השוואה חודשית 11.25 מול 10.25'!$A$4:$D$330,4,FALSE)</f>
        <v>16607</v>
      </c>
      <c r="R113" s="17">
        <v>19234</v>
      </c>
      <c r="S113" s="17">
        <v>17555</v>
      </c>
      <c r="T113" s="17"/>
      <c r="U113" s="17">
        <v>17555</v>
      </c>
      <c r="V113" s="19">
        <v>21170.080000000002</v>
      </c>
      <c r="W113" s="19">
        <f>VLOOKUP(J113,'[7]02.26 מעודכן'!$B$2:$N$144,13,FALSE)</f>
        <v>20997.72</v>
      </c>
      <c r="X113" s="19">
        <v>21116.59</v>
      </c>
      <c r="Y113" s="19">
        <v>21489.83</v>
      </c>
    </row>
    <row r="114" spans="1:25" ht="14.5" x14ac:dyDescent="0.35">
      <c r="A114" s="29" t="s">
        <v>347</v>
      </c>
      <c r="B114" s="29" t="s">
        <v>348</v>
      </c>
      <c r="C114" s="20" t="s">
        <v>346</v>
      </c>
      <c r="D114" s="17">
        <v>20769</v>
      </c>
      <c r="E114" s="28" t="s">
        <v>406</v>
      </c>
      <c r="J114">
        <v>117</v>
      </c>
      <c r="K114" s="15">
        <v>11</v>
      </c>
      <c r="L114" s="15" t="s">
        <v>322</v>
      </c>
      <c r="M114" s="15" t="s">
        <v>323</v>
      </c>
      <c r="N114" s="19" t="s">
        <v>321</v>
      </c>
      <c r="O114" s="17">
        <f>VLOOKUP(K114,גליון1!$A$11:$L$323,11,FALSE)</f>
        <v>21662</v>
      </c>
      <c r="P114" s="17">
        <f>VLOOKUP(K114,גליון1!$A$11:$L$323,12,FALSE)</f>
        <v>21660</v>
      </c>
      <c r="Q114" s="17">
        <f>VLOOKUP(K114,'השוואה חודשית 11.25 מול 10.25'!$A$4:$D$330,4,FALSE)</f>
        <v>21630</v>
      </c>
      <c r="R114" s="17">
        <v>24971</v>
      </c>
      <c r="S114" s="17">
        <v>21759</v>
      </c>
      <c r="T114" s="17"/>
      <c r="U114" s="17">
        <v>21759</v>
      </c>
      <c r="V114" s="19">
        <v>22221.9</v>
      </c>
      <c r="W114" s="19">
        <f>VLOOKUP(J114,'[7]02.26 מעודכן'!$B$2:$N$144,13,FALSE)</f>
        <v>22221.9</v>
      </c>
      <c r="X114" s="19">
        <v>22238.32</v>
      </c>
      <c r="Y114" s="19">
        <v>22215.35</v>
      </c>
    </row>
    <row r="115" spans="1:25" x14ac:dyDescent="0.3">
      <c r="A115" s="29" t="s">
        <v>349</v>
      </c>
      <c r="B115" s="29" t="s">
        <v>350</v>
      </c>
      <c r="C115" s="20" t="s">
        <v>346</v>
      </c>
      <c r="D115" s="17">
        <v>18780</v>
      </c>
      <c r="E115">
        <v>25</v>
      </c>
      <c r="F115" t="s">
        <v>344</v>
      </c>
      <c r="G115" t="s">
        <v>345</v>
      </c>
      <c r="J115">
        <v>125</v>
      </c>
      <c r="K115" s="15">
        <v>12</v>
      </c>
      <c r="L115" s="15" t="s">
        <v>324</v>
      </c>
      <c r="M115" s="15" t="s">
        <v>325</v>
      </c>
      <c r="N115" s="16" t="s">
        <v>196</v>
      </c>
      <c r="O115" s="17">
        <f>VLOOKUP(K115,גליון1!$A$11:$L$323,11,FALSE)</f>
        <v>16297</v>
      </c>
      <c r="P115" s="17">
        <f>VLOOKUP(K115,גליון1!$A$11:$L$323,12,FALSE)</f>
        <v>15357</v>
      </c>
      <c r="Q115" s="17">
        <f>VLOOKUP(K115,'השוואה חודשית 11.25 מול 10.25'!$A$4:$D$330,4,FALSE)</f>
        <v>15423</v>
      </c>
      <c r="R115" s="17">
        <v>18879</v>
      </c>
      <c r="S115" s="17">
        <v>14087</v>
      </c>
      <c r="T115" s="17"/>
      <c r="U115" s="17">
        <v>14087</v>
      </c>
      <c r="V115" s="16">
        <v>14381.12</v>
      </c>
      <c r="W115" s="16">
        <f>VLOOKUP(J115,'[7]02.26 מעודכן'!$B$2:$N$144,13,FALSE)</f>
        <v>13941.25</v>
      </c>
      <c r="X115" s="16">
        <v>14531.4</v>
      </c>
      <c r="Y115" s="16">
        <v>15996.45</v>
      </c>
    </row>
    <row r="116" spans="1:25" x14ac:dyDescent="0.3">
      <c r="A116" s="29" t="s">
        <v>294</v>
      </c>
      <c r="B116" s="29" t="s">
        <v>351</v>
      </c>
      <c r="C116" s="20" t="s">
        <v>346</v>
      </c>
      <c r="D116" s="17">
        <v>19687</v>
      </c>
      <c r="E116">
        <v>29</v>
      </c>
      <c r="F116" t="s">
        <v>347</v>
      </c>
      <c r="G116" t="s">
        <v>348</v>
      </c>
      <c r="J116">
        <v>158</v>
      </c>
      <c r="K116" s="15">
        <v>15</v>
      </c>
      <c r="L116" s="15" t="s">
        <v>326</v>
      </c>
      <c r="M116" s="15" t="s">
        <v>327</v>
      </c>
      <c r="N116" s="19" t="s">
        <v>321</v>
      </c>
      <c r="O116" s="17">
        <f>VLOOKUP(K116,גליון1!$A$11:$L$323,11,FALSE)</f>
        <v>6105</v>
      </c>
      <c r="P116" s="17">
        <f>VLOOKUP(K116,גליון1!$A$11:$L$323,12,FALSE)</f>
        <v>13942</v>
      </c>
      <c r="Q116" s="17">
        <f>VLOOKUP(K116,'השוואה חודשית 11.25 מול 10.25'!$A$4:$D$330,4,FALSE)</f>
        <v>13587</v>
      </c>
      <c r="R116" s="17">
        <v>17632</v>
      </c>
      <c r="S116" s="17">
        <v>15170</v>
      </c>
      <c r="T116" s="17"/>
      <c r="U116" s="17">
        <v>15170</v>
      </c>
      <c r="V116" s="19">
        <v>14595.74</v>
      </c>
      <c r="W116" s="19">
        <f>VLOOKUP(J116,'[7]02.26 מעודכן'!$B$2:$N$144,13,FALSE)</f>
        <v>15532.81</v>
      </c>
      <c r="X116" s="19">
        <v>13992.85</v>
      </c>
      <c r="Y116" s="19">
        <v>13947.24</v>
      </c>
    </row>
    <row r="117" spans="1:25" x14ac:dyDescent="0.3">
      <c r="A117" s="15" t="s">
        <v>352</v>
      </c>
      <c r="B117" s="15" t="s">
        <v>237</v>
      </c>
      <c r="C117" s="20" t="s">
        <v>346</v>
      </c>
      <c r="D117" s="17">
        <v>10883</v>
      </c>
      <c r="E117">
        <v>40</v>
      </c>
      <c r="F117" t="s">
        <v>349</v>
      </c>
      <c r="G117" t="s">
        <v>350</v>
      </c>
      <c r="J117">
        <v>1404</v>
      </c>
      <c r="K117" s="15">
        <v>140</v>
      </c>
      <c r="L117" s="15" t="s">
        <v>328</v>
      </c>
      <c r="M117" s="15" t="s">
        <v>172</v>
      </c>
      <c r="N117" s="19" t="s">
        <v>321</v>
      </c>
      <c r="O117" s="17">
        <f>VLOOKUP(K117,גליון1!$A$11:$L$323,11,FALSE)</f>
        <v>7508</v>
      </c>
      <c r="P117" s="17">
        <f>VLOOKUP(K117,גליון1!$A$11:$L$323,12,FALSE)</f>
        <v>7447</v>
      </c>
      <c r="Q117" s="17">
        <f>VLOOKUP(K117,'השוואה חודשית 11.25 מול 10.25'!$A$4:$D$330,4,FALSE)</f>
        <v>16976</v>
      </c>
      <c r="R117" s="17">
        <v>11906</v>
      </c>
      <c r="S117" s="17">
        <v>11822</v>
      </c>
      <c r="T117" s="17"/>
      <c r="U117" s="17">
        <v>11822</v>
      </c>
      <c r="V117" s="19">
        <v>11892.4</v>
      </c>
      <c r="W117" s="19">
        <f>VLOOKUP(J117,'[7]02.26 מעודכן'!$B$2:$N$144,13,FALSE)</f>
        <v>9751.5499999999993</v>
      </c>
      <c r="X117" s="19">
        <v>7149.04</v>
      </c>
      <c r="Y117" s="19">
        <v>11024.89</v>
      </c>
    </row>
    <row r="118" spans="1:25" x14ac:dyDescent="0.3">
      <c r="A118" s="15" t="s">
        <v>243</v>
      </c>
      <c r="B118" s="15" t="s">
        <v>291</v>
      </c>
      <c r="C118" s="20" t="s">
        <v>346</v>
      </c>
      <c r="D118" s="17">
        <v>14285</v>
      </c>
      <c r="E118">
        <v>114</v>
      </c>
      <c r="F118" t="s">
        <v>294</v>
      </c>
      <c r="G118" t="s">
        <v>351</v>
      </c>
      <c r="J118">
        <v>0</v>
      </c>
      <c r="K118" s="15">
        <v>144</v>
      </c>
      <c r="L118" s="15" t="s">
        <v>547</v>
      </c>
      <c r="M118" s="15" t="s">
        <v>548</v>
      </c>
      <c r="N118" s="15" t="e">
        <f>VLOOKUP(L118,$A$3:$C$126,3,FALSE)</f>
        <v>#N/A</v>
      </c>
      <c r="O118" s="17">
        <f>VLOOKUP(K118,גליון1!$A$11:$L$323,11,FALSE)</f>
        <v>0</v>
      </c>
      <c r="P118" s="17">
        <f>VLOOKUP(K118,גליון1!$A$11:$L$323,12,FALSE)</f>
        <v>0</v>
      </c>
      <c r="Q118" s="17">
        <f>VLOOKUP(K118,'השוואה חודשית 11.25 מול 10.25'!$A$4:$D$330,4,FALSE)</f>
        <v>0</v>
      </c>
      <c r="R118" s="17">
        <v>0</v>
      </c>
      <c r="S118" s="17">
        <v>0</v>
      </c>
      <c r="T118" s="17"/>
      <c r="U118" s="17">
        <v>0</v>
      </c>
      <c r="V118" s="17"/>
      <c r="W118" s="17"/>
      <c r="X118" s="17"/>
      <c r="Y118" s="17"/>
    </row>
    <row r="119" spans="1:25" x14ac:dyDescent="0.3">
      <c r="A119" s="15" t="s">
        <v>353</v>
      </c>
      <c r="B119" s="15" t="s">
        <v>142</v>
      </c>
      <c r="C119" s="20" t="s">
        <v>346</v>
      </c>
      <c r="D119" s="17">
        <v>2684</v>
      </c>
      <c r="J119">
        <v>0</v>
      </c>
      <c r="K119" s="15">
        <v>146</v>
      </c>
      <c r="L119" s="15" t="s">
        <v>549</v>
      </c>
      <c r="M119" s="15" t="s">
        <v>550</v>
      </c>
      <c r="N119" s="15" t="e">
        <f>VLOOKUP(L119,$A$3:$C$126,3,FALSE)</f>
        <v>#N/A</v>
      </c>
      <c r="O119" s="17">
        <f>VLOOKUP(K119,גליון1!$A$11:$L$323,11,FALSE)</f>
        <v>0</v>
      </c>
      <c r="P119" s="17">
        <f>VLOOKUP(K119,גליון1!$A$11:$L$323,12,FALSE)</f>
        <v>0</v>
      </c>
      <c r="Q119" s="17">
        <f>VLOOKUP(K119,'השוואה חודשית 11.25 מול 10.25'!$A$4:$D$330,4,FALSE)</f>
        <v>0</v>
      </c>
      <c r="R119" s="17">
        <v>0</v>
      </c>
      <c r="S119" s="17">
        <v>0</v>
      </c>
      <c r="T119" s="17"/>
      <c r="U119" s="17">
        <v>0</v>
      </c>
      <c r="V119" s="17"/>
      <c r="W119" s="17"/>
      <c r="X119" s="17"/>
      <c r="Y119" s="17"/>
    </row>
    <row r="120" spans="1:25" x14ac:dyDescent="0.3">
      <c r="A120" s="15" t="s">
        <v>354</v>
      </c>
      <c r="B120" s="15" t="s">
        <v>355</v>
      </c>
      <c r="C120" s="20" t="s">
        <v>346</v>
      </c>
      <c r="D120" s="17">
        <v>8755</v>
      </c>
      <c r="J120">
        <v>1495</v>
      </c>
      <c r="K120" s="15">
        <v>149</v>
      </c>
      <c r="L120" s="15" t="s">
        <v>329</v>
      </c>
      <c r="M120" s="15" t="s">
        <v>330</v>
      </c>
      <c r="N120" s="19" t="s">
        <v>321</v>
      </c>
      <c r="O120" s="17">
        <f>VLOOKUP(K120,גליון1!$A$11:$L$323,11,FALSE)</f>
        <v>16777</v>
      </c>
      <c r="P120" s="17">
        <f>VLOOKUP(K120,גליון1!$A$11:$L$323,12,FALSE)</f>
        <v>10345</v>
      </c>
      <c r="Q120" s="17">
        <f>VLOOKUP(K120,'השוואה חודשית 11.25 מול 10.25'!$A$4:$D$330,4,FALSE)</f>
        <v>11020</v>
      </c>
      <c r="R120" s="17">
        <v>13326</v>
      </c>
      <c r="S120" s="17">
        <v>13188</v>
      </c>
      <c r="T120" s="17"/>
      <c r="U120" s="17">
        <v>13188</v>
      </c>
      <c r="V120" s="19">
        <v>12360.96</v>
      </c>
      <c r="W120" s="19">
        <f>VLOOKUP(J120,'[7]02.26 מעודכן'!$B$2:$N$144,13,FALSE)</f>
        <v>11695.8</v>
      </c>
      <c r="X120" s="19">
        <v>9994.35</v>
      </c>
      <c r="Y120" s="19">
        <v>10813.15</v>
      </c>
    </row>
    <row r="121" spans="1:25" x14ac:dyDescent="0.3">
      <c r="A121" s="15" t="s">
        <v>356</v>
      </c>
      <c r="B121" s="15" t="s">
        <v>357</v>
      </c>
      <c r="C121" s="20" t="s">
        <v>346</v>
      </c>
      <c r="D121" s="17">
        <v>19854</v>
      </c>
      <c r="J121">
        <v>0</v>
      </c>
      <c r="K121" s="15">
        <v>179</v>
      </c>
      <c r="L121" s="15" t="s">
        <v>551</v>
      </c>
      <c r="M121" s="15" t="s">
        <v>552</v>
      </c>
      <c r="N121" s="15" t="e">
        <f>VLOOKUP(L121,$A$3:$C$126,3,FALSE)</f>
        <v>#N/A</v>
      </c>
      <c r="O121" s="17">
        <f>VLOOKUP(K121,גליון1!$A$11:$L$323,11,FALSE)</f>
        <v>0</v>
      </c>
      <c r="P121" s="17">
        <f>VLOOKUP(K121,גליון1!$A$11:$L$323,12,FALSE)</f>
        <v>0</v>
      </c>
      <c r="Q121" s="17">
        <f>VLOOKUP(K121,'השוואה חודשית 11.25 מול 10.25'!$A$4:$D$330,4,FALSE)</f>
        <v>0</v>
      </c>
      <c r="R121" s="17">
        <v>0</v>
      </c>
      <c r="S121" s="17">
        <v>0</v>
      </c>
      <c r="T121" s="17"/>
      <c r="U121" s="17">
        <v>0</v>
      </c>
      <c r="V121" s="17"/>
      <c r="W121" s="17"/>
      <c r="X121" s="17"/>
      <c r="Y121" s="17"/>
    </row>
    <row r="122" spans="1:25" x14ac:dyDescent="0.3">
      <c r="A122" s="15" t="s">
        <v>358</v>
      </c>
      <c r="B122" s="15" t="s">
        <v>359</v>
      </c>
      <c r="C122" s="20" t="s">
        <v>346</v>
      </c>
      <c r="D122" s="17">
        <v>13314</v>
      </c>
      <c r="J122">
        <v>0</v>
      </c>
      <c r="K122" s="15">
        <v>194</v>
      </c>
      <c r="L122" s="15" t="s">
        <v>223</v>
      </c>
      <c r="M122" s="15" t="s">
        <v>259</v>
      </c>
      <c r="N122" s="16" t="s">
        <v>196</v>
      </c>
      <c r="O122" s="17">
        <f>VLOOKUP(K122,גליון1!$A$11:$L$323,11,FALSE)</f>
        <v>1503</v>
      </c>
      <c r="P122" s="17">
        <f>VLOOKUP(K122,גליון1!$A$11:$L$323,12,FALSE)</f>
        <v>4194</v>
      </c>
      <c r="Q122" s="17">
        <f>VLOOKUP(K122,'השוואה חודשית 11.25 מול 10.25'!$A$4:$D$330,4,FALSE)</f>
        <v>0</v>
      </c>
      <c r="R122" s="17">
        <v>0</v>
      </c>
      <c r="S122" s="17">
        <v>0</v>
      </c>
      <c r="T122" s="17"/>
      <c r="U122" s="17">
        <v>0</v>
      </c>
      <c r="V122" s="17"/>
      <c r="W122" s="17"/>
      <c r="X122" s="17"/>
      <c r="Y122" s="17"/>
    </row>
    <row r="123" spans="1:25" x14ac:dyDescent="0.3">
      <c r="A123" s="15" t="s">
        <v>360</v>
      </c>
      <c r="B123" s="15" t="s">
        <v>361</v>
      </c>
      <c r="C123" s="20" t="s">
        <v>346</v>
      </c>
      <c r="D123" s="17">
        <v>11151</v>
      </c>
      <c r="J123">
        <v>2022</v>
      </c>
      <c r="K123" s="15">
        <v>202</v>
      </c>
      <c r="L123" s="15" t="s">
        <v>331</v>
      </c>
      <c r="M123" s="15" t="s">
        <v>332</v>
      </c>
      <c r="N123" s="19" t="s">
        <v>321</v>
      </c>
      <c r="O123" s="17"/>
      <c r="P123" s="17"/>
      <c r="Q123" s="17">
        <f>VLOOKUP(K123,'השוואה חודשית 11.25 מול 10.25'!$A$4:$D$330,4,FALSE)</f>
        <v>0</v>
      </c>
      <c r="R123" s="17">
        <v>4506</v>
      </c>
      <c r="S123" s="17">
        <v>6757</v>
      </c>
      <c r="T123" s="17"/>
      <c r="U123" s="17">
        <v>6757</v>
      </c>
      <c r="V123" s="19">
        <v>5328.73</v>
      </c>
      <c r="W123" s="19">
        <f>VLOOKUP(J123,'[7]02.26 מעודכן'!$B$2:$N$144,13,FALSE)</f>
        <v>6259.1</v>
      </c>
      <c r="X123" s="19">
        <v>6663.12</v>
      </c>
      <c r="Y123" s="19">
        <v>6663.91</v>
      </c>
    </row>
    <row r="124" spans="1:25" x14ac:dyDescent="0.3">
      <c r="A124" s="15" t="s">
        <v>362</v>
      </c>
      <c r="B124" s="15" t="s">
        <v>222</v>
      </c>
      <c r="C124" s="20" t="s">
        <v>346</v>
      </c>
      <c r="D124" s="17">
        <v>6705</v>
      </c>
      <c r="J124">
        <v>2048</v>
      </c>
      <c r="K124" s="15">
        <v>204</v>
      </c>
      <c r="L124" s="15" t="s">
        <v>333</v>
      </c>
      <c r="M124" s="15" t="s">
        <v>234</v>
      </c>
      <c r="N124" s="19" t="s">
        <v>321</v>
      </c>
      <c r="O124" s="17"/>
      <c r="P124" s="17"/>
      <c r="Q124" s="17"/>
      <c r="R124" s="17">
        <v>0</v>
      </c>
      <c r="S124" s="17">
        <v>3363</v>
      </c>
      <c r="T124" s="17"/>
      <c r="U124" s="17">
        <v>3363</v>
      </c>
      <c r="V124" s="19">
        <v>6802.38</v>
      </c>
      <c r="W124" s="19">
        <f>VLOOKUP(J124,'[7]02.26 מעודכן'!$B$2:$N$144,13,FALSE)</f>
        <v>10033.950000000001</v>
      </c>
      <c r="X124" s="19">
        <v>3353.86</v>
      </c>
      <c r="Y124" s="19">
        <v>7592.28</v>
      </c>
    </row>
    <row r="125" spans="1:25" x14ac:dyDescent="0.3">
      <c r="A125" s="15" t="s">
        <v>363</v>
      </c>
      <c r="B125" s="15" t="s">
        <v>364</v>
      </c>
      <c r="C125" s="20" t="s">
        <v>346</v>
      </c>
      <c r="D125" s="17">
        <v>6895</v>
      </c>
      <c r="J125">
        <v>2055</v>
      </c>
      <c r="K125" s="15">
        <v>205</v>
      </c>
      <c r="L125" s="15" t="s">
        <v>334</v>
      </c>
      <c r="M125" s="15" t="s">
        <v>335</v>
      </c>
      <c r="N125" s="19" t="s">
        <v>321</v>
      </c>
      <c r="O125" s="17"/>
      <c r="P125" s="17"/>
      <c r="Q125" s="17"/>
      <c r="R125" s="17">
        <v>0</v>
      </c>
      <c r="S125" s="17">
        <v>4347</v>
      </c>
      <c r="T125" s="17"/>
      <c r="U125" s="17">
        <v>4347</v>
      </c>
      <c r="V125" s="19">
        <v>6178.51</v>
      </c>
      <c r="W125" s="19">
        <f>VLOOKUP(J125,'[7]02.26 מעודכן'!$B$2:$N$144,13,FALSE)</f>
        <v>3267.35</v>
      </c>
      <c r="X125" s="19">
        <v>6203.88</v>
      </c>
      <c r="Y125" s="19">
        <v>6780.97</v>
      </c>
    </row>
    <row r="126" spans="1:25" x14ac:dyDescent="0.3">
      <c r="A126" s="15" t="s">
        <v>365</v>
      </c>
      <c r="B126" s="15" t="s">
        <v>366</v>
      </c>
      <c r="C126" s="20" t="s">
        <v>346</v>
      </c>
      <c r="D126" s="17">
        <v>5811</v>
      </c>
      <c r="J126">
        <v>83</v>
      </c>
      <c r="K126" s="15">
        <v>8</v>
      </c>
      <c r="L126" s="29" t="s">
        <v>336</v>
      </c>
      <c r="M126" s="29" t="s">
        <v>337</v>
      </c>
      <c r="N126" s="19" t="s">
        <v>321</v>
      </c>
      <c r="O126" s="17">
        <f>VLOOKUP(K126,גליון1!$A$11:$L$323,11,FALSE)</f>
        <v>6648</v>
      </c>
      <c r="P126" s="17">
        <f>VLOOKUP(K126,גליון1!$A$11:$L$323,12,FALSE)</f>
        <v>6648</v>
      </c>
      <c r="Q126" s="17">
        <f>VLOOKUP(K126,'השוואה חודשית 11.25 מול 10.25'!$A$4:$D$330,4,FALSE)</f>
        <v>6648</v>
      </c>
      <c r="R126" s="17">
        <v>6648</v>
      </c>
      <c r="S126" s="17">
        <v>6648</v>
      </c>
      <c r="T126" s="17"/>
      <c r="U126" s="17">
        <v>6648</v>
      </c>
      <c r="V126" s="19">
        <v>6648.4</v>
      </c>
      <c r="W126" s="19">
        <f>VLOOKUP(J126,'[7]02.26 מעודכן'!$B$2:$N$144,13,FALSE)</f>
        <v>6648.4</v>
      </c>
      <c r="X126" s="19">
        <v>10418.93</v>
      </c>
      <c r="Y126" s="19">
        <v>7334.66</v>
      </c>
    </row>
    <row r="127" spans="1:25" ht="14.5" x14ac:dyDescent="0.35">
      <c r="A127" s="23"/>
      <c r="B127" s="23"/>
      <c r="C127" s="23"/>
      <c r="D127" s="24">
        <v>1948746</v>
      </c>
      <c r="J127">
        <v>91</v>
      </c>
      <c r="K127" s="15">
        <v>9</v>
      </c>
      <c r="L127" s="29" t="s">
        <v>338</v>
      </c>
      <c r="M127" s="29" t="s">
        <v>337</v>
      </c>
      <c r="N127" s="19" t="s">
        <v>321</v>
      </c>
      <c r="O127" s="17">
        <f>VLOOKUP(K127,גליון1!$A$11:$L$323,11,FALSE)</f>
        <v>38632</v>
      </c>
      <c r="P127" s="17">
        <f>VLOOKUP(K127,גליון1!$A$11:$L$323,12,FALSE)</f>
        <v>38632</v>
      </c>
      <c r="Q127" s="17">
        <f>VLOOKUP(K127,'השוואה חודשית 11.25 מול 10.25'!$A$4:$D$330,4,FALSE)</f>
        <v>38643</v>
      </c>
      <c r="R127" s="17">
        <v>38632</v>
      </c>
      <c r="S127" s="17">
        <v>38632</v>
      </c>
      <c r="T127" s="17"/>
      <c r="U127" s="17">
        <v>38632</v>
      </c>
      <c r="V127" s="19">
        <v>38626.28</v>
      </c>
      <c r="W127" s="19">
        <f>VLOOKUP(J127,'[7]02.26 מעודכן'!$B$2:$N$144,13,FALSE)</f>
        <v>38626.28</v>
      </c>
      <c r="X127" s="19">
        <v>214401.71</v>
      </c>
      <c r="Y127" s="19">
        <v>41500.629999999997</v>
      </c>
    </row>
    <row r="128" spans="1:25" ht="14.5" x14ac:dyDescent="0.35">
      <c r="A128" s="23"/>
      <c r="B128" s="23"/>
      <c r="C128" s="23"/>
      <c r="D128" s="25"/>
      <c r="J128">
        <v>356</v>
      </c>
      <c r="K128" s="15">
        <v>35</v>
      </c>
      <c r="L128" s="29" t="s">
        <v>339</v>
      </c>
      <c r="M128" s="29" t="s">
        <v>340</v>
      </c>
      <c r="N128" s="19" t="s">
        <v>321</v>
      </c>
      <c r="O128" s="17">
        <f>VLOOKUP(K128,גליון1!$A$11:$L$323,11,FALSE)</f>
        <v>44937</v>
      </c>
      <c r="P128" s="17">
        <f>VLOOKUP(K128,גליון1!$A$11:$L$323,12,FALSE)</f>
        <v>44979</v>
      </c>
      <c r="Q128" s="17">
        <f>VLOOKUP(K128,'השוואה חודשית 11.25 מול 10.25'!$A$4:$D$330,4,FALSE)</f>
        <v>6976</v>
      </c>
      <c r="R128" s="17">
        <v>14948</v>
      </c>
      <c r="S128" s="17">
        <v>11818</v>
      </c>
      <c r="T128" s="17"/>
      <c r="U128" s="17">
        <v>11818</v>
      </c>
      <c r="V128" s="19">
        <v>13049.36</v>
      </c>
      <c r="W128" s="19">
        <f>VLOOKUP(J128,'[7]02.26 מעודכן'!$B$2:$N$144,13,FALSE)</f>
        <v>18892.22</v>
      </c>
      <c r="X128" s="19">
        <v>47371.73</v>
      </c>
      <c r="Y128" s="19">
        <v>47238.86</v>
      </c>
    </row>
    <row r="129" spans="1:25" x14ac:dyDescent="0.3">
      <c r="A129" s="15"/>
      <c r="B129" s="15"/>
      <c r="C129" s="15"/>
      <c r="D129" s="17"/>
      <c r="J129">
        <v>455</v>
      </c>
      <c r="K129" s="15">
        <v>45</v>
      </c>
      <c r="L129" s="29" t="s">
        <v>341</v>
      </c>
      <c r="M129" s="29" t="s">
        <v>342</v>
      </c>
      <c r="N129" s="19" t="s">
        <v>321</v>
      </c>
      <c r="O129" s="17">
        <f>VLOOKUP(K129,גליון1!$A$11:$L$323,11,FALSE)</f>
        <v>12688</v>
      </c>
      <c r="P129" s="17">
        <f>VLOOKUP(K129,גליון1!$A$11:$L$323,12,FALSE)</f>
        <v>12913</v>
      </c>
      <c r="Q129" s="17">
        <f>VLOOKUP(K129,'השוואה חודשית 11.25 מול 10.25'!$A$4:$D$330,4,FALSE)</f>
        <v>12592</v>
      </c>
      <c r="R129" s="17">
        <v>15811</v>
      </c>
      <c r="S129" s="17">
        <v>12592</v>
      </c>
      <c r="T129" s="17"/>
      <c r="U129" s="17">
        <v>12592</v>
      </c>
      <c r="V129" s="19">
        <v>12682.86</v>
      </c>
      <c r="W129" s="19">
        <f>VLOOKUP(J129,'[7]02.26 מעודכן'!$B$2:$N$144,13,FALSE)</f>
        <v>12650.48</v>
      </c>
      <c r="X129" s="19">
        <v>12512.55</v>
      </c>
      <c r="Y129" s="19">
        <v>12585.72</v>
      </c>
    </row>
    <row r="130" spans="1:25" x14ac:dyDescent="0.3">
      <c r="A130" s="15"/>
      <c r="B130" s="15"/>
      <c r="C130" s="15"/>
      <c r="D130" s="17"/>
      <c r="J130">
        <v>513</v>
      </c>
      <c r="K130" s="29">
        <v>51</v>
      </c>
      <c r="L130" s="29" t="s">
        <v>431</v>
      </c>
      <c r="M130" s="29" t="s">
        <v>222</v>
      </c>
      <c r="N130" s="19" t="s">
        <v>321</v>
      </c>
      <c r="O130" s="17">
        <f>VLOOKUP(K130,גליון1!$A$11:$L$323,11,FALSE)</f>
        <v>0</v>
      </c>
      <c r="P130" s="17">
        <f>VLOOKUP(K130,גליון1!$A$11:$L$323,12,FALSE)</f>
        <v>0</v>
      </c>
      <c r="Q130" s="17">
        <f>VLOOKUP(K130,'השוואה חודשית 11.25 מול 10.25'!$A$4:$D$330,4,FALSE)</f>
        <v>0</v>
      </c>
      <c r="R130" s="17">
        <v>0</v>
      </c>
      <c r="S130" s="17">
        <v>0</v>
      </c>
      <c r="T130" s="17"/>
      <c r="U130" s="17">
        <v>0</v>
      </c>
      <c r="V130" s="19">
        <v>14093.98</v>
      </c>
      <c r="W130" s="19">
        <f>VLOOKUP(J130,'[7]02.26 מעודכן'!$B$2:$N$144,13,FALSE)</f>
        <v>35224.47</v>
      </c>
      <c r="X130" s="19">
        <v>1267.02</v>
      </c>
      <c r="Y130" s="19">
        <v>14063.3</v>
      </c>
    </row>
    <row r="131" spans="1:25" x14ac:dyDescent="0.3">
      <c r="A131" s="15"/>
      <c r="B131" s="15"/>
      <c r="C131" s="15"/>
      <c r="D131" s="17"/>
      <c r="J131">
        <v>1255</v>
      </c>
      <c r="K131" s="15">
        <v>125</v>
      </c>
      <c r="L131" s="29" t="s">
        <v>343</v>
      </c>
      <c r="M131" s="29" t="s">
        <v>259</v>
      </c>
      <c r="N131" s="19" t="s">
        <v>321</v>
      </c>
      <c r="O131" s="17">
        <f>VLOOKUP(K131,גליון1!$A$11:$L$323,11,FALSE)</f>
        <v>19393</v>
      </c>
      <c r="P131" s="17">
        <f>VLOOKUP(K131,גליון1!$A$11:$L$323,12,FALSE)</f>
        <v>18479</v>
      </c>
      <c r="Q131" s="17">
        <f>VLOOKUP(K131,'השוואה חודשית 11.25 מול 10.25'!$A$4:$D$330,4,FALSE)</f>
        <v>17373</v>
      </c>
      <c r="R131" s="17">
        <v>18996</v>
      </c>
      <c r="S131" s="17">
        <v>34928</v>
      </c>
      <c r="T131" s="17"/>
      <c r="U131" s="17">
        <v>34928</v>
      </c>
      <c r="V131" s="19">
        <v>21987.38</v>
      </c>
      <c r="W131" s="19">
        <f>VLOOKUP(J131,'[7]02.26 מעודכן'!$B$2:$N$144,13,FALSE)</f>
        <v>20299.23</v>
      </c>
      <c r="X131" s="19">
        <v>22473.15</v>
      </c>
      <c r="Y131" s="19">
        <v>22828.26</v>
      </c>
    </row>
    <row r="132" spans="1:25" ht="14.5" x14ac:dyDescent="0.35">
      <c r="A132" s="15"/>
      <c r="B132" s="15"/>
      <c r="C132" s="15"/>
      <c r="D132" s="25"/>
      <c r="J132">
        <v>0</v>
      </c>
      <c r="K132" s="15">
        <v>113</v>
      </c>
      <c r="L132" s="15" t="s">
        <v>553</v>
      </c>
      <c r="M132" s="15" t="s">
        <v>218</v>
      </c>
      <c r="N132" s="15" t="e">
        <f>VLOOKUP(L132,$A$3:$C$126,3,FALSE)</f>
        <v>#N/A</v>
      </c>
      <c r="O132" s="17">
        <f>VLOOKUP(K132,גליון1!$A$11:$L$323,11,FALSE)</f>
        <v>0</v>
      </c>
      <c r="P132" s="17">
        <f>VLOOKUP(K132,גליון1!$A$11:$L$323,12,FALSE)</f>
        <v>0</v>
      </c>
      <c r="Q132" s="17">
        <f>VLOOKUP(K132,'השוואה חודשית 11.25 מול 10.25'!$A$4:$D$330,4,FALSE)</f>
        <v>0</v>
      </c>
      <c r="R132" s="17">
        <v>0</v>
      </c>
      <c r="S132" s="17">
        <v>0</v>
      </c>
      <c r="T132" s="17"/>
      <c r="U132" s="17">
        <v>0</v>
      </c>
      <c r="V132" s="17"/>
      <c r="W132" s="17"/>
      <c r="X132" s="17"/>
      <c r="Y132" s="17"/>
    </row>
    <row r="133" spans="1:25" x14ac:dyDescent="0.3">
      <c r="A133" s="15"/>
      <c r="B133" s="15"/>
      <c r="C133" s="15"/>
      <c r="D133" s="17"/>
      <c r="J133">
        <v>0</v>
      </c>
      <c r="K133" s="15">
        <v>124</v>
      </c>
      <c r="L133" s="15" t="s">
        <v>554</v>
      </c>
      <c r="M133" s="15" t="s">
        <v>555</v>
      </c>
      <c r="N133" s="19" t="s">
        <v>321</v>
      </c>
      <c r="O133" s="17">
        <f>VLOOKUP(K133,גליון1!$A$11:$L$323,11,FALSE)</f>
        <v>2387</v>
      </c>
      <c r="P133" s="17">
        <f>VLOOKUP(K133,גליון1!$A$11:$L$323,12,FALSE)</f>
        <v>2405</v>
      </c>
      <c r="Q133" s="17">
        <f>VLOOKUP(K133,'השוואה חודשית 11.25 מול 10.25'!$A$4:$D$330,4,FALSE)</f>
        <v>5661</v>
      </c>
      <c r="R133" s="17">
        <v>0</v>
      </c>
      <c r="S133" s="17">
        <v>0</v>
      </c>
      <c r="T133" s="17"/>
      <c r="U133" s="17">
        <v>0</v>
      </c>
      <c r="V133" s="17"/>
      <c r="W133" s="17"/>
      <c r="X133" s="17"/>
      <c r="Y133" s="17"/>
    </row>
    <row r="134" spans="1:25" x14ac:dyDescent="0.3">
      <c r="A134" s="15"/>
      <c r="B134" s="15"/>
      <c r="C134" s="15"/>
      <c r="D134" s="17"/>
      <c r="J134">
        <v>257</v>
      </c>
      <c r="K134" s="15">
        <v>25</v>
      </c>
      <c r="L134" s="29" t="s">
        <v>344</v>
      </c>
      <c r="M134" s="29" t="s">
        <v>345</v>
      </c>
      <c r="N134" s="20" t="s">
        <v>346</v>
      </c>
      <c r="O134" s="17">
        <f>VLOOKUP(K134,גליון1!$A$11:$L$323,11,FALSE)</f>
        <v>48758</v>
      </c>
      <c r="P134" s="17">
        <f>VLOOKUP(K134,גליון1!$A$11:$L$323,12,FALSE)</f>
        <v>48759</v>
      </c>
      <c r="Q134" s="17">
        <f>VLOOKUP(K134,'השוואה חודשית 11.25 מול 10.25'!$A$4:$D$330,4,FALSE)</f>
        <v>48758</v>
      </c>
      <c r="R134" s="17">
        <v>48758</v>
      </c>
      <c r="S134" s="17">
        <v>48759</v>
      </c>
      <c r="T134" s="17"/>
      <c r="U134" s="17">
        <v>48759</v>
      </c>
      <c r="V134" s="20">
        <v>48287.55</v>
      </c>
      <c r="W134" s="20">
        <f>VLOOKUP(J134,'[7]02.26 מעודכן'!$B$2:$N$144,13,FALSE)</f>
        <v>48173.55</v>
      </c>
      <c r="X134" s="20">
        <v>1965415.58</v>
      </c>
      <c r="Y134" s="20">
        <v>49904.09</v>
      </c>
    </row>
    <row r="135" spans="1:25" x14ac:dyDescent="0.3">
      <c r="A135" s="15"/>
      <c r="B135" s="15"/>
      <c r="C135" s="15"/>
      <c r="D135" s="17"/>
      <c r="J135">
        <v>299</v>
      </c>
      <c r="K135" s="15">
        <v>29</v>
      </c>
      <c r="L135" s="29" t="s">
        <v>347</v>
      </c>
      <c r="M135" s="29" t="s">
        <v>348</v>
      </c>
      <c r="N135" s="20" t="s">
        <v>346</v>
      </c>
      <c r="O135" s="17">
        <f>VLOOKUP(K135,גליון1!$A$11:$L$323,11,FALSE)</f>
        <v>19107</v>
      </c>
      <c r="P135" s="17">
        <f>VLOOKUP(K135,גליון1!$A$11:$L$323,12,FALSE)</f>
        <v>18875</v>
      </c>
      <c r="Q135" s="17">
        <f>VLOOKUP(K135,'השוואה חודשית 11.25 מול 10.25'!$A$4:$D$330,4,FALSE)</f>
        <v>20804</v>
      </c>
      <c r="R135" s="17">
        <v>18060</v>
      </c>
      <c r="S135" s="17">
        <v>20769</v>
      </c>
      <c r="T135" s="17">
        <v>1088.9570800000001</v>
      </c>
      <c r="U135" s="17">
        <v>19680.04292</v>
      </c>
      <c r="V135" s="20">
        <v>20589.48</v>
      </c>
      <c r="W135" s="20">
        <f>VLOOKUP(J135,'[7]02.26 מעודכן'!$B$2:$N$144,13,FALSE)</f>
        <v>19466.53</v>
      </c>
      <c r="X135" s="20">
        <v>17689.46</v>
      </c>
      <c r="Y135" s="20">
        <v>22614.7</v>
      </c>
    </row>
    <row r="136" spans="1:25" x14ac:dyDescent="0.3">
      <c r="A136" s="15"/>
      <c r="B136" s="15"/>
      <c r="C136" s="15"/>
      <c r="D136" s="17"/>
      <c r="J136">
        <v>406</v>
      </c>
      <c r="K136" s="15">
        <v>40</v>
      </c>
      <c r="L136" s="29" t="s">
        <v>349</v>
      </c>
      <c r="M136" s="29" t="s">
        <v>350</v>
      </c>
      <c r="N136" s="20" t="s">
        <v>346</v>
      </c>
      <c r="O136" s="17">
        <f>VLOOKUP(K136,גליון1!$A$11:$L$323,11,FALSE)</f>
        <v>20778</v>
      </c>
      <c r="P136" s="17">
        <f>VLOOKUP(K136,גליון1!$A$11:$L$323,12,FALSE)</f>
        <v>19733</v>
      </c>
      <c r="Q136" s="17">
        <f>VLOOKUP(K136,'השוואה חודשית 11.25 מול 10.25'!$A$4:$D$330,4,FALSE)</f>
        <v>22111</v>
      </c>
      <c r="R136" s="17">
        <v>19188</v>
      </c>
      <c r="S136" s="17">
        <v>18780</v>
      </c>
      <c r="T136" s="17"/>
      <c r="U136" s="17">
        <v>18780</v>
      </c>
      <c r="V136" s="20">
        <v>21658.87</v>
      </c>
      <c r="W136" s="20">
        <f>VLOOKUP(J136,'[7]02.26 מעודכן'!$B$2:$N$144,13,FALSE)</f>
        <v>17623.669999999998</v>
      </c>
      <c r="X136" s="20">
        <v>11000.42</v>
      </c>
      <c r="Y136" s="20">
        <v>20906.79</v>
      </c>
    </row>
    <row r="137" spans="1:25" x14ac:dyDescent="0.3">
      <c r="A137" s="15"/>
      <c r="B137" s="15"/>
      <c r="C137" s="15"/>
      <c r="D137" s="17"/>
      <c r="J137">
        <v>1149</v>
      </c>
      <c r="K137" s="15">
        <v>114</v>
      </c>
      <c r="L137" s="29" t="s">
        <v>294</v>
      </c>
      <c r="M137" s="29" t="s">
        <v>351</v>
      </c>
      <c r="N137" s="20" t="s">
        <v>346</v>
      </c>
      <c r="O137" s="17">
        <f>VLOOKUP(K137,גליון1!$A$11:$L$323,11,FALSE)</f>
        <v>19479</v>
      </c>
      <c r="P137" s="17">
        <f>VLOOKUP(K137,גליון1!$A$11:$L$323,12,FALSE)</f>
        <v>16769</v>
      </c>
      <c r="Q137" s="17">
        <f>VLOOKUP(K137,'השוואה חודשית 11.25 מול 10.25'!$A$4:$D$330,4,FALSE)</f>
        <v>19003</v>
      </c>
      <c r="R137" s="17">
        <v>17923</v>
      </c>
      <c r="S137" s="17">
        <v>19687</v>
      </c>
      <c r="T137" s="17"/>
      <c r="U137" s="17">
        <v>19687</v>
      </c>
      <c r="V137" s="20">
        <v>17667.689999999999</v>
      </c>
      <c r="W137" s="20">
        <f>VLOOKUP(J137,'[7]02.26 מעודכן'!$B$2:$N$144,13,FALSE)</f>
        <v>16693.29</v>
      </c>
      <c r="X137" s="20">
        <v>14522.9</v>
      </c>
      <c r="Y137" s="20">
        <v>16774.29</v>
      </c>
    </row>
    <row r="138" spans="1:25" x14ac:dyDescent="0.3">
      <c r="A138" s="15"/>
      <c r="B138" s="15"/>
      <c r="C138" s="15"/>
      <c r="D138" s="17"/>
      <c r="J138">
        <v>265</v>
      </c>
      <c r="K138" s="15">
        <v>26</v>
      </c>
      <c r="L138" s="15" t="s">
        <v>352</v>
      </c>
      <c r="M138" s="15" t="s">
        <v>237</v>
      </c>
      <c r="N138" s="20" t="s">
        <v>346</v>
      </c>
      <c r="O138" s="17">
        <f>VLOOKUP(K138,גליון1!$A$11:$L$323,11,FALSE)</f>
        <v>8974</v>
      </c>
      <c r="P138" s="17">
        <f>VLOOKUP(K138,גליון1!$A$11:$L$323,12,FALSE)</f>
        <v>7596</v>
      </c>
      <c r="Q138" s="17">
        <f>VLOOKUP(K138,'השוואה חודשית 11.25 מול 10.25'!$A$4:$D$330,4,FALSE)</f>
        <v>11796</v>
      </c>
      <c r="R138" s="17">
        <v>8337</v>
      </c>
      <c r="S138" s="17">
        <v>10883</v>
      </c>
      <c r="T138" s="17">
        <v>1953.6908400000002</v>
      </c>
      <c r="U138" s="17">
        <v>8929.3091600000007</v>
      </c>
      <c r="V138" s="20">
        <v>9289.9</v>
      </c>
      <c r="W138" s="20">
        <f>VLOOKUP(J138,'[7]02.26 מעודכן'!$B$2:$N$144,13,FALSE)</f>
        <v>9999.85</v>
      </c>
      <c r="X138" s="20">
        <v>8354.1299999999992</v>
      </c>
      <c r="Y138" s="20">
        <v>7929.64</v>
      </c>
    </row>
    <row r="139" spans="1:25" x14ac:dyDescent="0.3">
      <c r="A139" s="15"/>
      <c r="B139" s="15"/>
      <c r="C139" s="15"/>
      <c r="D139" s="17"/>
      <c r="J139">
        <v>273</v>
      </c>
      <c r="K139" s="15">
        <v>27</v>
      </c>
      <c r="L139" s="15" t="s">
        <v>243</v>
      </c>
      <c r="M139" s="15" t="s">
        <v>291</v>
      </c>
      <c r="N139" s="20" t="s">
        <v>346</v>
      </c>
      <c r="O139" s="17">
        <f>VLOOKUP(K139,גליון1!$A$11:$L$323,11,FALSE)</f>
        <v>13331</v>
      </c>
      <c r="P139" s="17">
        <f>VLOOKUP(K139,גליון1!$A$11:$L$323,12,FALSE)</f>
        <v>13357</v>
      </c>
      <c r="Q139" s="17">
        <f>VLOOKUP(K139,'השוואה חודשית 11.25 מול 10.25'!$A$4:$D$330,4,FALSE)</f>
        <v>15454</v>
      </c>
      <c r="R139" s="17">
        <v>13665</v>
      </c>
      <c r="S139" s="17">
        <v>14285</v>
      </c>
      <c r="T139" s="17"/>
      <c r="U139" s="17">
        <v>14285</v>
      </c>
      <c r="V139" s="20">
        <v>12583.92</v>
      </c>
      <c r="W139" s="20">
        <f>VLOOKUP(J139,'[7]02.26 מעודכן'!$B$2:$N$144,13,FALSE)</f>
        <v>11840.15</v>
      </c>
      <c r="X139" s="20">
        <v>7792.27</v>
      </c>
      <c r="Y139" s="20">
        <v>10150.91</v>
      </c>
    </row>
    <row r="140" spans="1:25" x14ac:dyDescent="0.3">
      <c r="A140" s="15"/>
      <c r="B140" s="15"/>
      <c r="C140" s="15"/>
      <c r="D140" s="17"/>
      <c r="J140">
        <v>422</v>
      </c>
      <c r="K140" s="15">
        <v>42</v>
      </c>
      <c r="L140" s="15" t="s">
        <v>353</v>
      </c>
      <c r="M140" s="15" t="s">
        <v>142</v>
      </c>
      <c r="N140" s="20" t="s">
        <v>346</v>
      </c>
      <c r="O140" s="17">
        <f>VLOOKUP(K140,גליון1!$A$11:$L$323,11,FALSE)</f>
        <v>11328</v>
      </c>
      <c r="P140" s="17">
        <f>VLOOKUP(K140,גליון1!$A$11:$L$323,12,FALSE)</f>
        <v>6610</v>
      </c>
      <c r="Q140" s="17">
        <f>VLOOKUP(K140,'השוואה חודשית 11.25 מול 10.25'!$A$4:$D$330,4,FALSE)</f>
        <v>2943</v>
      </c>
      <c r="R140" s="17">
        <v>2702</v>
      </c>
      <c r="S140" s="17">
        <v>2684</v>
      </c>
      <c r="T140" s="17"/>
      <c r="U140" s="17">
        <v>2684</v>
      </c>
      <c r="V140" s="20">
        <v>2222.0300000000002</v>
      </c>
      <c r="W140" s="20">
        <f>VLOOKUP(J140,'[7]02.26 מעודכן'!$B$2:$N$144,13,FALSE)</f>
        <v>3116.84</v>
      </c>
      <c r="X140" s="20">
        <v>4275.0200000000004</v>
      </c>
      <c r="Y140" s="20">
        <v>5724.26</v>
      </c>
    </row>
    <row r="141" spans="1:25" x14ac:dyDescent="0.3">
      <c r="A141" s="15"/>
      <c r="B141" s="15"/>
      <c r="C141" s="15"/>
      <c r="D141" s="17"/>
      <c r="J141">
        <v>554</v>
      </c>
      <c r="K141" s="15">
        <v>55</v>
      </c>
      <c r="L141" s="15" t="s">
        <v>354</v>
      </c>
      <c r="M141" s="15" t="s">
        <v>355</v>
      </c>
      <c r="N141" s="20" t="s">
        <v>346</v>
      </c>
      <c r="O141" s="17">
        <f>VLOOKUP(K141,גליון1!$A$11:$L$323,11,FALSE)</f>
        <v>0</v>
      </c>
      <c r="P141" s="17">
        <f>VLOOKUP(K141,גליון1!$A$11:$L$323,12,FALSE)</f>
        <v>0</v>
      </c>
      <c r="Q141" s="17">
        <f>VLOOKUP(K141,'השוואה חודשית 11.25 מול 10.25'!$A$4:$D$330,4,FALSE)</f>
        <v>1348</v>
      </c>
      <c r="R141" s="17">
        <v>5248</v>
      </c>
      <c r="S141" s="17">
        <v>8755</v>
      </c>
      <c r="T141" s="17"/>
      <c r="U141" s="17">
        <v>8755</v>
      </c>
      <c r="V141" s="20">
        <v>10952.92</v>
      </c>
      <c r="W141" s="20">
        <f>VLOOKUP(J141,'[7]02.26 מעודכן'!$B$2:$N$144,13,FALSE)</f>
        <v>8110.82</v>
      </c>
      <c r="X141" s="20">
        <v>4943.58</v>
      </c>
      <c r="Y141" s="20">
        <v>8662.59</v>
      </c>
    </row>
    <row r="142" spans="1:25" x14ac:dyDescent="0.3">
      <c r="A142" s="15"/>
      <c r="B142" s="15"/>
      <c r="C142" s="15"/>
      <c r="D142" s="17"/>
      <c r="J142">
        <v>844</v>
      </c>
      <c r="K142" s="15">
        <v>84</v>
      </c>
      <c r="L142" s="15" t="s">
        <v>356</v>
      </c>
      <c r="M142" s="15" t="s">
        <v>357</v>
      </c>
      <c r="N142" s="20" t="s">
        <v>346</v>
      </c>
      <c r="O142" s="17">
        <f>VLOOKUP(K142,גליון1!$A$11:$L$323,11,FALSE)</f>
        <v>16140</v>
      </c>
      <c r="P142" s="17">
        <f>VLOOKUP(K142,גליון1!$A$11:$L$323,12,FALSE)</f>
        <v>15443</v>
      </c>
      <c r="Q142" s="17">
        <f>VLOOKUP(K142,'השוואה חודשית 11.25 מול 10.25'!$A$4:$D$330,4,FALSE)</f>
        <v>17342</v>
      </c>
      <c r="R142" s="17">
        <v>15354</v>
      </c>
      <c r="S142" s="17">
        <v>19854</v>
      </c>
      <c r="T142" s="17">
        <v>4208.8771800000004</v>
      </c>
      <c r="U142" s="17">
        <v>15645.122820000001</v>
      </c>
      <c r="V142" s="20">
        <v>15785.44</v>
      </c>
      <c r="W142" s="20">
        <f>VLOOKUP(J142,'[7]02.26 מעודכן'!$B$2:$N$144,13,FALSE)</f>
        <v>14467.04</v>
      </c>
      <c r="X142" s="20">
        <v>13793.45</v>
      </c>
      <c r="Y142" s="20">
        <v>17023.48</v>
      </c>
    </row>
    <row r="143" spans="1:25" x14ac:dyDescent="0.3">
      <c r="A143" s="15"/>
      <c r="B143" s="15"/>
      <c r="C143" s="15"/>
      <c r="D143" s="17"/>
      <c r="J143">
        <v>950</v>
      </c>
      <c r="K143" s="15">
        <v>95</v>
      </c>
      <c r="L143" s="15" t="s">
        <v>358</v>
      </c>
      <c r="M143" s="15" t="s">
        <v>359</v>
      </c>
      <c r="N143" s="20" t="s">
        <v>346</v>
      </c>
      <c r="O143" s="17">
        <f>VLOOKUP(K143,גליון1!$A$11:$L$323,11,FALSE)</f>
        <v>8865</v>
      </c>
      <c r="P143" s="17">
        <f>VLOOKUP(K143,גליון1!$A$11:$L$323,12,FALSE)</f>
        <v>12068</v>
      </c>
      <c r="Q143" s="17">
        <f>VLOOKUP(K143,'השוואה חודשית 11.25 מול 10.25'!$A$4:$D$330,4,FALSE)</f>
        <v>11796</v>
      </c>
      <c r="R143" s="17">
        <v>11195</v>
      </c>
      <c r="S143" s="17">
        <v>13314</v>
      </c>
      <c r="T143" s="17">
        <v>501.05874000000006</v>
      </c>
      <c r="U143" s="17">
        <v>12812.94126</v>
      </c>
      <c r="V143" s="20">
        <v>10442.94</v>
      </c>
      <c r="W143" s="20">
        <f>VLOOKUP(J143,'[7]02.26 מעודכן'!$B$2:$N$144,13,FALSE)</f>
        <v>10397.15</v>
      </c>
      <c r="X143" s="20">
        <v>6670.69</v>
      </c>
      <c r="Y143" s="20">
        <v>11129.36</v>
      </c>
    </row>
    <row r="144" spans="1:25" x14ac:dyDescent="0.3">
      <c r="A144" s="15"/>
      <c r="B144" s="15"/>
      <c r="C144" s="15"/>
      <c r="D144" s="17"/>
      <c r="J144">
        <v>0</v>
      </c>
      <c r="K144" s="15">
        <v>108</v>
      </c>
      <c r="L144" s="15" t="s">
        <v>556</v>
      </c>
      <c r="M144" s="15" t="s">
        <v>557</v>
      </c>
      <c r="N144" s="15" t="e">
        <f>VLOOKUP(L144,$A$3:$C$126,3,FALSE)</f>
        <v>#N/A</v>
      </c>
      <c r="O144" s="17">
        <f>VLOOKUP(K144,גליון1!$A$11:$L$323,11,FALSE)</f>
        <v>0</v>
      </c>
      <c r="P144" s="17">
        <f>VLOOKUP(K144,גליון1!$A$11:$L$323,12,FALSE)</f>
        <v>0</v>
      </c>
      <c r="Q144" s="17">
        <f>VLOOKUP(K144,'השוואה חודשית 11.25 מול 10.25'!$A$4:$D$330,4,FALSE)</f>
        <v>0</v>
      </c>
      <c r="R144" s="17">
        <v>0</v>
      </c>
      <c r="S144" s="17">
        <v>0</v>
      </c>
      <c r="T144" s="17"/>
      <c r="U144" s="17">
        <v>0</v>
      </c>
      <c r="V144" s="17"/>
      <c r="W144" s="17"/>
      <c r="X144" s="17"/>
      <c r="Y144" s="17"/>
    </row>
    <row r="145" spans="1:25" x14ac:dyDescent="0.3">
      <c r="A145" s="15"/>
      <c r="B145" s="15"/>
      <c r="C145" s="15"/>
      <c r="D145" s="17"/>
      <c r="J145">
        <v>1172</v>
      </c>
      <c r="K145" s="15">
        <v>117</v>
      </c>
      <c r="L145" s="15" t="s">
        <v>360</v>
      </c>
      <c r="M145" s="15" t="s">
        <v>361</v>
      </c>
      <c r="N145" s="20" t="s">
        <v>346</v>
      </c>
      <c r="O145" s="17">
        <f>VLOOKUP(K145,גליון1!$A$11:$L$323,11,FALSE)</f>
        <v>12366</v>
      </c>
      <c r="P145" s="17">
        <f>VLOOKUP(K145,גליון1!$A$11:$L$323,12,FALSE)</f>
        <v>13373</v>
      </c>
      <c r="Q145" s="17">
        <f>VLOOKUP(K145,'השוואה חודשית 11.25 מול 10.25'!$A$4:$D$330,4,FALSE)</f>
        <v>14904</v>
      </c>
      <c r="R145" s="17">
        <v>12449</v>
      </c>
      <c r="S145" s="17">
        <v>11151</v>
      </c>
      <c r="T145" s="17">
        <v>440.54010000000005</v>
      </c>
      <c r="U145" s="17">
        <v>10710.4599</v>
      </c>
      <c r="V145" s="20">
        <v>9130.9500000000007</v>
      </c>
      <c r="W145" s="20">
        <f>VLOOKUP(J145,'[7]02.26 מעודכן'!$B$2:$N$144,13,FALSE)</f>
        <v>8813.19</v>
      </c>
      <c r="X145" s="20">
        <v>11869.21</v>
      </c>
      <c r="Y145" s="20">
        <v>11862.44</v>
      </c>
    </row>
    <row r="146" spans="1:25" x14ac:dyDescent="0.3">
      <c r="A146" s="15"/>
      <c r="B146" s="15"/>
      <c r="C146" s="15"/>
      <c r="D146" s="17"/>
      <c r="J146">
        <v>0</v>
      </c>
      <c r="K146" s="15">
        <v>169</v>
      </c>
      <c r="L146" s="15" t="s">
        <v>558</v>
      </c>
      <c r="M146" s="15" t="s">
        <v>542</v>
      </c>
      <c r="N146" s="15" t="e">
        <f>VLOOKUP(L146,$A$3:$C$126,3,FALSE)</f>
        <v>#N/A</v>
      </c>
      <c r="O146" s="17">
        <f>VLOOKUP(K146,גליון1!$A$11:$L$323,11,FALSE)</f>
        <v>0</v>
      </c>
      <c r="P146" s="17">
        <f>VLOOKUP(K146,גליון1!$A$11:$L$323,12,FALSE)</f>
        <v>0</v>
      </c>
      <c r="Q146" s="17">
        <f>VLOOKUP(K146,'השוואה חודשית 11.25 מול 10.25'!$A$4:$D$330,4,FALSE)</f>
        <v>0</v>
      </c>
      <c r="R146" s="17">
        <v>0</v>
      </c>
      <c r="S146" s="17">
        <v>0</v>
      </c>
      <c r="T146" s="17"/>
      <c r="U146" s="17">
        <v>0</v>
      </c>
      <c r="V146" s="17"/>
      <c r="W146" s="17"/>
      <c r="X146" s="17"/>
      <c r="Y146" s="17"/>
    </row>
    <row r="147" spans="1:25" x14ac:dyDescent="0.3">
      <c r="A147" s="15"/>
      <c r="B147" s="15"/>
      <c r="C147" s="15"/>
      <c r="D147" s="17"/>
      <c r="J147">
        <v>1875</v>
      </c>
      <c r="K147" s="15">
        <v>187</v>
      </c>
      <c r="L147" s="15" t="s">
        <v>362</v>
      </c>
      <c r="M147" s="15" t="s">
        <v>222</v>
      </c>
      <c r="N147" s="20" t="s">
        <v>346</v>
      </c>
      <c r="O147" s="17">
        <f>VLOOKUP(K147,גליון1!$A$11:$L$323,11,FALSE)</f>
        <v>6392</v>
      </c>
      <c r="P147" s="17">
        <f>VLOOKUP(K147,גליון1!$A$11:$L$323,12,FALSE)</f>
        <v>5432</v>
      </c>
      <c r="Q147" s="17">
        <f>VLOOKUP(K147,'השוואה חודשית 11.25 מול 10.25'!$A$4:$D$330,4,FALSE)</f>
        <v>5920</v>
      </c>
      <c r="R147" s="17">
        <v>6080</v>
      </c>
      <c r="S147" s="17">
        <v>6705</v>
      </c>
      <c r="T147" s="17"/>
      <c r="U147" s="17">
        <v>6705</v>
      </c>
      <c r="V147" s="20">
        <v>2877.44</v>
      </c>
      <c r="W147" s="20">
        <f>VLOOKUP(J147,'[7]02.26 מעודכן'!$B$2:$N$144,13,FALSE)</f>
        <v>5865.6</v>
      </c>
      <c r="X147" s="20">
        <v>2200.7600000000002</v>
      </c>
      <c r="Y147" s="20">
        <v>5034.55</v>
      </c>
    </row>
    <row r="148" spans="1:25" x14ac:dyDescent="0.3">
      <c r="A148" s="15"/>
      <c r="B148" s="15"/>
      <c r="C148" s="15"/>
      <c r="D148" s="17"/>
      <c r="J148">
        <v>1891</v>
      </c>
      <c r="K148" s="15">
        <v>189</v>
      </c>
      <c r="L148" s="15" t="s">
        <v>363</v>
      </c>
      <c r="M148" s="15" t="s">
        <v>364</v>
      </c>
      <c r="N148" s="20" t="s">
        <v>346</v>
      </c>
      <c r="O148" s="17">
        <f>VLOOKUP(K148,גליון1!$A$11:$L$323,11,FALSE)</f>
        <v>5482</v>
      </c>
      <c r="P148" s="17">
        <f>VLOOKUP(K148,גליון1!$A$11:$L$323,12,FALSE)</f>
        <v>6488</v>
      </c>
      <c r="Q148" s="17">
        <f>VLOOKUP(K148,'השוואה חודשית 11.25 מול 10.25'!$A$4:$D$330,4,FALSE)</f>
        <v>5949</v>
      </c>
      <c r="R148" s="17">
        <v>5876</v>
      </c>
      <c r="S148" s="17">
        <v>6895</v>
      </c>
      <c r="T148" s="17"/>
      <c r="U148" s="17">
        <v>6895</v>
      </c>
      <c r="V148" s="20">
        <v>4684.7700000000004</v>
      </c>
      <c r="W148" s="20">
        <f>VLOOKUP(J148,'[7]02.26 מעודכן'!$B$2:$N$144,13,FALSE)</f>
        <v>6066.07</v>
      </c>
      <c r="X148" s="20">
        <v>2166.2199999999998</v>
      </c>
      <c r="Y148" s="20">
        <v>8322.6</v>
      </c>
    </row>
    <row r="149" spans="1:25" x14ac:dyDescent="0.3">
      <c r="A149" s="15"/>
      <c r="B149" s="15"/>
      <c r="C149" s="15"/>
      <c r="D149" s="17"/>
      <c r="J149">
        <v>2097</v>
      </c>
      <c r="K149" s="15">
        <v>209</v>
      </c>
      <c r="L149" s="15" t="s">
        <v>365</v>
      </c>
      <c r="M149" s="15" t="s">
        <v>366</v>
      </c>
      <c r="N149" s="20" t="s">
        <v>346</v>
      </c>
      <c r="O149" s="17"/>
      <c r="P149" s="17"/>
      <c r="Q149" s="17"/>
      <c r="R149" s="17">
        <v>0</v>
      </c>
      <c r="S149" s="17">
        <v>5811</v>
      </c>
      <c r="T149" s="17"/>
      <c r="U149" s="17">
        <v>5811</v>
      </c>
      <c r="V149" s="20">
        <v>5405.18</v>
      </c>
      <c r="W149" s="20">
        <f>VLOOKUP(J149,'[7]02.26 מעודכן'!$B$2:$N$144,13,FALSE)</f>
        <v>7516.32</v>
      </c>
      <c r="X149" s="20">
        <v>4102.72</v>
      </c>
      <c r="Y149" s="20">
        <v>6406.07</v>
      </c>
    </row>
    <row r="150" spans="1:25" x14ac:dyDescent="0.3">
      <c r="A150" s="15"/>
      <c r="B150" s="15"/>
      <c r="C150" s="15"/>
      <c r="D150" s="17"/>
      <c r="J150">
        <v>216</v>
      </c>
      <c r="K150" s="15">
        <v>21</v>
      </c>
      <c r="L150" s="15" t="s">
        <v>367</v>
      </c>
      <c r="M150" s="15" t="s">
        <v>368</v>
      </c>
      <c r="N150" s="113" t="s">
        <v>569</v>
      </c>
      <c r="O150" s="17">
        <f>VLOOKUP(K150,גליון1!$A$11:$L$323,11,FALSE)</f>
        <v>15044</v>
      </c>
      <c r="P150" s="17">
        <f>VLOOKUP(K150,גליון1!$A$11:$L$323,12,FALSE)</f>
        <v>15428</v>
      </c>
      <c r="Q150" s="17">
        <f>VLOOKUP(K150,'השוואה חודשית 11.25 מול 10.25'!$A$4:$D$330,4,FALSE)</f>
        <v>13492</v>
      </c>
      <c r="R150" s="17">
        <v>15760</v>
      </c>
      <c r="S150" s="17">
        <v>14306</v>
      </c>
      <c r="T150" s="17"/>
      <c r="U150" s="17">
        <v>14306</v>
      </c>
      <c r="V150" s="21">
        <v>15068.11</v>
      </c>
      <c r="W150" s="113">
        <f>VLOOKUP(J150,'[7]02.26 מעודכן'!$B$2:$N$144,13,FALSE)</f>
        <v>14363.25</v>
      </c>
      <c r="X150" s="113">
        <v>13836.55</v>
      </c>
      <c r="Y150" s="113">
        <v>14226.56</v>
      </c>
    </row>
    <row r="151" spans="1:25" x14ac:dyDescent="0.3">
      <c r="A151" s="15"/>
      <c r="B151" s="15"/>
      <c r="C151" s="15"/>
      <c r="D151" s="17"/>
      <c r="J151">
        <v>224</v>
      </c>
      <c r="K151" s="15">
        <v>22</v>
      </c>
      <c r="L151" s="15" t="s">
        <v>370</v>
      </c>
      <c r="M151" s="15" t="s">
        <v>371</v>
      </c>
      <c r="N151" s="113" t="s">
        <v>569</v>
      </c>
      <c r="O151" s="17">
        <f>VLOOKUP(K151,גליון1!$A$11:$L$323,11,FALSE)</f>
        <v>15636</v>
      </c>
      <c r="P151" s="17">
        <f>VLOOKUP(K151,גליון1!$A$11:$L$323,12,FALSE)</f>
        <v>15124</v>
      </c>
      <c r="Q151" s="17">
        <f>VLOOKUP(K151,'השוואה חודשית 11.25 מול 10.25'!$A$4:$D$330,4,FALSE)</f>
        <v>15852</v>
      </c>
      <c r="R151" s="17">
        <v>15922</v>
      </c>
      <c r="S151" s="17">
        <v>19233</v>
      </c>
      <c r="T151" s="17"/>
      <c r="U151" s="17">
        <v>19233</v>
      </c>
      <c r="V151" s="21">
        <v>17091.72</v>
      </c>
      <c r="W151" s="113">
        <f>VLOOKUP(J151,'[7]02.26 מעודכן'!$B$2:$N$144,13,FALSE)</f>
        <v>16365.46</v>
      </c>
      <c r="X151" s="113">
        <v>17983.240000000002</v>
      </c>
      <c r="Y151" s="113">
        <v>15734.72</v>
      </c>
    </row>
    <row r="152" spans="1:25" x14ac:dyDescent="0.3">
      <c r="A152" s="15"/>
      <c r="B152" s="15"/>
      <c r="C152" s="15"/>
      <c r="D152" s="17"/>
      <c r="J152">
        <v>0</v>
      </c>
      <c r="K152" s="15">
        <v>47</v>
      </c>
      <c r="L152" s="15" t="s">
        <v>559</v>
      </c>
      <c r="M152" s="15" t="s">
        <v>560</v>
      </c>
      <c r="N152" s="15" t="e">
        <f>VLOOKUP(L152,$A$3:$C$126,3,FALSE)</f>
        <v>#N/A</v>
      </c>
      <c r="O152" s="17">
        <f>VLOOKUP(K152,גליון1!$A$11:$L$323,11,FALSE)</f>
        <v>0</v>
      </c>
      <c r="P152" s="17">
        <f>VLOOKUP(K152,גליון1!$A$11:$L$323,12,FALSE)</f>
        <v>0</v>
      </c>
      <c r="Q152" s="17">
        <f>VLOOKUP(K152,'השוואה חודשית 11.25 מול 10.25'!$A$4:$D$330,4,FALSE)</f>
        <v>0</v>
      </c>
      <c r="R152" s="17">
        <v>0</v>
      </c>
      <c r="S152" s="17">
        <v>0</v>
      </c>
      <c r="T152" s="17"/>
      <c r="U152" s="17">
        <v>0</v>
      </c>
      <c r="V152" s="17"/>
      <c r="W152" s="113"/>
      <c r="X152" s="113"/>
      <c r="Y152" s="113"/>
    </row>
    <row r="153" spans="1:25" x14ac:dyDescent="0.3">
      <c r="A153" s="15"/>
      <c r="B153" s="15"/>
      <c r="C153" s="15"/>
      <c r="D153" s="17"/>
      <c r="J153">
        <v>695</v>
      </c>
      <c r="K153" s="15">
        <v>69</v>
      </c>
      <c r="L153" s="15" t="s">
        <v>372</v>
      </c>
      <c r="M153" s="15" t="s">
        <v>91</v>
      </c>
      <c r="N153" s="113" t="s">
        <v>569</v>
      </c>
      <c r="O153" s="17">
        <f>VLOOKUP(K153,גליון1!$A$11:$L$323,11,FALSE)</f>
        <v>9270</v>
      </c>
      <c r="P153" s="17">
        <f>VLOOKUP(K153,גליון1!$A$11:$L$323,12,FALSE)</f>
        <v>8536</v>
      </c>
      <c r="Q153" s="17">
        <f>VLOOKUP(K153,'השוואה חודשית 11.25 מול 10.25'!$A$4:$D$330,4,FALSE)</f>
        <v>8778</v>
      </c>
      <c r="R153" s="17">
        <v>3558</v>
      </c>
      <c r="S153" s="17">
        <v>4997</v>
      </c>
      <c r="T153" s="17"/>
      <c r="U153" s="17">
        <v>4997</v>
      </c>
      <c r="V153" s="21">
        <v>3270.49</v>
      </c>
      <c r="W153" s="113">
        <f>VLOOKUP(J153,'[7]02.26 מעודכן'!$B$2:$N$144,13,FALSE)</f>
        <v>7342.73</v>
      </c>
      <c r="X153" s="113">
        <v>7122.96</v>
      </c>
      <c r="Y153" s="113">
        <v>5794.43</v>
      </c>
    </row>
    <row r="154" spans="1:25" x14ac:dyDescent="0.3">
      <c r="A154" s="15"/>
      <c r="B154" s="15"/>
      <c r="C154" s="15"/>
      <c r="D154" s="17"/>
      <c r="J154">
        <v>851</v>
      </c>
      <c r="K154" s="15">
        <v>85</v>
      </c>
      <c r="L154" s="15" t="s">
        <v>373</v>
      </c>
      <c r="M154" s="15" t="s">
        <v>374</v>
      </c>
      <c r="N154" s="113" t="s">
        <v>569</v>
      </c>
      <c r="O154" s="17">
        <f>VLOOKUP(K154,גליון1!$A$11:$L$323,11,FALSE)</f>
        <v>11280</v>
      </c>
      <c r="P154" s="17">
        <f>VLOOKUP(K154,גליון1!$A$11:$L$323,12,FALSE)</f>
        <v>9915</v>
      </c>
      <c r="Q154" s="17">
        <f>VLOOKUP(K154,'השוואה חודשית 11.25 מול 10.25'!$A$4:$D$330,4,FALSE)</f>
        <v>10738</v>
      </c>
      <c r="R154" s="17">
        <v>9461</v>
      </c>
      <c r="S154" s="17">
        <v>11957</v>
      </c>
      <c r="T154" s="17"/>
      <c r="U154" s="17">
        <v>11957</v>
      </c>
      <c r="V154" s="21">
        <v>10166.23</v>
      </c>
      <c r="W154" s="113">
        <f>VLOOKUP(J154,'[7]02.26 מעודכן'!$B$2:$N$144,13,FALSE)</f>
        <v>10275.84</v>
      </c>
      <c r="X154" s="113">
        <v>8622.7000000000007</v>
      </c>
      <c r="Y154" s="113">
        <v>10711.91</v>
      </c>
    </row>
    <row r="155" spans="1:25" x14ac:dyDescent="0.3">
      <c r="A155" s="15"/>
      <c r="B155" s="15"/>
      <c r="C155" s="15"/>
      <c r="D155" s="17"/>
      <c r="J155">
        <v>877</v>
      </c>
      <c r="K155" s="15">
        <v>87</v>
      </c>
      <c r="L155" s="15" t="s">
        <v>375</v>
      </c>
      <c r="M155" s="15" t="s">
        <v>142</v>
      </c>
      <c r="N155" s="113" t="s">
        <v>569</v>
      </c>
      <c r="O155" s="17">
        <f>VLOOKUP(K155,גליון1!$A$11:$L$323,11,FALSE)</f>
        <v>9100</v>
      </c>
      <c r="P155" s="17">
        <f>VLOOKUP(K155,גליון1!$A$11:$L$323,12,FALSE)</f>
        <v>9229</v>
      </c>
      <c r="Q155" s="17">
        <f>VLOOKUP(K155,'השוואה חודשית 11.25 מול 10.25'!$A$4:$D$330,4,FALSE)</f>
        <v>9723</v>
      </c>
      <c r="R155" s="17">
        <v>10367</v>
      </c>
      <c r="S155" s="17">
        <v>10747</v>
      </c>
      <c r="T155" s="17"/>
      <c r="U155" s="17">
        <v>10747</v>
      </c>
      <c r="V155" s="21">
        <v>10248.379999999999</v>
      </c>
      <c r="W155" s="113">
        <f>VLOOKUP(J155,'[7]02.26 מעודכן'!$B$2:$N$144,13,FALSE)</f>
        <v>8825.35</v>
      </c>
      <c r="X155" s="113">
        <v>9146.5499999999993</v>
      </c>
      <c r="Y155" s="113">
        <v>9885.23</v>
      </c>
    </row>
    <row r="156" spans="1:25" x14ac:dyDescent="0.3">
      <c r="A156" s="15"/>
      <c r="B156" s="15"/>
      <c r="C156" s="15"/>
      <c r="D156" s="17"/>
      <c r="I156" t="s">
        <v>568</v>
      </c>
      <c r="K156" s="15">
        <v>88</v>
      </c>
      <c r="L156" s="15" t="s">
        <v>376</v>
      </c>
      <c r="M156" s="15" t="s">
        <v>377</v>
      </c>
      <c r="N156" s="113" t="s">
        <v>569</v>
      </c>
      <c r="O156" s="17">
        <f>VLOOKUP(K156,גליון1!$A$11:$L$323,11,FALSE)</f>
        <v>4457</v>
      </c>
      <c r="P156" s="17">
        <f>VLOOKUP(K156,גליון1!$A$11:$L$323,12,FALSE)</f>
        <v>6091</v>
      </c>
      <c r="Q156" s="17">
        <f>VLOOKUP(K156,'השוואה חודשית 11.25 מול 10.25'!$A$4:$D$330,4,FALSE)</f>
        <v>7070</v>
      </c>
      <c r="R156" s="17">
        <v>4872</v>
      </c>
      <c r="S156" s="17">
        <v>5239</v>
      </c>
      <c r="T156" s="17"/>
      <c r="U156" s="17">
        <v>5239</v>
      </c>
      <c r="V156" s="17"/>
      <c r="W156" s="17"/>
      <c r="X156" s="17"/>
      <c r="Y156" s="17"/>
    </row>
    <row r="157" spans="1:25" x14ac:dyDescent="0.3">
      <c r="A157" s="15"/>
      <c r="B157" s="15"/>
      <c r="C157" s="15"/>
      <c r="D157" s="17"/>
      <c r="J157">
        <v>1180</v>
      </c>
      <c r="K157" s="15">
        <v>118</v>
      </c>
      <c r="L157" s="15" t="s">
        <v>378</v>
      </c>
      <c r="M157" s="15" t="s">
        <v>379</v>
      </c>
      <c r="N157" s="113" t="s">
        <v>569</v>
      </c>
      <c r="O157" s="17">
        <f>VLOOKUP(K157,גליון1!$A$11:$L$323,11,FALSE)</f>
        <v>12382</v>
      </c>
      <c r="P157" s="17">
        <f>VLOOKUP(K157,גליון1!$A$11:$L$323,12,FALSE)</f>
        <v>12362</v>
      </c>
      <c r="Q157" s="17">
        <f>VLOOKUP(K157,'השוואה חודשית 11.25 מול 10.25'!$A$4:$D$330,4,FALSE)</f>
        <v>11448</v>
      </c>
      <c r="R157" s="17">
        <v>10896</v>
      </c>
      <c r="S157" s="17">
        <v>9916</v>
      </c>
      <c r="T157" s="17"/>
      <c r="U157" s="17">
        <v>9916</v>
      </c>
      <c r="V157" s="21">
        <v>10370.66</v>
      </c>
      <c r="W157" s="113">
        <f>VLOOKUP(J157,'[7]02.26 מעודכן'!$B$2:$N$144,13,FALSE)</f>
        <v>8624.84</v>
      </c>
      <c r="X157" s="113">
        <v>14122.32</v>
      </c>
      <c r="Y157" s="113">
        <v>13485.18</v>
      </c>
    </row>
    <row r="158" spans="1:25" x14ac:dyDescent="0.3">
      <c r="A158" s="15"/>
      <c r="B158" s="15"/>
      <c r="C158" s="15"/>
      <c r="D158" s="17"/>
      <c r="J158">
        <v>1321</v>
      </c>
      <c r="K158" s="15">
        <v>132</v>
      </c>
      <c r="L158" s="15" t="s">
        <v>380</v>
      </c>
      <c r="M158" s="15" t="s">
        <v>322</v>
      </c>
      <c r="N158" s="113" t="s">
        <v>569</v>
      </c>
      <c r="O158" s="17">
        <f>VLOOKUP(K158,גליון1!$A$11:$L$323,11,FALSE)</f>
        <v>7157</v>
      </c>
      <c r="P158" s="17">
        <f>VLOOKUP(K158,גליון1!$A$11:$L$323,12,FALSE)</f>
        <v>4359</v>
      </c>
      <c r="Q158" s="17">
        <f>VLOOKUP(K158,'השוואה חודשית 11.25 מול 10.25'!$A$4:$D$330,4,FALSE)</f>
        <v>7236</v>
      </c>
      <c r="R158" s="17">
        <v>8005</v>
      </c>
      <c r="S158" s="17">
        <v>7295</v>
      </c>
      <c r="T158" s="17"/>
      <c r="U158" s="17">
        <v>7295</v>
      </c>
      <c r="V158" s="21">
        <v>7388.15</v>
      </c>
      <c r="W158" s="113">
        <f>VLOOKUP(J158,'[7]02.26 מעודכן'!$B$2:$N$144,13,FALSE)</f>
        <v>6860.42</v>
      </c>
      <c r="X158" s="113">
        <v>6476.84</v>
      </c>
      <c r="Y158" s="113">
        <v>7429.75</v>
      </c>
    </row>
    <row r="159" spans="1:25" x14ac:dyDescent="0.3">
      <c r="A159" s="15"/>
      <c r="B159" s="15"/>
      <c r="C159" s="15"/>
      <c r="D159" s="17"/>
      <c r="J159">
        <v>0</v>
      </c>
      <c r="K159" s="15">
        <v>148</v>
      </c>
      <c r="L159" s="15" t="s">
        <v>561</v>
      </c>
      <c r="M159" s="15" t="s">
        <v>562</v>
      </c>
      <c r="N159" s="15" t="e">
        <f>VLOOKUP(L159,$A$3:$C$126,3,FALSE)</f>
        <v>#N/A</v>
      </c>
      <c r="O159" s="17">
        <f>VLOOKUP(K159,גליון1!$A$11:$L$323,11,FALSE)</f>
        <v>0</v>
      </c>
      <c r="P159" s="17">
        <f>VLOOKUP(K159,גליון1!$A$11:$L$323,12,FALSE)</f>
        <v>0</v>
      </c>
      <c r="Q159" s="17">
        <f>VLOOKUP(K159,'השוואה חודשית 11.25 מול 10.25'!$A$4:$D$330,4,FALSE)</f>
        <v>0</v>
      </c>
      <c r="R159" s="17">
        <v>0</v>
      </c>
      <c r="S159" s="17">
        <v>0</v>
      </c>
      <c r="T159" s="17"/>
      <c r="U159" s="17">
        <v>0</v>
      </c>
      <c r="V159" s="17"/>
      <c r="W159" s="17"/>
      <c r="X159" s="17"/>
      <c r="Y159" s="17"/>
    </row>
    <row r="160" spans="1:25" x14ac:dyDescent="0.3">
      <c r="A160" s="15"/>
      <c r="B160" s="15"/>
      <c r="C160" s="15"/>
      <c r="D160" s="17"/>
      <c r="J160">
        <v>0</v>
      </c>
      <c r="K160" s="15">
        <v>150</v>
      </c>
      <c r="L160" s="15" t="s">
        <v>563</v>
      </c>
      <c r="M160" s="15" t="s">
        <v>283</v>
      </c>
      <c r="N160" s="15" t="e">
        <f>VLOOKUP(L160,$A$3:$C$126,3,FALSE)</f>
        <v>#N/A</v>
      </c>
      <c r="O160" s="17">
        <f>VLOOKUP(K160,גליון1!$A$11:$L$323,11,FALSE)</f>
        <v>0</v>
      </c>
      <c r="P160" s="17">
        <f>VLOOKUP(K160,גליון1!$A$11:$L$323,12,FALSE)</f>
        <v>0</v>
      </c>
      <c r="Q160" s="17">
        <f>VLOOKUP(K160,'השוואה חודשית 11.25 מול 10.25'!$A$4:$D$330,4,FALSE)</f>
        <v>0</v>
      </c>
      <c r="R160" s="17">
        <v>0</v>
      </c>
      <c r="S160" s="17">
        <v>0</v>
      </c>
      <c r="T160" s="17"/>
      <c r="U160" s="17">
        <v>0</v>
      </c>
      <c r="V160" s="17"/>
      <c r="W160" s="17"/>
      <c r="X160" s="17"/>
      <c r="Y160" s="17"/>
    </row>
    <row r="161" spans="1:25" x14ac:dyDescent="0.3">
      <c r="A161" s="15"/>
      <c r="B161" s="15"/>
      <c r="C161" s="15"/>
      <c r="D161" s="17"/>
      <c r="J161">
        <v>885</v>
      </c>
      <c r="K161" s="15"/>
      <c r="L161" s="15" t="s">
        <v>563</v>
      </c>
      <c r="M161" s="15" t="s">
        <v>377</v>
      </c>
      <c r="N161" s="113" t="s">
        <v>569</v>
      </c>
      <c r="O161" s="17"/>
      <c r="P161" s="17"/>
      <c r="Q161" s="17"/>
      <c r="R161" s="17"/>
      <c r="S161" s="17"/>
      <c r="T161" s="17"/>
      <c r="U161" s="17"/>
      <c r="V161" s="21">
        <v>5494.14</v>
      </c>
      <c r="W161" s="113">
        <f>VLOOKUP(J161,'[7]02.26 מעודכן'!$B$2:$N$144,13,FALSE)</f>
        <v>4141.38</v>
      </c>
      <c r="X161" s="113">
        <v>3212.6</v>
      </c>
      <c r="Y161" s="113">
        <v>4549.33</v>
      </c>
    </row>
    <row r="162" spans="1:25" x14ac:dyDescent="0.3">
      <c r="A162" s="15"/>
      <c r="B162" s="15"/>
      <c r="C162" s="15"/>
      <c r="D162" s="17"/>
      <c r="J162">
        <v>0</v>
      </c>
      <c r="K162" s="15">
        <v>152</v>
      </c>
      <c r="L162" s="15" t="s">
        <v>564</v>
      </c>
      <c r="M162" s="15" t="s">
        <v>565</v>
      </c>
      <c r="N162" s="15" t="e">
        <f>VLOOKUP(L162,$A$3:$C$126,3,FALSE)</f>
        <v>#N/A</v>
      </c>
      <c r="O162" s="17">
        <f>VLOOKUP(K162,גליון1!$A$11:$L$323,11,FALSE)</f>
        <v>0</v>
      </c>
      <c r="P162" s="17">
        <f>VLOOKUP(K162,גליון1!$A$11:$L$323,12,FALSE)</f>
        <v>0</v>
      </c>
      <c r="Q162" s="17">
        <f>VLOOKUP(K162,'השוואה חודשית 11.25 מול 10.25'!$A$4:$D$330,4,FALSE)</f>
        <v>0</v>
      </c>
      <c r="R162" s="17">
        <v>0</v>
      </c>
      <c r="S162" s="17">
        <v>0</v>
      </c>
      <c r="T162" s="17"/>
      <c r="U162" s="17">
        <v>0</v>
      </c>
      <c r="V162" s="17"/>
      <c r="W162" s="17"/>
      <c r="X162" s="17"/>
      <c r="Y162" s="17"/>
    </row>
    <row r="163" spans="1:25" x14ac:dyDescent="0.3">
      <c r="A163" s="15"/>
      <c r="B163" s="15"/>
      <c r="C163" s="15"/>
      <c r="D163" s="17"/>
      <c r="J163">
        <v>0</v>
      </c>
      <c r="K163" s="15">
        <v>182</v>
      </c>
      <c r="L163" s="15" t="s">
        <v>566</v>
      </c>
      <c r="M163" s="15" t="s">
        <v>361</v>
      </c>
      <c r="N163" s="15" t="e">
        <f>VLOOKUP(L163,$A$3:$C$126,3,FALSE)</f>
        <v>#N/A</v>
      </c>
      <c r="O163" s="17">
        <f>VLOOKUP(K163,גליון1!$A$11:$L$323,11,FALSE)</f>
        <v>0</v>
      </c>
      <c r="P163" s="17">
        <f>VLOOKUP(K163,גליון1!$A$11:$L$323,12,FALSE)</f>
        <v>0</v>
      </c>
      <c r="Q163" s="17">
        <f>VLOOKUP(K163,'השוואה חודשית 11.25 מול 10.25'!$A$4:$D$330,4,FALSE)</f>
        <v>0</v>
      </c>
      <c r="R163" s="17">
        <v>0</v>
      </c>
      <c r="S163" s="17">
        <v>0</v>
      </c>
      <c r="T163" s="17"/>
      <c r="U163" s="17">
        <v>0</v>
      </c>
      <c r="V163" s="17"/>
      <c r="W163" s="17"/>
      <c r="X163" s="17"/>
      <c r="Y163" s="17"/>
    </row>
    <row r="164" spans="1:25" x14ac:dyDescent="0.3">
      <c r="A164" s="15"/>
      <c r="B164" s="15"/>
      <c r="C164" s="15"/>
      <c r="D164" s="17"/>
      <c r="J164">
        <v>1917</v>
      </c>
      <c r="K164" s="15">
        <v>191</v>
      </c>
      <c r="L164" s="15" t="s">
        <v>381</v>
      </c>
      <c r="M164" s="15" t="s">
        <v>382</v>
      </c>
      <c r="N164" s="113" t="s">
        <v>569</v>
      </c>
      <c r="O164" s="17">
        <f>VLOOKUP(K164,גליון1!$A$11:$L$323,11,FALSE)</f>
        <v>8343</v>
      </c>
      <c r="P164" s="17">
        <f>VLOOKUP(K164,גליון1!$A$11:$L$323,12,FALSE)</f>
        <v>6494</v>
      </c>
      <c r="Q164" s="17">
        <f>VLOOKUP(K164,'השוואה חודשית 11.25 מול 10.25'!$A$4:$D$330,4,FALSE)</f>
        <v>9452</v>
      </c>
      <c r="R164" s="17">
        <v>8007</v>
      </c>
      <c r="S164" s="17">
        <v>8200</v>
      </c>
      <c r="T164" s="17"/>
      <c r="U164" s="17">
        <v>8200</v>
      </c>
      <c r="V164" s="21">
        <v>6705.97</v>
      </c>
      <c r="W164" s="113">
        <f>VLOOKUP(J164,'[7]02.26 מעודכן'!$B$2:$N$144,13,FALSE)</f>
        <v>8936.2900000000009</v>
      </c>
      <c r="X164" s="113">
        <v>9121.23</v>
      </c>
      <c r="Y164" s="113">
        <v>7370.11</v>
      </c>
    </row>
    <row r="165" spans="1:25" x14ac:dyDescent="0.3">
      <c r="A165" s="15"/>
      <c r="B165" s="15"/>
      <c r="C165" s="15"/>
      <c r="D165" s="17"/>
      <c r="J165">
        <v>414</v>
      </c>
      <c r="K165" s="15">
        <v>41</v>
      </c>
      <c r="L165" s="15" t="s">
        <v>194</v>
      </c>
      <c r="M165" s="15" t="s">
        <v>383</v>
      </c>
      <c r="N165" s="113" t="s">
        <v>569</v>
      </c>
      <c r="O165" s="17">
        <f>VLOOKUP(K165,גליון1!$A$11:$L$323,11,FALSE)</f>
        <v>27882</v>
      </c>
      <c r="P165" s="17">
        <f>VLOOKUP(K165,גליון1!$A$11:$L$323,12,FALSE)</f>
        <v>27795</v>
      </c>
      <c r="Q165" s="17">
        <f>VLOOKUP(K165,'השוואה חודשית 11.25 מול 10.25'!$A$4:$D$330,4,FALSE)</f>
        <v>27656</v>
      </c>
      <c r="R165" s="17">
        <v>27914</v>
      </c>
      <c r="S165" s="17">
        <v>27882</v>
      </c>
      <c r="T165" s="17"/>
      <c r="U165" s="17">
        <v>27882</v>
      </c>
      <c r="V165" s="21">
        <v>25932.33</v>
      </c>
      <c r="W165" s="113">
        <f>VLOOKUP(J165,'[7]02.26 מעודכן'!$B$2:$N$144,13,FALSE)</f>
        <v>28848.26</v>
      </c>
      <c r="X165" s="113">
        <v>27867.54</v>
      </c>
      <c r="Y165" s="113">
        <v>27262.73</v>
      </c>
    </row>
    <row r="166" spans="1:25" x14ac:dyDescent="0.3">
      <c r="A166" s="15"/>
      <c r="B166" s="15"/>
      <c r="C166" s="15"/>
      <c r="D166" s="17"/>
      <c r="J166">
        <v>653</v>
      </c>
      <c r="K166" s="15">
        <v>65</v>
      </c>
      <c r="L166" s="29" t="s">
        <v>384</v>
      </c>
      <c r="M166" s="29" t="s">
        <v>385</v>
      </c>
      <c r="N166" s="114" t="s">
        <v>491</v>
      </c>
      <c r="O166" s="17"/>
      <c r="P166" s="17"/>
      <c r="Q166" s="17">
        <f>VLOOKUP(K166,'השוואה חודשית 11.25 מול 10.25'!$A$4:$D$330,4,FALSE)</f>
        <v>12890</v>
      </c>
      <c r="R166" s="17">
        <v>13049</v>
      </c>
      <c r="S166" s="17">
        <v>15878</v>
      </c>
      <c r="T166" s="17"/>
      <c r="U166" s="17">
        <v>15878</v>
      </c>
      <c r="V166" s="21">
        <v>11877.46</v>
      </c>
      <c r="W166" s="114">
        <f>VLOOKUP(J166,'[7]02.26 מעודכן'!$B$2:$N$144,13,FALSE)</f>
        <v>13756.88</v>
      </c>
      <c r="X166" s="114">
        <v>22.97</v>
      </c>
      <c r="Y166" s="114">
        <v>10819.33</v>
      </c>
    </row>
    <row r="167" spans="1:25" x14ac:dyDescent="0.3">
      <c r="A167" s="15"/>
      <c r="B167" s="15"/>
      <c r="C167" s="15"/>
      <c r="D167" s="17"/>
      <c r="J167">
        <v>968</v>
      </c>
      <c r="K167" s="15">
        <v>96</v>
      </c>
      <c r="L167" s="29" t="s">
        <v>386</v>
      </c>
      <c r="M167" s="29" t="s">
        <v>387</v>
      </c>
      <c r="N167" s="114" t="s">
        <v>491</v>
      </c>
      <c r="O167" s="17">
        <f>VLOOKUP(K167,גליון1!$A$11:$L$323,11,FALSE)</f>
        <v>23077</v>
      </c>
      <c r="P167" s="17">
        <f>VLOOKUP(K167,גליון1!$A$11:$L$323,12,FALSE)</f>
        <v>26446</v>
      </c>
      <c r="Q167" s="17">
        <f>VLOOKUP(K167,'השוואה חודשית 11.25 מול 10.25'!$A$4:$D$330,4,FALSE)</f>
        <v>27789</v>
      </c>
      <c r="R167" s="17">
        <v>24361</v>
      </c>
      <c r="S167" s="17">
        <v>25226</v>
      </c>
      <c r="T167" s="17"/>
      <c r="U167" s="17">
        <v>25226</v>
      </c>
      <c r="V167" s="21">
        <v>22472.46</v>
      </c>
      <c r="W167" s="114">
        <f>VLOOKUP(J167,'[7]02.26 מעודכן'!$B$2:$N$144,13,FALSE)</f>
        <v>16504.23</v>
      </c>
      <c r="X167" s="114">
        <v>23984.11</v>
      </c>
      <c r="Y167" s="114">
        <v>19370.47</v>
      </c>
    </row>
    <row r="168" spans="1:25" x14ac:dyDescent="0.3">
      <c r="A168" s="15"/>
      <c r="B168" s="15"/>
      <c r="C168" s="15"/>
      <c r="D168" s="17"/>
      <c r="J168">
        <v>1511</v>
      </c>
      <c r="K168" s="15">
        <v>151</v>
      </c>
      <c r="L168" s="29" t="s">
        <v>388</v>
      </c>
      <c r="M168" s="29" t="s">
        <v>389</v>
      </c>
      <c r="N168" s="114" t="s">
        <v>491</v>
      </c>
      <c r="O168" s="17">
        <f>VLOOKUP(K168,גליון1!$A$11:$L$323,11,FALSE)</f>
        <v>19601</v>
      </c>
      <c r="P168" s="17">
        <f>VLOOKUP(K168,גליון1!$A$11:$L$323,12,FALSE)</f>
        <v>8602</v>
      </c>
      <c r="Q168" s="17">
        <f>VLOOKUP(K168,'השוואה חודשית 11.25 מול 10.25'!$A$4:$D$330,4,FALSE)</f>
        <v>10787</v>
      </c>
      <c r="R168" s="17">
        <v>21805</v>
      </c>
      <c r="S168" s="17">
        <v>12990</v>
      </c>
      <c r="T168" s="17"/>
      <c r="U168" s="17">
        <v>12990</v>
      </c>
      <c r="V168" s="21">
        <v>17391.8</v>
      </c>
      <c r="W168" s="114">
        <f>VLOOKUP(J168,'[7]02.26 מעודכן'!$B$2:$N$144,13,FALSE)</f>
        <v>26206.76</v>
      </c>
      <c r="X168" s="114">
        <v>10792.06</v>
      </c>
      <c r="Y168" s="114">
        <v>26206.76</v>
      </c>
    </row>
    <row r="169" spans="1:25" x14ac:dyDescent="0.3">
      <c r="A169" s="15"/>
      <c r="B169" s="15"/>
      <c r="C169" s="15"/>
      <c r="D169" s="17"/>
      <c r="J169">
        <v>1834</v>
      </c>
      <c r="K169" s="15">
        <v>183</v>
      </c>
      <c r="L169" s="15" t="s">
        <v>390</v>
      </c>
      <c r="M169" s="15" t="s">
        <v>135</v>
      </c>
      <c r="N169" s="114" t="s">
        <v>491</v>
      </c>
      <c r="O169" s="17">
        <f>VLOOKUP(K169,גליון1!$A$11:$L$323,11,FALSE)</f>
        <v>3346</v>
      </c>
      <c r="P169" s="17">
        <f>VLOOKUP(K169,גליון1!$A$11:$L$323,12,FALSE)</f>
        <v>3454</v>
      </c>
      <c r="Q169" s="17">
        <f>VLOOKUP(K169,'השוואה חודשית 11.25 מול 10.25'!$A$4:$D$330,4,FALSE)</f>
        <v>2313</v>
      </c>
      <c r="R169" s="17">
        <v>4807</v>
      </c>
      <c r="S169" s="17">
        <v>3773</v>
      </c>
      <c r="T169" s="17"/>
      <c r="U169" s="17">
        <v>3773</v>
      </c>
      <c r="V169" s="21">
        <v>5077.47</v>
      </c>
      <c r="W169" s="114">
        <f>VLOOKUP(J169,'[7]02.26 מעודכן'!$B$2:$N$144,13,FALSE)</f>
        <v>5196.87</v>
      </c>
      <c r="X169" s="114">
        <v>4864.84</v>
      </c>
      <c r="Y169" s="114">
        <v>6383.31</v>
      </c>
    </row>
    <row r="170" spans="1:25" x14ac:dyDescent="0.3">
      <c r="A170" s="15"/>
      <c r="B170" s="15"/>
      <c r="C170" s="15"/>
      <c r="D170" s="17"/>
      <c r="J170">
        <v>1412</v>
      </c>
      <c r="K170" s="15">
        <v>141</v>
      </c>
      <c r="L170" s="15" t="s">
        <v>391</v>
      </c>
      <c r="M170" s="15" t="s">
        <v>392</v>
      </c>
      <c r="N170" s="21" t="s">
        <v>489</v>
      </c>
      <c r="O170" s="17">
        <f>VLOOKUP(K170,גליון1!$A$11:$L$323,11,FALSE)</f>
        <v>9289</v>
      </c>
      <c r="P170" s="17">
        <f>VLOOKUP(K170,גליון1!$A$11:$L$323,12,FALSE)</f>
        <v>7949</v>
      </c>
      <c r="Q170" s="17">
        <f>VLOOKUP(K170,'השוואה חודשית 11.25 מול 10.25'!$A$4:$D$330,4,FALSE)</f>
        <v>7525</v>
      </c>
      <c r="R170" s="17">
        <v>7927</v>
      </c>
      <c r="S170" s="17">
        <v>8758</v>
      </c>
      <c r="T170" s="17"/>
      <c r="U170" s="17">
        <v>8758</v>
      </c>
      <c r="V170" s="21">
        <v>6798.69</v>
      </c>
      <c r="W170" s="21">
        <f>VLOOKUP(J170,'[7]02.26 מעודכן'!$B$2:$N$144,13,FALSE)</f>
        <v>5773.11</v>
      </c>
      <c r="X170" s="21">
        <v>5130.57</v>
      </c>
      <c r="Y170" s="21">
        <v>4867.71</v>
      </c>
    </row>
    <row r="171" spans="1:25" x14ac:dyDescent="0.3">
      <c r="A171" s="15"/>
      <c r="B171" s="15"/>
      <c r="C171" s="15"/>
      <c r="D171" s="17"/>
      <c r="J171">
        <v>1610</v>
      </c>
      <c r="K171" s="15">
        <v>161</v>
      </c>
      <c r="L171" s="29" t="s">
        <v>393</v>
      </c>
      <c r="M171" s="29" t="s">
        <v>394</v>
      </c>
      <c r="N171" s="21" t="s">
        <v>489</v>
      </c>
      <c r="O171" s="17">
        <f>VLOOKUP(K171,גליון1!$A$11:$L$323,11,FALSE)</f>
        <v>31553</v>
      </c>
      <c r="P171" s="17">
        <f>VLOOKUP(K171,גליון1!$A$11:$L$323,12,FALSE)</f>
        <v>31568</v>
      </c>
      <c r="Q171" s="17">
        <f>VLOOKUP(K171,'השוואה חודשית 11.25 מול 10.25'!$A$4:$D$330,4,FALSE)</f>
        <v>31553</v>
      </c>
      <c r="R171" s="17">
        <v>31553</v>
      </c>
      <c r="S171" s="17">
        <v>31553</v>
      </c>
      <c r="T171" s="17"/>
      <c r="U171" s="17">
        <v>31553</v>
      </c>
      <c r="V171" s="21">
        <v>31919.22</v>
      </c>
      <c r="W171" s="21">
        <f>VLOOKUP(J171,'[7]02.26 מעודכן'!$B$2:$N$144,13,FALSE)</f>
        <v>31547.78</v>
      </c>
      <c r="X171" s="21">
        <v>31571.75</v>
      </c>
      <c r="Y171" s="21">
        <v>31547.78</v>
      </c>
    </row>
    <row r="172" spans="1:25" x14ac:dyDescent="0.3">
      <c r="A172" s="15"/>
      <c r="B172" s="15"/>
      <c r="C172" s="15"/>
      <c r="D172" s="17"/>
      <c r="J172">
        <v>976</v>
      </c>
      <c r="K172" s="15">
        <v>97</v>
      </c>
      <c r="L172" s="15" t="s">
        <v>395</v>
      </c>
      <c r="M172" s="15" t="s">
        <v>236</v>
      </c>
      <c r="N172" s="113" t="s">
        <v>924</v>
      </c>
      <c r="O172" s="17">
        <f>VLOOKUP(K172,גליון1!$A$11:$L$323,11,FALSE)</f>
        <v>3017</v>
      </c>
      <c r="P172" s="17">
        <f>VLOOKUP(K172,גליון1!$A$11:$L$323,12,FALSE)</f>
        <v>2144</v>
      </c>
      <c r="Q172" s="17">
        <f>VLOOKUP(K172,'השוואה חודשית 11.25 מול 10.25'!$A$4:$D$330,4,FALSE)</f>
        <v>7056</v>
      </c>
      <c r="R172" s="17">
        <v>3471</v>
      </c>
      <c r="S172" s="17">
        <v>3625</v>
      </c>
      <c r="T172" s="17"/>
      <c r="U172" s="17">
        <v>3625</v>
      </c>
      <c r="V172" s="113">
        <v>5327.37</v>
      </c>
      <c r="W172" s="113">
        <f>VLOOKUP(J172,'[7]02.26 מעודכן'!$B$2:$N$144,13,FALSE)</f>
        <v>3898.02</v>
      </c>
      <c r="X172" s="113">
        <v>5986.81</v>
      </c>
      <c r="Y172" s="113">
        <v>11355.31</v>
      </c>
    </row>
    <row r="173" spans="1:25" x14ac:dyDescent="0.3">
      <c r="A173" s="15"/>
      <c r="B173" s="15"/>
      <c r="C173" s="15"/>
      <c r="D173" s="17"/>
      <c r="J173">
        <v>18</v>
      </c>
      <c r="K173" s="15">
        <v>1</v>
      </c>
      <c r="L173" s="15" t="s">
        <v>396</v>
      </c>
      <c r="M173" s="15" t="s">
        <v>397</v>
      </c>
      <c r="N173" s="16" t="s">
        <v>196</v>
      </c>
      <c r="O173" s="17">
        <f>VLOOKUP(K173,גליון1!$A$11:$L$323,11,FALSE)</f>
        <v>42645</v>
      </c>
      <c r="P173" s="17">
        <f>VLOOKUP(K173,גליון1!$A$11:$L$323,12,FALSE)</f>
        <v>43584</v>
      </c>
      <c r="Q173" s="17">
        <f>VLOOKUP(K173,'השוואה חודשית 11.25 מול 10.25'!$A$4:$D$330,4,FALSE)</f>
        <v>39530</v>
      </c>
      <c r="R173" s="17">
        <v>39530</v>
      </c>
      <c r="S173" s="17">
        <v>39530</v>
      </c>
      <c r="T173" s="17"/>
      <c r="U173" s="17">
        <v>39530</v>
      </c>
      <c r="V173" s="16">
        <v>39524.68</v>
      </c>
      <c r="W173" s="16">
        <f>VLOOKUP(J173,'[7]02.26 מעודכן'!$B$2:$N$144,13,FALSE)</f>
        <v>39524.68</v>
      </c>
      <c r="X173" s="16">
        <v>41417.47</v>
      </c>
      <c r="Y173" s="16">
        <v>40159.910000000003</v>
      </c>
    </row>
    <row r="174" spans="1:25" x14ac:dyDescent="0.3">
      <c r="A174" s="15"/>
      <c r="B174" s="15"/>
      <c r="C174" s="15"/>
      <c r="D174" s="17"/>
      <c r="J174">
        <v>0</v>
      </c>
      <c r="K174" s="15">
        <v>168</v>
      </c>
      <c r="L174" s="15" t="s">
        <v>175</v>
      </c>
      <c r="M174" s="15" t="s">
        <v>567</v>
      </c>
      <c r="N174" s="22" t="s">
        <v>399</v>
      </c>
      <c r="O174" s="17">
        <f>VLOOKUP(K174,גליון1!$A$11:$L$323,11,FALSE)</f>
        <v>29374</v>
      </c>
      <c r="P174" s="17">
        <f>VLOOKUP(K174,גליון1!$A$11:$L$323,12,FALSE)</f>
        <v>32816</v>
      </c>
      <c r="Q174" s="17">
        <f>VLOOKUP(K174,'השוואה חודשית 11.25 מול 10.25'!$A$4:$D$330,4,FALSE)</f>
        <v>0</v>
      </c>
      <c r="R174" s="17">
        <v>0</v>
      </c>
      <c r="S174" s="17">
        <v>0</v>
      </c>
      <c r="T174" s="17"/>
      <c r="U174" s="17">
        <v>0</v>
      </c>
      <c r="V174" s="17"/>
      <c r="W174" s="17"/>
      <c r="X174" s="17"/>
      <c r="Y174" s="17"/>
    </row>
    <row r="175" spans="1:25" x14ac:dyDescent="0.3">
      <c r="A175" s="15"/>
      <c r="B175" s="15"/>
      <c r="C175" s="15"/>
      <c r="D175" s="17"/>
      <c r="J175">
        <v>1982</v>
      </c>
      <c r="K175" s="15">
        <v>198</v>
      </c>
      <c r="L175" s="15" t="s">
        <v>398</v>
      </c>
      <c r="M175" s="15" t="s">
        <v>303</v>
      </c>
      <c r="N175" s="22" t="s">
        <v>399</v>
      </c>
      <c r="O175" s="17"/>
      <c r="P175" s="17"/>
      <c r="Q175" s="17">
        <f>VLOOKUP(K175,'השוואה חודשית 11.25 מול 10.25'!$A$4:$D$330,4,FALSE)</f>
        <v>16123</v>
      </c>
      <c r="R175" s="17">
        <v>38014</v>
      </c>
      <c r="S175" s="17">
        <v>38014</v>
      </c>
      <c r="T175" s="17"/>
      <c r="U175" s="17">
        <v>38014</v>
      </c>
      <c r="V175" s="22">
        <v>38008.269999999997</v>
      </c>
      <c r="W175" s="22">
        <f>VLOOKUP(J175,'[7]02.26 מעודכן'!$B$2:$N$144,13,FALSE)</f>
        <v>38008.269999999997</v>
      </c>
      <c r="X175" s="22">
        <v>38031.24</v>
      </c>
      <c r="Y175" s="22">
        <v>38008.269999999997</v>
      </c>
    </row>
    <row r="176" spans="1:25" x14ac:dyDescent="0.3">
      <c r="A176" s="15"/>
      <c r="B176" s="15"/>
      <c r="C176" s="15"/>
      <c r="D176" s="17"/>
      <c r="J176">
        <v>2105</v>
      </c>
      <c r="K176" s="15">
        <v>210</v>
      </c>
      <c r="L176" s="15" t="s">
        <v>400</v>
      </c>
      <c r="M176" s="15" t="s">
        <v>401</v>
      </c>
      <c r="N176" s="22" t="s">
        <v>399</v>
      </c>
      <c r="O176" s="17"/>
      <c r="P176" s="17"/>
      <c r="Q176" s="17"/>
      <c r="R176" s="17">
        <v>0</v>
      </c>
      <c r="S176" s="17">
        <v>4389</v>
      </c>
      <c r="T176" s="17"/>
      <c r="U176" s="17">
        <v>4389</v>
      </c>
      <c r="V176" s="22">
        <v>25765.27</v>
      </c>
      <c r="W176" s="22">
        <f>VLOOKUP(J176,'[7]02.26 מעודכן'!$B$2:$N$144,13,FALSE)</f>
        <v>25765.27</v>
      </c>
      <c r="X176" s="22">
        <v>25788.240000000002</v>
      </c>
      <c r="Y176" s="22">
        <v>25765.27</v>
      </c>
    </row>
    <row r="177" spans="1:25" x14ac:dyDescent="0.3">
      <c r="A177" s="15"/>
      <c r="B177" s="15"/>
      <c r="C177" s="15"/>
      <c r="D177" s="17"/>
      <c r="J177">
        <v>2113</v>
      </c>
      <c r="K177" s="15">
        <v>211</v>
      </c>
      <c r="L177" s="15" t="s">
        <v>187</v>
      </c>
      <c r="M177" s="15" t="s">
        <v>402</v>
      </c>
      <c r="N177" s="22" t="s">
        <v>399</v>
      </c>
      <c r="O177" s="17"/>
      <c r="P177" s="17"/>
      <c r="Q177" s="17"/>
      <c r="R177" s="17">
        <v>0</v>
      </c>
      <c r="S177" s="17">
        <v>4158</v>
      </c>
      <c r="T177" s="17"/>
      <c r="U177" s="17">
        <v>4158</v>
      </c>
      <c r="V177" s="22">
        <v>24848.87</v>
      </c>
      <c r="W177" s="22">
        <f>VLOOKUP(J177,'[7]02.26 מעודכן'!$B$2:$N$144,13,FALSE)</f>
        <v>34851.839999999997</v>
      </c>
      <c r="X177" s="22">
        <v>29461.14</v>
      </c>
      <c r="Y177" s="22">
        <v>29438.17</v>
      </c>
    </row>
    <row r="178" spans="1:25" ht="14.5" x14ac:dyDescent="0.3">
      <c r="A178" s="15"/>
      <c r="B178" s="15"/>
      <c r="C178" s="15"/>
      <c r="D178" s="17"/>
      <c r="J178" s="304">
        <v>2154</v>
      </c>
      <c r="L178" s="305" t="s">
        <v>914</v>
      </c>
      <c r="M178" s="305" t="s">
        <v>166</v>
      </c>
      <c r="N178" s="16" t="s">
        <v>196</v>
      </c>
      <c r="O178" s="17"/>
      <c r="P178" s="17"/>
      <c r="Q178" s="17"/>
      <c r="R178" s="17"/>
      <c r="S178" s="17"/>
      <c r="T178" s="17"/>
      <c r="U178" s="17"/>
      <c r="V178" s="22"/>
      <c r="W178" s="16">
        <f>VLOOKUP(J178,'[7]02.26 מעודכן'!$B$2:$N$144,13,FALSE)</f>
        <v>4639.5</v>
      </c>
      <c r="X178" s="16">
        <v>9294.6</v>
      </c>
      <c r="Y178" s="16">
        <v>9283.1200000000008</v>
      </c>
    </row>
    <row r="179" spans="1:25" x14ac:dyDescent="0.3">
      <c r="A179" s="15"/>
      <c r="B179" s="15"/>
      <c r="C179" s="15"/>
      <c r="D179" s="17"/>
      <c r="J179" s="306">
        <v>2147</v>
      </c>
      <c r="L179" s="306" t="s">
        <v>915</v>
      </c>
      <c r="M179" s="306" t="s">
        <v>303</v>
      </c>
      <c r="N179" s="22" t="s">
        <v>399</v>
      </c>
      <c r="P179" s="17"/>
      <c r="Q179" s="17"/>
      <c r="V179" s="22"/>
      <c r="W179" s="22">
        <f>VLOOKUP(J179,'[7]02.26 מעודכן'!$B$2:$N$144,13,FALSE)</f>
        <v>48458.28</v>
      </c>
      <c r="X179" s="22">
        <v>48482.25</v>
      </c>
      <c r="Y179" s="22">
        <v>48458.28</v>
      </c>
    </row>
    <row r="180" spans="1:25" x14ac:dyDescent="0.3">
      <c r="A180" s="15"/>
      <c r="B180" s="15"/>
      <c r="C180" s="15"/>
      <c r="D180" s="17"/>
      <c r="J180" s="315">
        <v>2220</v>
      </c>
      <c r="L180" s="316" t="s">
        <v>933</v>
      </c>
      <c r="M180" s="316" t="s">
        <v>934</v>
      </c>
      <c r="N180" s="16" t="s">
        <v>196</v>
      </c>
      <c r="P180" s="17"/>
      <c r="Q180" s="17"/>
      <c r="X180" s="16">
        <v>11410.35</v>
      </c>
      <c r="Y180" s="16">
        <v>11398.87</v>
      </c>
    </row>
    <row r="181" spans="1:25" x14ac:dyDescent="0.3">
      <c r="A181" s="15"/>
      <c r="B181" s="15"/>
      <c r="C181" s="15"/>
      <c r="D181" s="17"/>
      <c r="J181" s="315">
        <v>2212</v>
      </c>
      <c r="L181" s="316" t="s">
        <v>935</v>
      </c>
      <c r="M181" s="316" t="s">
        <v>389</v>
      </c>
      <c r="N181" s="16" t="s">
        <v>196</v>
      </c>
      <c r="P181" s="17"/>
      <c r="Q181" s="17"/>
      <c r="X181" s="16">
        <v>9439.32</v>
      </c>
      <c r="Y181" s="16">
        <v>11398.87</v>
      </c>
    </row>
    <row r="182" spans="1:25" x14ac:dyDescent="0.3">
      <c r="A182" s="15"/>
      <c r="B182" s="15"/>
      <c r="C182" s="15"/>
      <c r="D182" s="17"/>
      <c r="J182" s="315">
        <v>2162</v>
      </c>
      <c r="L182" s="316" t="s">
        <v>936</v>
      </c>
      <c r="M182" s="317" t="s">
        <v>316</v>
      </c>
      <c r="N182" s="16" t="s">
        <v>196</v>
      </c>
      <c r="P182" s="17"/>
      <c r="Q182" s="17"/>
      <c r="X182" s="16">
        <v>9439.32</v>
      </c>
      <c r="Y182" s="16">
        <v>11453.17</v>
      </c>
    </row>
    <row r="183" spans="1:25" x14ac:dyDescent="0.3">
      <c r="A183" s="15"/>
      <c r="B183" s="15"/>
      <c r="C183" s="15"/>
      <c r="D183" s="17"/>
      <c r="J183" s="315">
        <v>2188</v>
      </c>
      <c r="L183" s="316" t="s">
        <v>937</v>
      </c>
      <c r="M183" s="317" t="s">
        <v>938</v>
      </c>
      <c r="N183" s="16" t="s">
        <v>196</v>
      </c>
      <c r="P183" s="17"/>
      <c r="Q183" s="17"/>
      <c r="X183" s="16">
        <v>9439.32</v>
      </c>
      <c r="Y183" s="16">
        <v>11398.87</v>
      </c>
    </row>
    <row r="184" spans="1:25" x14ac:dyDescent="0.3">
      <c r="A184" s="15"/>
      <c r="B184" s="15"/>
      <c r="C184" s="15"/>
      <c r="D184" s="17"/>
      <c r="J184" s="315">
        <v>2196</v>
      </c>
      <c r="L184" s="316" t="s">
        <v>939</v>
      </c>
      <c r="M184" s="317" t="s">
        <v>940</v>
      </c>
      <c r="N184" s="16" t="s">
        <v>196</v>
      </c>
      <c r="P184" s="17"/>
      <c r="Q184" s="17"/>
      <c r="X184" s="16">
        <v>9439.32</v>
      </c>
      <c r="Y184" s="16">
        <v>11398.87</v>
      </c>
    </row>
    <row r="185" spans="1:25" x14ac:dyDescent="0.3">
      <c r="A185" s="15"/>
      <c r="B185" s="15"/>
      <c r="C185" s="15"/>
      <c r="D185" s="17"/>
      <c r="J185" s="315">
        <v>2204</v>
      </c>
      <c r="L185" s="316" t="s">
        <v>341</v>
      </c>
      <c r="M185" s="317" t="s">
        <v>168</v>
      </c>
      <c r="N185" s="16" t="s">
        <v>196</v>
      </c>
      <c r="P185" s="17"/>
      <c r="Q185" s="17"/>
      <c r="X185" s="16">
        <v>8365.4500000000007</v>
      </c>
      <c r="Y185" s="16">
        <v>11398.87</v>
      </c>
    </row>
    <row r="186" spans="1:25" x14ac:dyDescent="0.3">
      <c r="A186" s="15"/>
      <c r="B186" s="15"/>
      <c r="C186" s="15"/>
      <c r="D186" s="17"/>
      <c r="J186" s="315">
        <v>2238</v>
      </c>
      <c r="L186" s="316" t="s">
        <v>941</v>
      </c>
      <c r="M186" s="316" t="s">
        <v>374</v>
      </c>
      <c r="N186" s="16" t="s">
        <v>196</v>
      </c>
      <c r="P186" s="17"/>
      <c r="Q186" s="17"/>
      <c r="X186" s="16">
        <v>4179.75</v>
      </c>
      <c r="Y186" s="16">
        <v>13530.85</v>
      </c>
    </row>
    <row r="187" spans="1:25" x14ac:dyDescent="0.3">
      <c r="A187" s="15"/>
      <c r="B187" s="15"/>
      <c r="C187" s="15"/>
      <c r="D187" s="17"/>
      <c r="J187" s="315">
        <v>2170</v>
      </c>
      <c r="L187" s="316" t="s">
        <v>942</v>
      </c>
      <c r="M187" s="317" t="s">
        <v>943</v>
      </c>
      <c r="N187" s="16" t="s">
        <v>196</v>
      </c>
      <c r="P187" s="17"/>
      <c r="Q187" s="17"/>
      <c r="X187" s="16">
        <v>11410.35</v>
      </c>
      <c r="Y187" s="16">
        <v>15570.13</v>
      </c>
    </row>
    <row r="188" spans="1:25" ht="14.5" x14ac:dyDescent="0.3">
      <c r="A188" s="15"/>
      <c r="B188" s="15"/>
      <c r="C188" s="15"/>
      <c r="D188" s="17"/>
      <c r="J188" s="349">
        <v>2246</v>
      </c>
      <c r="L188" s="350" t="s">
        <v>963</v>
      </c>
      <c r="M188" s="350" t="s">
        <v>964</v>
      </c>
      <c r="N188" s="18" t="s">
        <v>293</v>
      </c>
      <c r="O188" s="17"/>
      <c r="P188" s="17"/>
      <c r="Q188" s="17"/>
      <c r="R188" s="17"/>
      <c r="S188" s="17"/>
      <c r="T188" s="17"/>
      <c r="U188" s="17"/>
      <c r="V188" s="18"/>
      <c r="W188" s="18"/>
      <c r="X188" s="18"/>
      <c r="Y188" s="18">
        <v>5948.29</v>
      </c>
    </row>
    <row r="189" spans="1:25" x14ac:dyDescent="0.3">
      <c r="A189" s="15"/>
      <c r="B189" s="15"/>
      <c r="C189" s="15"/>
      <c r="D189" s="17"/>
      <c r="J189" s="15"/>
      <c r="L189" s="15"/>
      <c r="M189" s="15"/>
      <c r="N189" s="15"/>
      <c r="P189" s="17"/>
      <c r="Q189" s="17"/>
    </row>
    <row r="190" spans="1:25" ht="14.5" thickBot="1" x14ac:dyDescent="0.35">
      <c r="A190" s="15"/>
      <c r="B190" s="15"/>
      <c r="C190" s="15"/>
      <c r="D190" s="17"/>
      <c r="J190" s="15"/>
      <c r="L190" s="15"/>
      <c r="M190" s="15"/>
      <c r="N190" s="15"/>
      <c r="P190" s="17"/>
      <c r="Q190" s="17"/>
    </row>
    <row r="191" spans="1:25" ht="14.5" thickTop="1" x14ac:dyDescent="0.3">
      <c r="A191" s="15"/>
      <c r="B191" s="15"/>
      <c r="C191" s="15"/>
      <c r="D191" s="17"/>
      <c r="N191" s="15"/>
      <c r="O191" s="115">
        <f t="shared" ref="O191:U191" si="1">SUM(O3:O177)</f>
        <v>1753664</v>
      </c>
      <c r="P191" s="115">
        <f t="shared" si="1"/>
        <v>1735393</v>
      </c>
      <c r="Q191" s="115">
        <f t="shared" si="1"/>
        <v>1857418</v>
      </c>
      <c r="R191" s="115">
        <f t="shared" si="1"/>
        <v>1743236</v>
      </c>
      <c r="S191" s="115">
        <f t="shared" si="1"/>
        <v>1948746</v>
      </c>
      <c r="T191" s="115">
        <f t="shared" si="1"/>
        <v>67329.415540000002</v>
      </c>
      <c r="U191" s="115">
        <f t="shared" si="1"/>
        <v>1881416.5844599996</v>
      </c>
      <c r="V191" s="115">
        <f>SUM(V3:V179)</f>
        <v>1805643.169999999</v>
      </c>
      <c r="W191" s="115">
        <f>SUM(W3:W190)</f>
        <v>1832974.6700000006</v>
      </c>
      <c r="X191" s="115">
        <f>SUM(X3:X190)</f>
        <v>4342842.2300000004</v>
      </c>
      <c r="Y191" s="115">
        <f>SUM(Y3:Y190)</f>
        <v>2246845.4</v>
      </c>
    </row>
    <row r="192" spans="1:25" x14ac:dyDescent="0.3">
      <c r="A192" s="15"/>
      <c r="B192" s="15"/>
      <c r="C192" s="15"/>
      <c r="D192" s="17"/>
    </row>
    <row r="193" spans="1:25" x14ac:dyDescent="0.3">
      <c r="A193" s="15"/>
      <c r="B193" s="15"/>
      <c r="C193" s="15"/>
      <c r="D193" s="17"/>
      <c r="N193" t="s">
        <v>493</v>
      </c>
      <c r="P193">
        <f>+'סיכום -  סניפים ומחלקות'!D20+'סיכום -  סניפים ומחלקות'!D22</f>
        <v>1735393</v>
      </c>
      <c r="Q193">
        <f>+'סיכום -  סניפים ומחלקות'!E20+'סיכום -  סניפים ומחלקות'!E22</f>
        <v>2092185.35</v>
      </c>
      <c r="R193">
        <f>+'סיכום -  סניפים ומחלקות'!F20+'סיכום -  סניפים ומחלקות'!F22</f>
        <v>2001094.98</v>
      </c>
      <c r="S193">
        <f>+'סיכום -  סניפים ומחלקות'!G20+'סיכום -  סניפים ומחלקות'!G22</f>
        <v>2256251.63</v>
      </c>
      <c r="V193">
        <f>+'סיכום -  סניפים ומחלקות'!H20+'סיכום -  סניפים ומחלקות'!H22</f>
        <v>2075772.8310169491</v>
      </c>
      <c r="W193">
        <f>+'סיכום -  סניפים ומחלקות'!I20+'סיכום -  סניפים ומחלקות'!I22</f>
        <v>2118066.2377966102</v>
      </c>
      <c r="X193">
        <f>+'סיכום -  סניפים ומחלקות'!J20+'סיכום -  סניפים ומחלקות'!J22</f>
        <v>2482089.1876271181</v>
      </c>
      <c r="Y193" s="27">
        <f>+'סיכום -  סניפים ומחלקות'!K20+'סיכום -  סניפים ומחלקות'!K22</f>
        <v>2561761.1118644066</v>
      </c>
    </row>
    <row r="194" spans="1:25" x14ac:dyDescent="0.3">
      <c r="A194" s="15"/>
      <c r="B194" s="15"/>
      <c r="C194" s="15"/>
      <c r="D194" s="17"/>
      <c r="P194" s="4">
        <f t="shared" ref="P194:V194" si="2">+P191-P193</f>
        <v>0</v>
      </c>
      <c r="Q194" s="4">
        <f t="shared" si="2"/>
        <v>-234767.35000000009</v>
      </c>
      <c r="R194" s="4">
        <f t="shared" si="2"/>
        <v>-257858.97999999998</v>
      </c>
      <c r="S194" s="4">
        <f t="shared" si="2"/>
        <v>-307505.62999999989</v>
      </c>
      <c r="T194" s="4">
        <f t="shared" si="2"/>
        <v>67329.415540000002</v>
      </c>
      <c r="U194" s="4">
        <f t="shared" si="2"/>
        <v>1881416.5844599996</v>
      </c>
      <c r="V194" s="4">
        <f t="shared" si="2"/>
        <v>-270129.66101695015</v>
      </c>
      <c r="W194" s="4">
        <f t="shared" ref="W194" si="3">+W191-W193</f>
        <v>-285091.5677966096</v>
      </c>
      <c r="X194" s="4">
        <f>+X191-X193</f>
        <v>1860753.0423728824</v>
      </c>
      <c r="Y194" s="4">
        <f>+Y193-Y191</f>
        <v>314915.71186440671</v>
      </c>
    </row>
    <row r="195" spans="1:25" x14ac:dyDescent="0.3">
      <c r="A195" s="15"/>
      <c r="B195" s="15"/>
      <c r="C195" s="15"/>
      <c r="D195" s="17"/>
    </row>
    <row r="196" spans="1:25" x14ac:dyDescent="0.3">
      <c r="A196" s="15"/>
      <c r="B196" s="15"/>
      <c r="C196" s="15"/>
      <c r="D196" s="17"/>
    </row>
    <row r="197" spans="1:25" x14ac:dyDescent="0.3">
      <c r="A197" s="15"/>
      <c r="B197" s="15"/>
      <c r="C197" s="15"/>
      <c r="D197" s="17"/>
      <c r="X197">
        <f>+'נתוני כ"ס - חירום'!M93+'נתוני כ"ס - נוירו '!M17+'נתוני כ"ס - הדמיה'!M16+'נתוני כ"ס - כירורגיה'!M23+'נתוני כ"ס - קרדיולוגיה'!M4+'נתוני כ"ס - הרדמה'!M6+'נתוני כ"ס - אחר'!M23</f>
        <v>2259801.2299999995</v>
      </c>
    </row>
    <row r="198" spans="1:25" x14ac:dyDescent="0.3">
      <c r="A198" s="15"/>
      <c r="B198" s="15"/>
      <c r="C198" s="15"/>
      <c r="D198" s="17"/>
    </row>
    <row r="199" spans="1:25" x14ac:dyDescent="0.3">
      <c r="A199" s="15"/>
      <c r="B199" s="15"/>
      <c r="C199" s="15"/>
      <c r="D199" s="17"/>
    </row>
    <row r="200" spans="1:25" x14ac:dyDescent="0.3">
      <c r="A200" s="15"/>
      <c r="B200" s="15"/>
      <c r="C200" s="15"/>
      <c r="D200" s="17"/>
    </row>
  </sheetData>
  <autoFilter ref="A2:Y200" xr:uid="{703E62C9-735E-41B9-A4D7-56E8BC869C38}"/>
  <conditionalFormatting sqref="A1:A1048576">
    <cfRule type="duplicateValues" dxfId="29" priority="13"/>
  </conditionalFormatting>
  <conditionalFormatting sqref="J90">
    <cfRule type="duplicateValues" dxfId="28" priority="4"/>
  </conditionalFormatting>
  <conditionalFormatting sqref="J91">
    <cfRule type="duplicateValues" dxfId="27" priority="3"/>
  </conditionalFormatting>
  <conditionalFormatting sqref="J178">
    <cfRule type="duplicateValues" dxfId="26" priority="9"/>
  </conditionalFormatting>
  <conditionalFormatting sqref="J179 J189:J190">
    <cfRule type="duplicateValues" dxfId="25" priority="6"/>
  </conditionalFormatting>
  <conditionalFormatting sqref="J180:J187">
    <cfRule type="duplicateValues" dxfId="24" priority="2"/>
  </conditionalFormatting>
  <conditionalFormatting sqref="K90">
    <cfRule type="duplicateValues" dxfId="23" priority="5"/>
  </conditionalFormatting>
  <conditionalFormatting sqref="L188">
    <cfRule type="duplicateValues" dxfId="22" priority="1"/>
  </conditionalFormatting>
  <conditionalFormatting sqref="L191:L1048576 L1:L34 L36:L58 L60:L177">
    <cfRule type="duplicateValues" dxfId="21" priority="14"/>
  </conditionalFormatting>
  <conditionalFormatting sqref="M35">
    <cfRule type="duplicateValues" dxfId="20" priority="11"/>
  </conditionalFormatting>
  <conditionalFormatting sqref="M59">
    <cfRule type="duplicateValues" dxfId="19" priority="1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08E7-373B-44A7-89A3-9BA248D562E3}">
  <sheetPr>
    <tabColor rgb="FF00B050"/>
  </sheetPr>
  <dimension ref="A1:P97"/>
  <sheetViews>
    <sheetView rightToLeft="1" topLeftCell="A99" workbookViewId="0">
      <selection activeCell="A104" sqref="A104:XFD1048576"/>
    </sheetView>
  </sheetViews>
  <sheetFormatPr defaultRowHeight="14" x14ac:dyDescent="0.3"/>
  <cols>
    <col min="2" max="2" width="8.75" bestFit="1" customWidth="1"/>
    <col min="3" max="3" width="9.75" bestFit="1" customWidth="1"/>
    <col min="4" max="4" width="9" bestFit="1" customWidth="1"/>
    <col min="5" max="5" width="18.08203125" bestFit="1" customWidth="1"/>
    <col min="6" max="9" width="8.33203125" bestFit="1" customWidth="1"/>
    <col min="10" max="10" width="9.33203125" bestFit="1" customWidth="1"/>
    <col min="11" max="11" width="8.33203125" bestFit="1" customWidth="1"/>
    <col min="12" max="12" width="9.83203125" bestFit="1" customWidth="1"/>
    <col min="13" max="13" width="8.33203125" bestFit="1" customWidth="1"/>
    <col min="14" max="14" width="10.25" customWidth="1"/>
  </cols>
  <sheetData>
    <row r="1" spans="1:14" ht="28" x14ac:dyDescent="0.3">
      <c r="A1" s="303" t="s">
        <v>909</v>
      </c>
      <c r="B1" s="12" t="s">
        <v>499</v>
      </c>
      <c r="C1" s="12" t="s">
        <v>82</v>
      </c>
      <c r="D1" s="12" t="s">
        <v>83</v>
      </c>
      <c r="E1" s="12" t="s">
        <v>192</v>
      </c>
      <c r="F1" s="12">
        <v>8.25</v>
      </c>
      <c r="G1" s="12">
        <v>9.25</v>
      </c>
      <c r="H1" s="12">
        <v>10.25</v>
      </c>
      <c r="I1" s="12">
        <v>11.25</v>
      </c>
      <c r="J1" s="12">
        <v>12.25</v>
      </c>
      <c r="K1" s="12">
        <v>1.26</v>
      </c>
      <c r="L1" s="12">
        <v>2.2599999999999998</v>
      </c>
      <c r="M1" s="12">
        <v>3.26</v>
      </c>
      <c r="N1" s="12">
        <v>4.26</v>
      </c>
    </row>
    <row r="2" spans="1:14" x14ac:dyDescent="0.3">
      <c r="A2">
        <v>26</v>
      </c>
      <c r="B2" s="15">
        <v>2</v>
      </c>
      <c r="C2" s="29" t="s">
        <v>194</v>
      </c>
      <c r="D2" s="29" t="s">
        <v>195</v>
      </c>
      <c r="E2" s="16" t="s">
        <v>196</v>
      </c>
      <c r="F2" s="17">
        <v>35587</v>
      </c>
      <c r="G2" s="17">
        <v>41302</v>
      </c>
      <c r="H2" s="17">
        <v>32868</v>
      </c>
      <c r="I2" s="17">
        <v>34297</v>
      </c>
      <c r="J2" s="17">
        <v>43474</v>
      </c>
      <c r="K2" s="16">
        <v>34927.07</v>
      </c>
      <c r="L2" s="27">
        <f>VLOOKUP(A2,'סה"כ כ"ס'!$J$3:$W$179,14,FALSE)</f>
        <v>36323.760000000002</v>
      </c>
      <c r="M2" s="336">
        <f>VLOOKUP(A2,'סה"כ כ"ס'!$J$3:$X$187,15,FALSE)</f>
        <v>38852.43</v>
      </c>
      <c r="N2" s="336">
        <f>VLOOKUP(A2,'סה"כ כ"ס'!$J$3:$Y$188,16,FALSE)</f>
        <v>42530.35</v>
      </c>
    </row>
    <row r="3" spans="1:14" x14ac:dyDescent="0.3">
      <c r="A3">
        <v>34</v>
      </c>
      <c r="B3" s="15">
        <v>3</v>
      </c>
      <c r="C3" s="29" t="s">
        <v>197</v>
      </c>
      <c r="D3" s="29" t="s">
        <v>198</v>
      </c>
      <c r="E3" s="16" t="s">
        <v>196</v>
      </c>
      <c r="F3" s="17">
        <v>39476</v>
      </c>
      <c r="G3" s="17">
        <v>44610</v>
      </c>
      <c r="H3" s="17">
        <v>25054</v>
      </c>
      <c r="I3" s="17">
        <v>39501</v>
      </c>
      <c r="J3" s="17">
        <v>51419</v>
      </c>
      <c r="K3" s="16">
        <v>38372.660000000003</v>
      </c>
      <c r="L3" s="27">
        <f>VLOOKUP(A3,'סה"כ כ"ס'!$J$3:$W$179,14,FALSE)</f>
        <v>36231.07</v>
      </c>
      <c r="M3" s="336">
        <f>VLOOKUP(A3,'סה"כ כ"ס'!$J$3:$X$187,15,FALSE)</f>
        <v>35761.82</v>
      </c>
      <c r="N3" s="336">
        <f>VLOOKUP(A3,'סה"כ כ"ס'!$J$3:$Y$188,16,FALSE)</f>
        <v>41270.06</v>
      </c>
    </row>
    <row r="4" spans="1:14" x14ac:dyDescent="0.3">
      <c r="A4">
        <v>75</v>
      </c>
      <c r="B4" s="15">
        <v>7</v>
      </c>
      <c r="C4" s="29" t="s">
        <v>199</v>
      </c>
      <c r="D4" s="29" t="s">
        <v>165</v>
      </c>
      <c r="E4" s="16" t="s">
        <v>196</v>
      </c>
      <c r="F4" s="17">
        <v>24411</v>
      </c>
      <c r="G4" s="17">
        <v>32909</v>
      </c>
      <c r="H4" s="17">
        <v>28178</v>
      </c>
      <c r="I4" s="17">
        <v>31033</v>
      </c>
      <c r="J4" s="17">
        <v>33023</v>
      </c>
      <c r="K4" s="16">
        <v>25936.48</v>
      </c>
      <c r="L4" s="27">
        <f>VLOOKUP(A4,'סה"כ כ"ס'!$J$3:$W$179,14,FALSE)</f>
        <v>22768.91</v>
      </c>
      <c r="M4" s="336">
        <f>VLOOKUP(A4,'סה"כ כ"ס'!$J$3:$X$187,15,FALSE)</f>
        <v>23922.68</v>
      </c>
      <c r="N4" s="336">
        <f>VLOOKUP(A4,'סה"כ כ"ס'!$J$3:$Y$188,16,FALSE)</f>
        <v>25292.880000000001</v>
      </c>
    </row>
    <row r="5" spans="1:14" x14ac:dyDescent="0.3">
      <c r="A5">
        <v>166</v>
      </c>
      <c r="B5" s="15">
        <v>16</v>
      </c>
      <c r="C5" s="29" t="s">
        <v>200</v>
      </c>
      <c r="D5" s="29" t="s">
        <v>201</v>
      </c>
      <c r="E5" s="16" t="s">
        <v>196</v>
      </c>
      <c r="F5" s="17">
        <v>4718</v>
      </c>
      <c r="G5" s="17">
        <v>7413</v>
      </c>
      <c r="H5" s="17">
        <v>15306</v>
      </c>
      <c r="I5" s="17">
        <v>22267</v>
      </c>
      <c r="J5" s="17">
        <v>24584</v>
      </c>
      <c r="K5" s="16">
        <v>21804.38</v>
      </c>
      <c r="L5" s="27">
        <f>VLOOKUP(A5,'סה"כ כ"ס'!$J$3:$W$179,14,FALSE)</f>
        <v>20598.36</v>
      </c>
      <c r="M5" s="336">
        <f>VLOOKUP(A5,'סה"כ כ"ס'!$J$3:$X$187,15,FALSE)</f>
        <v>22552.82</v>
      </c>
      <c r="N5" s="336">
        <f>VLOOKUP(A5,'סה"כ כ"ס'!$J$3:$Y$188,16,FALSE)</f>
        <v>24859.8</v>
      </c>
    </row>
    <row r="6" spans="1:14" x14ac:dyDescent="0.3">
      <c r="A6">
        <v>208</v>
      </c>
      <c r="B6" s="15">
        <v>20</v>
      </c>
      <c r="C6" s="29" t="s">
        <v>202</v>
      </c>
      <c r="D6" s="29" t="s">
        <v>203</v>
      </c>
      <c r="E6" s="16" t="s">
        <v>196</v>
      </c>
      <c r="F6" s="17">
        <v>20634</v>
      </c>
      <c r="G6" s="17">
        <v>29273</v>
      </c>
      <c r="H6" s="17">
        <v>22138</v>
      </c>
      <c r="I6" s="17">
        <v>22621</v>
      </c>
      <c r="J6" s="17">
        <v>67080</v>
      </c>
      <c r="K6" s="17"/>
      <c r="L6" s="27">
        <f>VLOOKUP(A6,'סה"כ כ"ס'!$J$3:$W$179,14,FALSE)</f>
        <v>0</v>
      </c>
      <c r="M6" s="336"/>
      <c r="N6" s="336">
        <f>VLOOKUP(A6,'סה"כ כ"ס'!$J$3:$Y$188,16,FALSE)</f>
        <v>0</v>
      </c>
    </row>
    <row r="7" spans="1:14" x14ac:dyDescent="0.3">
      <c r="A7">
        <v>307</v>
      </c>
      <c r="B7" s="15">
        <v>30</v>
      </c>
      <c r="C7" s="29" t="s">
        <v>204</v>
      </c>
      <c r="D7" s="29" t="s">
        <v>205</v>
      </c>
      <c r="E7" s="16" t="s">
        <v>196</v>
      </c>
      <c r="F7" s="17">
        <v>13752</v>
      </c>
      <c r="G7" s="17">
        <v>22913</v>
      </c>
      <c r="H7" s="17">
        <v>18151</v>
      </c>
      <c r="I7" s="17">
        <v>19367</v>
      </c>
      <c r="J7" s="17">
        <v>18443</v>
      </c>
      <c r="K7" s="16">
        <v>19358.63</v>
      </c>
      <c r="L7" s="27">
        <f>VLOOKUP(A7,'סה"כ כ"ס'!$J$3:$W$179,14,FALSE)</f>
        <v>16845.099999999999</v>
      </c>
      <c r="M7" s="336">
        <f>VLOOKUP(A7,'סה"כ כ"ס'!$J$3:$X$187,15,FALSE)</f>
        <v>13400.41</v>
      </c>
      <c r="N7" s="336">
        <f>VLOOKUP(A7,'סה"כ כ"ס'!$J$3:$Y$188,16,FALSE)</f>
        <v>20698.61</v>
      </c>
    </row>
    <row r="8" spans="1:14" x14ac:dyDescent="0.3">
      <c r="A8">
        <v>497</v>
      </c>
      <c r="B8" s="15">
        <v>49</v>
      </c>
      <c r="C8" s="29" t="s">
        <v>206</v>
      </c>
      <c r="D8" s="29" t="s">
        <v>207</v>
      </c>
      <c r="E8" s="16" t="s">
        <v>196</v>
      </c>
      <c r="F8" s="17">
        <v>18492</v>
      </c>
      <c r="G8" s="17">
        <v>21003</v>
      </c>
      <c r="H8" s="17">
        <v>19763</v>
      </c>
      <c r="I8" s="17">
        <v>20380</v>
      </c>
      <c r="J8" s="17">
        <v>20427</v>
      </c>
      <c r="K8" s="16">
        <v>21599.98</v>
      </c>
      <c r="L8" s="27">
        <f>VLOOKUP(A8,'סה"כ כ"ס'!$J$3:$W$179,14,FALSE)</f>
        <v>22919.93</v>
      </c>
      <c r="M8" s="336">
        <f>VLOOKUP(A8,'סה"כ כ"ס'!$J$3:$X$187,15,FALSE)</f>
        <v>22272.21</v>
      </c>
      <c r="N8" s="336">
        <f>VLOOKUP(A8,'סה"כ כ"ס'!$J$3:$Y$188,16,FALSE)</f>
        <v>21140.21</v>
      </c>
    </row>
    <row r="9" spans="1:14" x14ac:dyDescent="0.3">
      <c r="A9">
        <v>521</v>
      </c>
      <c r="B9" s="15">
        <v>52</v>
      </c>
      <c r="C9" s="29" t="s">
        <v>208</v>
      </c>
      <c r="D9" s="29" t="s">
        <v>209</v>
      </c>
      <c r="E9" s="16" t="s">
        <v>196</v>
      </c>
      <c r="F9" s="17">
        <v>17258</v>
      </c>
      <c r="G9" s="17">
        <v>22501</v>
      </c>
      <c r="H9" s="17">
        <v>18269</v>
      </c>
      <c r="I9" s="17">
        <v>15819</v>
      </c>
      <c r="J9" s="17">
        <v>13952</v>
      </c>
      <c r="K9" s="16">
        <v>19211.59</v>
      </c>
      <c r="L9" s="27">
        <f>VLOOKUP(A9,'סה"כ כ"ס'!$J$3:$W$179,14,FALSE)</f>
        <v>15457.65</v>
      </c>
      <c r="M9" s="336">
        <f>VLOOKUP(A9,'סה"כ כ"ס'!$J$3:$X$187,15,FALSE)</f>
        <v>7388.3</v>
      </c>
      <c r="N9" s="336">
        <f>VLOOKUP(A9,'סה"כ כ"ס'!$J$3:$Y$188,16,FALSE)</f>
        <v>11060.55</v>
      </c>
    </row>
    <row r="10" spans="1:14" x14ac:dyDescent="0.3">
      <c r="A10">
        <v>596</v>
      </c>
      <c r="B10" s="15">
        <v>59</v>
      </c>
      <c r="C10" s="29" t="s">
        <v>210</v>
      </c>
      <c r="D10" s="29" t="s">
        <v>211</v>
      </c>
      <c r="E10" s="16" t="s">
        <v>196</v>
      </c>
      <c r="F10" s="17">
        <v>31041</v>
      </c>
      <c r="G10" s="17">
        <v>28201</v>
      </c>
      <c r="H10" s="17">
        <v>42183</v>
      </c>
      <c r="I10" s="17">
        <v>25192</v>
      </c>
      <c r="J10" s="17">
        <v>59187</v>
      </c>
      <c r="K10" s="16">
        <v>35820.81</v>
      </c>
      <c r="L10" s="27">
        <f>VLOOKUP(A10,'סה"כ כ"ס'!$J$3:$W$179,14,FALSE)</f>
        <v>40424.769999999997</v>
      </c>
      <c r="M10" s="336">
        <f>VLOOKUP(A10,'סה"כ כ"ס'!$J$3:$X$187,15,FALSE)</f>
        <v>34043.800000000003</v>
      </c>
      <c r="N10" s="336">
        <f>VLOOKUP(A10,'סה"כ כ"ס'!$J$3:$Y$188,16,FALSE)</f>
        <v>32166.1</v>
      </c>
    </row>
    <row r="11" spans="1:14" x14ac:dyDescent="0.3">
      <c r="A11">
        <v>786</v>
      </c>
      <c r="B11" s="15">
        <v>78</v>
      </c>
      <c r="C11" s="29" t="s">
        <v>212</v>
      </c>
      <c r="D11" s="29" t="s">
        <v>213</v>
      </c>
      <c r="E11" s="16" t="s">
        <v>196</v>
      </c>
      <c r="F11" s="17">
        <v>15792</v>
      </c>
      <c r="G11" s="17">
        <v>21992</v>
      </c>
      <c r="H11" s="17">
        <v>25606</v>
      </c>
      <c r="I11" s="17">
        <v>16185</v>
      </c>
      <c r="J11" s="17">
        <v>18964</v>
      </c>
      <c r="K11" s="16">
        <v>23025.25</v>
      </c>
      <c r="L11" s="27">
        <f>VLOOKUP(A11,'סה"כ כ"ס'!$J$3:$W$179,14,FALSE)</f>
        <v>20292.400000000001</v>
      </c>
      <c r="M11" s="336">
        <f>VLOOKUP(A11,'סה"כ כ"ס'!$J$3:$X$187,15,FALSE)</f>
        <v>19877.36</v>
      </c>
      <c r="N11" s="336">
        <f>VLOOKUP(A11,'סה"כ כ"ס'!$J$3:$Y$188,16,FALSE)</f>
        <v>20202.330000000002</v>
      </c>
    </row>
    <row r="12" spans="1:14" x14ac:dyDescent="0.3">
      <c r="A12">
        <v>810</v>
      </c>
      <c r="B12" s="15">
        <v>81</v>
      </c>
      <c r="C12" s="29" t="s">
        <v>214</v>
      </c>
      <c r="D12" s="29" t="s">
        <v>215</v>
      </c>
      <c r="E12" s="16" t="s">
        <v>196</v>
      </c>
      <c r="F12" s="17">
        <v>0</v>
      </c>
      <c r="G12" s="17">
        <v>0</v>
      </c>
      <c r="H12" s="17">
        <v>0</v>
      </c>
      <c r="I12" s="17">
        <v>8416</v>
      </c>
      <c r="J12" s="17">
        <v>10041</v>
      </c>
      <c r="K12" s="16">
        <v>10994.6</v>
      </c>
      <c r="L12" s="27">
        <f>VLOOKUP(A12,'סה"כ כ"ס'!$J$3:$W$179,14,FALSE)</f>
        <v>5701.71</v>
      </c>
      <c r="M12" s="336">
        <f>VLOOKUP(A12,'סה"כ כ"ס'!$J$3:$X$187,15,FALSE)</f>
        <v>6253.87</v>
      </c>
      <c r="N12" s="336">
        <f>VLOOKUP(A12,'סה"כ כ"ס'!$J$3:$Y$188,16,FALSE)</f>
        <v>7646.47</v>
      </c>
    </row>
    <row r="13" spans="1:14" x14ac:dyDescent="0.3">
      <c r="A13">
        <v>836</v>
      </c>
      <c r="B13" s="15">
        <v>83</v>
      </c>
      <c r="C13" s="29" t="s">
        <v>216</v>
      </c>
      <c r="D13" s="29" t="s">
        <v>188</v>
      </c>
      <c r="E13" s="16" t="s">
        <v>196</v>
      </c>
      <c r="F13" s="17">
        <v>19870</v>
      </c>
      <c r="G13" s="17">
        <v>19616</v>
      </c>
      <c r="H13" s="17">
        <v>16646</v>
      </c>
      <c r="I13" s="17">
        <v>19081</v>
      </c>
      <c r="J13" s="17">
        <v>19232</v>
      </c>
      <c r="K13" s="16">
        <v>18349.759999999998</v>
      </c>
      <c r="L13" s="27">
        <f>VLOOKUP(A13,'סה"כ כ"ס'!$J$3:$W$179,14,FALSE)</f>
        <v>16871.8</v>
      </c>
      <c r="M13" s="336">
        <f>VLOOKUP(A13,'סה"כ כ"ס'!$J$3:$X$187,15,FALSE)</f>
        <v>15772.93</v>
      </c>
      <c r="N13" s="336">
        <f>VLOOKUP(A13,'סה"כ כ"ס'!$J$3:$Y$188,16,FALSE)</f>
        <v>20017.71</v>
      </c>
    </row>
    <row r="14" spans="1:14" x14ac:dyDescent="0.3">
      <c r="A14">
        <v>901</v>
      </c>
      <c r="B14" s="15">
        <v>90</v>
      </c>
      <c r="C14" s="29" t="s">
        <v>217</v>
      </c>
      <c r="D14" s="29" t="s">
        <v>218</v>
      </c>
      <c r="E14" s="16" t="s">
        <v>196</v>
      </c>
      <c r="F14" s="17">
        <v>25367</v>
      </c>
      <c r="G14" s="17">
        <v>22276</v>
      </c>
      <c r="H14" s="17">
        <v>20286</v>
      </c>
      <c r="I14" s="17">
        <v>21494</v>
      </c>
      <c r="J14" s="17">
        <v>24749</v>
      </c>
      <c r="K14" s="16">
        <v>25485.72</v>
      </c>
      <c r="L14" s="27">
        <f>VLOOKUP(A14,'סה"כ כ"ס'!$J$3:$W$179,14,FALSE)</f>
        <v>25265.58</v>
      </c>
      <c r="M14" s="336">
        <f>VLOOKUP(A14,'סה"כ כ"ס'!$J$3:$X$187,15,FALSE)</f>
        <v>21094.400000000001</v>
      </c>
      <c r="N14" s="336">
        <f>VLOOKUP(A14,'סה"כ כ"ס'!$J$3:$Y$188,16,FALSE)</f>
        <v>24466.25</v>
      </c>
    </row>
    <row r="15" spans="1:14" x14ac:dyDescent="0.3">
      <c r="A15">
        <v>1214</v>
      </c>
      <c r="B15" s="15">
        <v>121</v>
      </c>
      <c r="C15" s="29" t="s">
        <v>219</v>
      </c>
      <c r="D15" s="29" t="s">
        <v>220</v>
      </c>
      <c r="E15" s="16" t="s">
        <v>196</v>
      </c>
      <c r="F15" s="17">
        <v>12656</v>
      </c>
      <c r="G15" s="17">
        <v>12687</v>
      </c>
      <c r="H15" s="17">
        <v>17506</v>
      </c>
      <c r="I15" s="17">
        <v>12366</v>
      </c>
      <c r="J15" s="17">
        <v>12624</v>
      </c>
      <c r="K15" s="16">
        <v>12650.48</v>
      </c>
      <c r="L15" s="27">
        <f>VLOOKUP(A15,'סה"כ כ"ס'!$J$3:$W$179,14,FALSE)</f>
        <v>2328.7199999999998</v>
      </c>
      <c r="M15" s="336">
        <f>VLOOKUP(A15,'סה"כ כ"ס'!$J$3:$X$187,15,FALSE)</f>
        <v>23.98</v>
      </c>
      <c r="N15" s="336">
        <f>VLOOKUP(A15,'סה"כ כ"ס'!$J$3:$Y$188,16,FALSE)</f>
        <v>0</v>
      </c>
    </row>
    <row r="16" spans="1:14" x14ac:dyDescent="0.3">
      <c r="A16">
        <v>1271</v>
      </c>
      <c r="B16" s="15">
        <v>127</v>
      </c>
      <c r="C16" s="29" t="s">
        <v>221</v>
      </c>
      <c r="D16" s="29" t="s">
        <v>222</v>
      </c>
      <c r="E16" s="16" t="s">
        <v>196</v>
      </c>
      <c r="F16" s="17">
        <v>10660</v>
      </c>
      <c r="G16" s="17">
        <v>14532</v>
      </c>
      <c r="H16" s="17">
        <v>4290</v>
      </c>
      <c r="I16" s="17">
        <v>20026</v>
      </c>
      <c r="J16" s="17">
        <v>38724</v>
      </c>
      <c r="K16" s="16">
        <v>39209.89</v>
      </c>
      <c r="L16" s="27">
        <f>VLOOKUP(A16,'סה"כ כ"ס'!$J$3:$W$179,14,FALSE)</f>
        <v>39467.93</v>
      </c>
      <c r="M16" s="336">
        <f>VLOOKUP(A16,'סה"כ כ"ס'!$J$3:$X$187,15,FALSE)</f>
        <v>39200.480000000003</v>
      </c>
      <c r="N16" s="336">
        <f>VLOOKUP(A16,'סה"כ כ"ס'!$J$3:$Y$188,16,FALSE)</f>
        <v>41512.33</v>
      </c>
    </row>
    <row r="17" spans="1:16" x14ac:dyDescent="0.3">
      <c r="A17">
        <v>1305</v>
      </c>
      <c r="B17" s="15">
        <v>130</v>
      </c>
      <c r="C17" s="29" t="s">
        <v>223</v>
      </c>
      <c r="D17" s="29" t="s">
        <v>224</v>
      </c>
      <c r="E17" s="16" t="s">
        <v>196</v>
      </c>
      <c r="F17" s="17">
        <v>27834</v>
      </c>
      <c r="G17" s="17">
        <v>27577</v>
      </c>
      <c r="H17" s="17">
        <v>23663</v>
      </c>
      <c r="I17" s="17">
        <v>24930</v>
      </c>
      <c r="J17" s="17">
        <v>26342</v>
      </c>
      <c r="K17" s="16">
        <v>22745.51</v>
      </c>
      <c r="L17" s="27">
        <f>VLOOKUP(A17,'סה"כ כ"ס'!$J$3:$W$179,14,FALSE)</f>
        <v>23109.39</v>
      </c>
      <c r="M17" s="336">
        <f>VLOOKUP(A17,'סה"כ כ"ס'!$J$3:$X$187,15,FALSE)</f>
        <v>23733.09</v>
      </c>
      <c r="N17" s="336">
        <f>VLOOKUP(A17,'סה"כ כ"ס'!$J$3:$Y$188,16,FALSE)</f>
        <v>32573.06</v>
      </c>
    </row>
    <row r="18" spans="1:16" x14ac:dyDescent="0.3">
      <c r="A18">
        <v>1388</v>
      </c>
      <c r="B18" s="15">
        <v>138</v>
      </c>
      <c r="C18" s="29" t="s">
        <v>225</v>
      </c>
      <c r="D18" s="29" t="s">
        <v>226</v>
      </c>
      <c r="E18" s="16" t="s">
        <v>196</v>
      </c>
      <c r="F18" s="17">
        <v>22019</v>
      </c>
      <c r="G18" s="17">
        <v>20529</v>
      </c>
      <c r="H18" s="17">
        <v>19136</v>
      </c>
      <c r="I18" s="17">
        <v>21858</v>
      </c>
      <c r="J18" s="17">
        <v>22624</v>
      </c>
      <c r="K18" s="16">
        <v>27638.77</v>
      </c>
      <c r="L18" s="27">
        <f>VLOOKUP(A18,'סה"כ כ"ס'!$J$3:$W$179,14,FALSE)</f>
        <v>16589.849999999999</v>
      </c>
      <c r="M18" s="336">
        <f>VLOOKUP(A18,'סה"כ כ"ס'!$J$3:$X$187,15,FALSE)</f>
        <v>12808.69</v>
      </c>
      <c r="N18" s="336">
        <f>VLOOKUP(A18,'סה"כ כ"ס'!$J$3:$Y$188,16,FALSE)</f>
        <v>20306.150000000001</v>
      </c>
    </row>
    <row r="19" spans="1:16" x14ac:dyDescent="0.3">
      <c r="A19">
        <v>1438</v>
      </c>
      <c r="B19" s="15">
        <v>143</v>
      </c>
      <c r="C19" s="29" t="s">
        <v>227</v>
      </c>
      <c r="D19" s="29" t="s">
        <v>228</v>
      </c>
      <c r="E19" s="16" t="s">
        <v>196</v>
      </c>
      <c r="F19" s="17">
        <v>24081</v>
      </c>
      <c r="G19" s="17">
        <v>15612</v>
      </c>
      <c r="H19" s="17">
        <v>17437</v>
      </c>
      <c r="I19" s="17">
        <v>9406</v>
      </c>
      <c r="J19" s="17">
        <v>10364</v>
      </c>
      <c r="K19" s="16">
        <v>9686.09</v>
      </c>
      <c r="L19" s="27">
        <f>VLOOKUP(A19,'סה"כ כ"ס'!$J$3:$W$179,14,FALSE)</f>
        <v>8608.26</v>
      </c>
      <c r="M19" s="336">
        <f>VLOOKUP(A19,'סה"כ כ"ס'!$J$3:$X$187,15,FALSE)</f>
        <v>20955.98</v>
      </c>
      <c r="N19" s="336">
        <f>VLOOKUP(A19,'סה"כ כ"ס'!$J$3:$Y$188,16,FALSE)</f>
        <v>40666.25</v>
      </c>
    </row>
    <row r="20" spans="1:16" x14ac:dyDescent="0.3">
      <c r="A20">
        <v>1453</v>
      </c>
      <c r="B20" s="15">
        <v>145</v>
      </c>
      <c r="C20" s="29" t="s">
        <v>229</v>
      </c>
      <c r="D20" s="29" t="s">
        <v>89</v>
      </c>
      <c r="E20" s="16" t="s">
        <v>196</v>
      </c>
      <c r="F20" s="17">
        <v>11294</v>
      </c>
      <c r="G20" s="17">
        <v>13208</v>
      </c>
      <c r="H20" s="17">
        <v>9422</v>
      </c>
      <c r="I20" s="17">
        <v>14229</v>
      </c>
      <c r="J20" s="17">
        <v>9477</v>
      </c>
      <c r="K20" s="16">
        <v>15173.43</v>
      </c>
      <c r="L20" s="27">
        <f>VLOOKUP(A20,'סה"כ כ"ס'!$J$3:$W$179,14,FALSE)</f>
        <v>11569.48</v>
      </c>
      <c r="M20" s="336">
        <f>VLOOKUP(A20,'סה"כ כ"ס'!$J$3:$X$187,15,FALSE)</f>
        <v>12201.61</v>
      </c>
      <c r="N20" s="336">
        <f>VLOOKUP(A20,'סה"כ כ"ס'!$J$3:$Y$188,16,FALSE)</f>
        <v>17514.22</v>
      </c>
    </row>
    <row r="21" spans="1:16" x14ac:dyDescent="0.3">
      <c r="A21">
        <v>1701</v>
      </c>
      <c r="B21" s="15">
        <v>170</v>
      </c>
      <c r="C21" s="15" t="s">
        <v>230</v>
      </c>
      <c r="D21" s="15" t="s">
        <v>231</v>
      </c>
      <c r="E21" s="16" t="s">
        <v>196</v>
      </c>
      <c r="F21" s="17">
        <v>12688</v>
      </c>
      <c r="G21" s="17">
        <v>12557</v>
      </c>
      <c r="H21" s="17">
        <v>13603</v>
      </c>
      <c r="I21" s="17">
        <v>12495</v>
      </c>
      <c r="J21" s="17">
        <v>12785</v>
      </c>
      <c r="K21" s="16">
        <v>12650.48</v>
      </c>
      <c r="L21" s="27">
        <f>VLOOKUP(A21,'סה"כ כ"ס'!$J$3:$W$179,14,FALSE)</f>
        <v>12618.1</v>
      </c>
      <c r="M21" s="27">
        <f>VLOOKUP(A21,'סה"כ כ"ס'!$J$3:$X$187,15,FALSE)</f>
        <v>21050.66</v>
      </c>
      <c r="N21" s="27">
        <f>VLOOKUP(A21,'סה"כ כ"ס'!$J$3:$Y$188,16,FALSE)</f>
        <v>27194.799999999999</v>
      </c>
    </row>
    <row r="22" spans="1:16" x14ac:dyDescent="0.3">
      <c r="A22">
        <v>0</v>
      </c>
      <c r="B22" s="15">
        <v>171</v>
      </c>
      <c r="C22" s="29" t="s">
        <v>503</v>
      </c>
      <c r="D22" s="29" t="s">
        <v>504</v>
      </c>
      <c r="E22" s="16" t="s">
        <v>196</v>
      </c>
      <c r="F22" s="17">
        <v>12753</v>
      </c>
      <c r="G22" s="17">
        <v>12461</v>
      </c>
      <c r="H22" s="17">
        <v>15577</v>
      </c>
      <c r="I22" s="17">
        <v>0</v>
      </c>
      <c r="J22" s="17">
        <v>0</v>
      </c>
      <c r="K22" s="17"/>
      <c r="L22" s="27">
        <f>VLOOKUP(A22,'סה"כ כ"ס'!$J$3:$W$179,14,FALSE)</f>
        <v>0</v>
      </c>
      <c r="M22" s="336"/>
      <c r="N22" s="336">
        <f>VLOOKUP(A22,'סה"כ כ"ס'!$J$3:$Y$188,16,FALSE)</f>
        <v>0</v>
      </c>
    </row>
    <row r="23" spans="1:16" x14ac:dyDescent="0.3">
      <c r="A23">
        <v>1727</v>
      </c>
      <c r="B23" s="15">
        <v>172</v>
      </c>
      <c r="C23" s="29" t="s">
        <v>230</v>
      </c>
      <c r="D23" s="29" t="s">
        <v>232</v>
      </c>
      <c r="E23" s="16" t="s">
        <v>196</v>
      </c>
      <c r="F23" s="17">
        <v>12656</v>
      </c>
      <c r="G23" s="17">
        <v>12654</v>
      </c>
      <c r="H23" s="17">
        <v>13635</v>
      </c>
      <c r="I23" s="17">
        <v>12656</v>
      </c>
      <c r="J23" s="17">
        <v>12592</v>
      </c>
      <c r="K23" s="16">
        <v>12715.24</v>
      </c>
      <c r="L23" s="27">
        <f>VLOOKUP(A23,'סה"כ כ"ס'!$J$3:$W$179,14,FALSE)</f>
        <v>12618.1</v>
      </c>
      <c r="M23" s="336">
        <f>VLOOKUP(A23,'סה"כ כ"ס'!$J$3:$X$187,15,FALSE)</f>
        <v>20388.400000000001</v>
      </c>
      <c r="N23" s="336">
        <f>VLOOKUP(A23,'סה"כ כ"ס'!$J$3:$Y$188,16,FALSE)</f>
        <v>23319.18</v>
      </c>
    </row>
    <row r="24" spans="1:16" x14ac:dyDescent="0.3">
      <c r="A24">
        <v>1735</v>
      </c>
      <c r="B24" s="15">
        <v>173</v>
      </c>
      <c r="C24" s="29" t="s">
        <v>233</v>
      </c>
      <c r="D24" s="29" t="s">
        <v>234</v>
      </c>
      <c r="E24" s="16" t="s">
        <v>196</v>
      </c>
      <c r="F24" s="17">
        <v>12462</v>
      </c>
      <c r="G24" s="17">
        <v>12719</v>
      </c>
      <c r="H24" s="17">
        <v>13764</v>
      </c>
      <c r="I24" s="17">
        <v>12559</v>
      </c>
      <c r="J24" s="17">
        <v>12656</v>
      </c>
      <c r="K24" s="16">
        <v>12553.34</v>
      </c>
      <c r="L24" s="27">
        <f>VLOOKUP(A24,'סה"כ כ"ס'!$J$3:$W$179,14,FALSE)</f>
        <v>12618.1</v>
      </c>
      <c r="M24" s="336">
        <f>VLOOKUP(A24,'סה"כ כ"ס'!$J$3:$X$187,15,FALSE)</f>
        <v>22248.92</v>
      </c>
      <c r="N24" s="336">
        <f>VLOOKUP(A24,'סה"כ כ"ס'!$J$3:$Y$188,16,FALSE)</f>
        <v>24533.01</v>
      </c>
    </row>
    <row r="25" spans="1:16" x14ac:dyDescent="0.3">
      <c r="A25">
        <v>1743</v>
      </c>
      <c r="B25" s="15">
        <v>174</v>
      </c>
      <c r="C25" s="29" t="s">
        <v>235</v>
      </c>
      <c r="D25" s="29" t="s">
        <v>236</v>
      </c>
      <c r="E25" s="16" t="s">
        <v>196</v>
      </c>
      <c r="F25" s="17">
        <v>12559</v>
      </c>
      <c r="G25" s="17">
        <v>12557</v>
      </c>
      <c r="H25" s="17">
        <v>12721</v>
      </c>
      <c r="I25" s="17">
        <v>12688</v>
      </c>
      <c r="J25" s="17">
        <v>12559</v>
      </c>
      <c r="K25" s="16">
        <v>12715.24</v>
      </c>
      <c r="L25" s="27">
        <f>VLOOKUP(A25,'סה"כ כ"ס'!$J$3:$W$179,14,FALSE)</f>
        <v>12650.48</v>
      </c>
      <c r="M25" s="336">
        <f>VLOOKUP(A25,'סה"כ כ"ס'!$J$3:$X$187,15,FALSE)</f>
        <v>22632.89</v>
      </c>
      <c r="N25" s="336">
        <f>VLOOKUP(A25,'סה"כ כ"ס'!$J$3:$Y$188,16,FALSE)</f>
        <v>26359.13</v>
      </c>
    </row>
    <row r="26" spans="1:16" x14ac:dyDescent="0.3">
      <c r="A26">
        <v>1750</v>
      </c>
      <c r="B26" s="15">
        <v>175</v>
      </c>
      <c r="C26" s="29" t="s">
        <v>237</v>
      </c>
      <c r="D26" s="29" t="s">
        <v>213</v>
      </c>
      <c r="E26" s="16" t="s">
        <v>196</v>
      </c>
      <c r="F26" s="17">
        <v>12753</v>
      </c>
      <c r="G26" s="17">
        <v>12687</v>
      </c>
      <c r="H26" s="17">
        <v>12527</v>
      </c>
      <c r="I26" s="17">
        <v>12688</v>
      </c>
      <c r="J26" s="17">
        <v>12688</v>
      </c>
      <c r="K26" s="16">
        <v>12650.48</v>
      </c>
      <c r="L26" s="27">
        <f>VLOOKUP(A26,'סה"כ כ"ס'!$J$3:$W$179,14,FALSE)</f>
        <v>12489.58</v>
      </c>
      <c r="M26" s="336">
        <f>VLOOKUP(A26,'סה"כ כ"ס'!$J$3:$X$187,15,FALSE)</f>
        <v>20936.080000000002</v>
      </c>
      <c r="N26" s="336">
        <f>VLOOKUP(A26,'סה"כ כ"ס'!$J$3:$Y$188,16,FALSE)</f>
        <v>19690.240000000002</v>
      </c>
    </row>
    <row r="27" spans="1:16" x14ac:dyDescent="0.3">
      <c r="A27">
        <v>0</v>
      </c>
      <c r="B27" s="15">
        <v>180</v>
      </c>
      <c r="C27" s="29" t="s">
        <v>251</v>
      </c>
      <c r="D27" s="29" t="s">
        <v>505</v>
      </c>
      <c r="E27" s="16" t="s">
        <v>196</v>
      </c>
      <c r="F27" s="17">
        <v>16917</v>
      </c>
      <c r="G27" s="17">
        <v>12495</v>
      </c>
      <c r="H27" s="17">
        <v>8746</v>
      </c>
      <c r="I27" s="17">
        <v>0</v>
      </c>
      <c r="J27" s="17">
        <v>0</v>
      </c>
      <c r="K27" s="17"/>
      <c r="L27" s="27">
        <f>VLOOKUP(A27,'סה"כ כ"ס'!$J$3:$W$179,14,FALSE)</f>
        <v>0</v>
      </c>
      <c r="M27" s="336"/>
      <c r="N27" s="336">
        <f>VLOOKUP(A27,'סה"כ כ"ס'!$J$3:$Y$188,16,FALSE)</f>
        <v>0</v>
      </c>
    </row>
    <row r="28" spans="1:16" x14ac:dyDescent="0.3">
      <c r="A28">
        <v>0</v>
      </c>
      <c r="B28">
        <v>14</v>
      </c>
      <c r="C28" s="15" t="s">
        <v>506</v>
      </c>
      <c r="D28" s="15" t="s">
        <v>507</v>
      </c>
      <c r="E28" s="16" t="s">
        <v>196</v>
      </c>
      <c r="F28" s="17">
        <v>11821</v>
      </c>
      <c r="G28" s="17">
        <v>0</v>
      </c>
      <c r="H28" s="17">
        <v>0</v>
      </c>
      <c r="I28" s="17">
        <v>0</v>
      </c>
      <c r="J28" s="17">
        <v>0</v>
      </c>
      <c r="K28" s="17"/>
      <c r="L28" s="27">
        <f>VLOOKUP(A28,'סה"כ כ"ס'!$J$3:$W$179,14,FALSE)</f>
        <v>0</v>
      </c>
      <c r="M28" s="17"/>
      <c r="N28" s="17">
        <f>VLOOKUP(A28,'סה"כ כ"ס'!$J$3:$Y$188,16,FALSE)</f>
        <v>0</v>
      </c>
    </row>
    <row r="29" spans="1:16" x14ac:dyDescent="0.3">
      <c r="A29">
        <v>232</v>
      </c>
      <c r="B29" s="15">
        <v>23</v>
      </c>
      <c r="C29" s="15" t="s">
        <v>238</v>
      </c>
      <c r="D29" s="15" t="s">
        <v>239</v>
      </c>
      <c r="E29" s="16" t="s">
        <v>196</v>
      </c>
      <c r="F29" s="17">
        <v>21276</v>
      </c>
      <c r="G29" s="17">
        <v>20013</v>
      </c>
      <c r="H29" s="17">
        <v>26440</v>
      </c>
      <c r="I29" s="17">
        <v>20211</v>
      </c>
      <c r="J29" s="17">
        <v>28145</v>
      </c>
      <c r="K29" s="16">
        <v>24697.69</v>
      </c>
      <c r="L29" s="27">
        <f>VLOOKUP(A29,'סה"כ כ"ס'!$J$3:$W$179,14,FALSE)</f>
        <v>22673</v>
      </c>
      <c r="M29" s="16">
        <f>VLOOKUP(A29,'סה"כ כ"ס'!$J$3:$X$187,15,FALSE)</f>
        <v>19734.32</v>
      </c>
      <c r="N29" s="16">
        <f>VLOOKUP(A29,'סה"כ כ"ס'!$J$3:$Y$188,16,FALSE)</f>
        <v>24759.439999999999</v>
      </c>
    </row>
    <row r="30" spans="1:16" x14ac:dyDescent="0.3">
      <c r="A30">
        <v>281</v>
      </c>
      <c r="B30" s="15">
        <v>28</v>
      </c>
      <c r="C30" s="15" t="s">
        <v>114</v>
      </c>
      <c r="D30" s="15" t="s">
        <v>240</v>
      </c>
      <c r="E30" s="16" t="s">
        <v>196</v>
      </c>
      <c r="F30" s="17">
        <v>24100</v>
      </c>
      <c r="G30" s="17">
        <v>20046</v>
      </c>
      <c r="H30" s="17">
        <v>24007</v>
      </c>
      <c r="I30" s="17">
        <v>19481</v>
      </c>
      <c r="J30" s="17">
        <v>19998</v>
      </c>
      <c r="K30" s="16">
        <f>23092.95*P30</f>
        <v>2309.2950000000001</v>
      </c>
      <c r="L30" s="27">
        <f>(VLOOKUP(A30,'סה"כ כ"ס'!$J$3:$W$179,14,FALSE))*P30</f>
        <v>1756.242</v>
      </c>
      <c r="M30" s="118">
        <f>(VLOOKUP(A30,'סה"כ כ"ס'!$J$3:$X$187,15,FALSE))*P30</f>
        <v>1855.8450000000003</v>
      </c>
      <c r="N30" s="118">
        <f>VLOOKUP(A30,'סה"כ כ"ס'!$J$3:$Y$188,16,FALSE)*P30</f>
        <v>2013.9950000000001</v>
      </c>
      <c r="P30" s="121">
        <v>0.1</v>
      </c>
    </row>
    <row r="31" spans="1:16" x14ac:dyDescent="0.3">
      <c r="A31">
        <v>331</v>
      </c>
      <c r="B31" s="15">
        <v>33</v>
      </c>
      <c r="C31" s="15" t="s">
        <v>241</v>
      </c>
      <c r="D31" s="15" t="s">
        <v>242</v>
      </c>
      <c r="E31" s="16" t="s">
        <v>196</v>
      </c>
      <c r="F31" s="17">
        <v>8627</v>
      </c>
      <c r="G31" s="17">
        <v>7715</v>
      </c>
      <c r="H31" s="17">
        <v>10245</v>
      </c>
      <c r="I31" s="17">
        <v>6520</v>
      </c>
      <c r="J31" s="17">
        <v>7289</v>
      </c>
      <c r="K31" s="16">
        <v>3174.21</v>
      </c>
      <c r="L31" s="27">
        <f>VLOOKUP(A31,'סה"כ כ"ס'!$J$3:$W$179,14,FALSE)</f>
        <v>3703.8</v>
      </c>
      <c r="M31" s="16">
        <f>VLOOKUP(A31,'סה"כ כ"ס'!$J$3:$X$187,15,FALSE)</f>
        <v>10022.700000000001</v>
      </c>
      <c r="N31" s="16">
        <f>VLOOKUP(A31,'סה"כ כ"ס'!$J$3:$Y$188,16,FALSE)</f>
        <v>1815.91</v>
      </c>
    </row>
    <row r="32" spans="1:16" x14ac:dyDescent="0.3">
      <c r="A32">
        <v>364</v>
      </c>
      <c r="B32" s="15">
        <v>36</v>
      </c>
      <c r="C32" s="15" t="s">
        <v>243</v>
      </c>
      <c r="D32" s="15" t="s">
        <v>87</v>
      </c>
      <c r="E32" s="16" t="s">
        <v>196</v>
      </c>
      <c r="F32" s="17">
        <v>6863</v>
      </c>
      <c r="G32" s="17">
        <v>7930</v>
      </c>
      <c r="H32" s="17">
        <v>10964</v>
      </c>
      <c r="I32" s="17">
        <v>7887</v>
      </c>
      <c r="J32" s="17">
        <v>8395</v>
      </c>
      <c r="K32" s="16">
        <v>7925.51</v>
      </c>
      <c r="L32" s="27">
        <f>VLOOKUP(A32,'סה"כ כ"ס'!$J$3:$W$179,14,FALSE)</f>
        <v>7677.62</v>
      </c>
      <c r="M32" s="16">
        <f>VLOOKUP(A32,'סה"כ כ"ס'!$J$3:$X$187,15,FALSE)</f>
        <v>14.63</v>
      </c>
      <c r="N32" s="16">
        <f>VLOOKUP(A32,'סה"כ כ"ס'!$J$3:$Y$188,16,FALSE)</f>
        <v>1764.09</v>
      </c>
    </row>
    <row r="33" spans="1:16" x14ac:dyDescent="0.3">
      <c r="A33">
        <v>398</v>
      </c>
      <c r="B33" s="15">
        <v>39</v>
      </c>
      <c r="C33" s="15" t="s">
        <v>244</v>
      </c>
      <c r="D33" s="15" t="s">
        <v>245</v>
      </c>
      <c r="E33" s="16" t="s">
        <v>196</v>
      </c>
      <c r="F33" s="17">
        <v>8218</v>
      </c>
      <c r="G33" s="17">
        <v>9975</v>
      </c>
      <c r="H33" s="17">
        <v>21394</v>
      </c>
      <c r="I33" s="17">
        <v>10385</v>
      </c>
      <c r="J33" s="17">
        <v>22118</v>
      </c>
      <c r="K33" s="16">
        <v>18895.13</v>
      </c>
      <c r="L33" s="27">
        <f>VLOOKUP(A33,'סה"כ כ"ס'!$J$3:$W$179,14,FALSE)</f>
        <v>18468.55</v>
      </c>
      <c r="M33" s="16">
        <f>VLOOKUP(A33,'סה"כ כ"ס'!$J$3:$X$187,15,FALSE)</f>
        <v>18776.689999999999</v>
      </c>
      <c r="N33" s="16">
        <f>VLOOKUP(A33,'סה"כ כ"ס'!$J$3:$Y$188,16,FALSE)</f>
        <v>19754.75</v>
      </c>
    </row>
    <row r="34" spans="1:16" x14ac:dyDescent="0.3">
      <c r="A34">
        <v>430</v>
      </c>
      <c r="B34" s="15">
        <v>43</v>
      </c>
      <c r="C34" s="15" t="s">
        <v>246</v>
      </c>
      <c r="D34" s="15" t="s">
        <v>247</v>
      </c>
      <c r="E34" s="16" t="s">
        <v>196</v>
      </c>
      <c r="F34" s="17">
        <v>8031</v>
      </c>
      <c r="G34" s="17">
        <v>14254</v>
      </c>
      <c r="H34" s="17">
        <v>28453</v>
      </c>
      <c r="I34" s="17">
        <v>9840</v>
      </c>
      <c r="J34" s="17">
        <v>4439</v>
      </c>
      <c r="K34" s="16">
        <v>3133.99</v>
      </c>
      <c r="L34" s="27">
        <f>VLOOKUP(A34,'סה"כ כ"ס'!$J$3:$W$179,14,FALSE)</f>
        <v>2104.2199999999998</v>
      </c>
      <c r="M34" s="16">
        <f>VLOOKUP(A34,'סה"כ כ"ס'!$J$3:$X$187,15,FALSE)</f>
        <v>3163.74</v>
      </c>
      <c r="N34" s="16">
        <f>VLOOKUP(A34,'סה"כ כ"ס'!$J$3:$Y$188,16,FALSE)</f>
        <v>22457.05</v>
      </c>
    </row>
    <row r="35" spans="1:16" x14ac:dyDescent="0.3">
      <c r="A35">
        <v>489</v>
      </c>
      <c r="B35" s="15">
        <v>48</v>
      </c>
      <c r="C35" s="15" t="s">
        <v>248</v>
      </c>
      <c r="D35" s="15" t="s">
        <v>249</v>
      </c>
      <c r="E35" s="16" t="s">
        <v>196</v>
      </c>
      <c r="F35" s="17">
        <v>11284</v>
      </c>
      <c r="G35" s="17">
        <v>12843</v>
      </c>
      <c r="H35" s="17">
        <v>16153</v>
      </c>
      <c r="I35" s="17">
        <v>12562</v>
      </c>
      <c r="J35" s="17">
        <v>12645</v>
      </c>
      <c r="K35" s="16">
        <v>9762.99</v>
      </c>
      <c r="L35" s="27">
        <f>VLOOKUP(A35,'סה"כ כ"ס'!$J$3:$W$179,14,FALSE)</f>
        <v>9081.98</v>
      </c>
      <c r="M35" s="16">
        <f>VLOOKUP(A35,'סה"כ כ"ס'!$J$3:$X$187,15,FALSE)</f>
        <v>9706.5</v>
      </c>
      <c r="N35" s="16">
        <f>VLOOKUP(A35,'סה"כ כ"ס'!$J$3:$Y$188,16,FALSE)</f>
        <v>13886.9</v>
      </c>
    </row>
    <row r="36" spans="1:16" x14ac:dyDescent="0.3">
      <c r="A36">
        <v>604</v>
      </c>
      <c r="B36" s="15">
        <v>60</v>
      </c>
      <c r="C36" s="15" t="s">
        <v>250</v>
      </c>
      <c r="D36" s="15" t="s">
        <v>251</v>
      </c>
      <c r="E36" s="16" t="s">
        <v>196</v>
      </c>
      <c r="F36" s="17">
        <v>15415</v>
      </c>
      <c r="G36" s="17">
        <v>13709</v>
      </c>
      <c r="H36" s="17">
        <v>19728</v>
      </c>
      <c r="I36" s="17">
        <v>9129</v>
      </c>
      <c r="J36" s="17">
        <v>14524</v>
      </c>
      <c r="K36" s="16">
        <v>10906.64</v>
      </c>
      <c r="L36" s="27">
        <f>VLOOKUP(A36,'סה"כ כ"ס'!$J$3:$W$179,14,FALSE)</f>
        <v>11249.65</v>
      </c>
      <c r="M36" s="16">
        <f>VLOOKUP(A36,'סה"כ כ"ס'!$J$3:$X$187,15,FALSE)</f>
        <v>7401.12</v>
      </c>
      <c r="N36" s="16">
        <f>VLOOKUP(A36,'סה"כ כ"ס'!$J$3:$Y$188,16,FALSE)</f>
        <v>8643.1</v>
      </c>
    </row>
    <row r="37" spans="1:16" x14ac:dyDescent="0.3">
      <c r="A37">
        <v>638</v>
      </c>
      <c r="B37" s="15">
        <v>63</v>
      </c>
      <c r="C37" s="15" t="s">
        <v>252</v>
      </c>
      <c r="D37" s="15" t="s">
        <v>251</v>
      </c>
      <c r="E37" s="16" t="s">
        <v>196</v>
      </c>
      <c r="F37" s="17">
        <v>18401</v>
      </c>
      <c r="G37" s="17">
        <v>17836</v>
      </c>
      <c r="H37" s="17">
        <v>18953</v>
      </c>
      <c r="I37" s="17">
        <v>18144</v>
      </c>
      <c r="J37" s="17">
        <v>19006</v>
      </c>
      <c r="K37" s="16">
        <v>14388.98</v>
      </c>
      <c r="L37" s="27">
        <f>VLOOKUP(A37,'סה"כ כ"ס'!$J$3:$W$179,14,FALSE)</f>
        <v>17449.5</v>
      </c>
      <c r="M37" s="16">
        <f>VLOOKUP(A37,'סה"כ כ"ס'!$J$3:$X$187,15,FALSE)</f>
        <v>18423.72</v>
      </c>
      <c r="N37" s="16">
        <f>VLOOKUP(A37,'סה"כ כ"ס'!$J$3:$Y$188,16,FALSE)</f>
        <v>19155.189999999999</v>
      </c>
    </row>
    <row r="38" spans="1:16" x14ac:dyDescent="0.3">
      <c r="A38">
        <v>687</v>
      </c>
      <c r="B38" s="15">
        <v>68</v>
      </c>
      <c r="C38" s="15" t="s">
        <v>253</v>
      </c>
      <c r="D38" s="15" t="s">
        <v>254</v>
      </c>
      <c r="E38" s="16" t="s">
        <v>196</v>
      </c>
      <c r="F38" s="17">
        <v>14955</v>
      </c>
      <c r="G38" s="17">
        <v>13289</v>
      </c>
      <c r="H38" s="17">
        <v>18496</v>
      </c>
      <c r="I38" s="17">
        <v>14909</v>
      </c>
      <c r="J38" s="17">
        <v>16779</v>
      </c>
      <c r="K38" s="16">
        <v>17953.349999999999</v>
      </c>
      <c r="L38" s="27">
        <f>VLOOKUP(A38,'סה"כ כ"ס'!$J$3:$W$179,14,FALSE)</f>
        <v>18766.78</v>
      </c>
      <c r="M38" s="16">
        <f>VLOOKUP(A38,'סה"כ כ"ס'!$J$3:$X$187,15,FALSE)</f>
        <v>18297.88</v>
      </c>
      <c r="N38" s="16">
        <f>VLOOKUP(A38,'סה"כ כ"ס'!$J$3:$Y$188,16,FALSE)</f>
        <v>20241.47</v>
      </c>
    </row>
    <row r="39" spans="1:16" x14ac:dyDescent="0.3">
      <c r="A39">
        <v>729</v>
      </c>
      <c r="B39" s="15">
        <v>72</v>
      </c>
      <c r="C39" s="15" t="s">
        <v>255</v>
      </c>
      <c r="D39" s="15" t="s">
        <v>215</v>
      </c>
      <c r="E39" s="16" t="s">
        <v>196</v>
      </c>
      <c r="F39" s="17">
        <v>6448</v>
      </c>
      <c r="G39" s="17">
        <v>11778</v>
      </c>
      <c r="H39" s="17">
        <v>11938</v>
      </c>
      <c r="I39" s="17">
        <v>3138</v>
      </c>
      <c r="J39" s="17">
        <v>6531</v>
      </c>
      <c r="K39" s="16">
        <v>12144.91</v>
      </c>
      <c r="L39" s="27">
        <f>VLOOKUP(A39,'סה"כ כ"ס'!$J$3:$W$179,14,FALSE)</f>
        <v>9942.0400000000009</v>
      </c>
      <c r="M39" s="16">
        <f>VLOOKUP(A39,'סה"כ כ"ס'!$J$3:$X$187,15,FALSE)</f>
        <v>8910.7099999999991</v>
      </c>
      <c r="N39" s="16">
        <f>VLOOKUP(A39,'סה"כ כ"ס'!$J$3:$Y$188,16,FALSE)</f>
        <v>11043.29</v>
      </c>
    </row>
    <row r="40" spans="1:16" x14ac:dyDescent="0.3">
      <c r="A40">
        <v>0</v>
      </c>
      <c r="B40" s="15">
        <v>73</v>
      </c>
      <c r="C40" s="15" t="s">
        <v>509</v>
      </c>
      <c r="D40" s="15" t="s">
        <v>283</v>
      </c>
      <c r="E40" s="16" t="s">
        <v>196</v>
      </c>
      <c r="F40" s="17">
        <v>7443</v>
      </c>
      <c r="G40" s="17">
        <v>6676</v>
      </c>
      <c r="H40" s="17">
        <v>8150</v>
      </c>
      <c r="I40" s="17">
        <v>0</v>
      </c>
      <c r="J40" s="17">
        <v>0</v>
      </c>
      <c r="K40" s="17"/>
      <c r="L40" s="27">
        <f>VLOOKUP(A40,'סה"כ כ"ס'!$J$3:$W$179,14,FALSE)</f>
        <v>0</v>
      </c>
      <c r="M40" s="17"/>
      <c r="N40" s="17">
        <f>VLOOKUP(A40,'סה"כ כ"ס'!$J$3:$Y$188,16,FALSE)</f>
        <v>0</v>
      </c>
    </row>
    <row r="41" spans="1:16" x14ac:dyDescent="0.3">
      <c r="A41">
        <v>760</v>
      </c>
      <c r="B41" s="15">
        <v>76</v>
      </c>
      <c r="C41" s="15" t="s">
        <v>256</v>
      </c>
      <c r="D41" s="15" t="s">
        <v>257</v>
      </c>
      <c r="E41" s="16" t="s">
        <v>196</v>
      </c>
      <c r="F41" s="17">
        <v>8006</v>
      </c>
      <c r="G41" s="17">
        <v>5467</v>
      </c>
      <c r="H41" s="17">
        <v>10829</v>
      </c>
      <c r="I41" s="17">
        <v>5656</v>
      </c>
      <c r="J41" s="17">
        <v>6000</v>
      </c>
      <c r="K41" s="16">
        <v>7857.42</v>
      </c>
      <c r="L41" s="27">
        <f>VLOOKUP(A41,'סה"כ כ"ס'!$J$3:$W$179,14,FALSE)</f>
        <v>5725.24</v>
      </c>
      <c r="M41" s="16">
        <f>VLOOKUP(A41,'סה"כ כ"ס'!$J$3:$X$187,15,FALSE)</f>
        <v>6191.35</v>
      </c>
      <c r="N41" s="16">
        <f>VLOOKUP(A41,'סה"כ כ"ס'!$J$3:$Y$188,16,FALSE)</f>
        <v>8621.43</v>
      </c>
    </row>
    <row r="42" spans="1:16" x14ac:dyDescent="0.3">
      <c r="A42">
        <v>778</v>
      </c>
      <c r="B42" s="15">
        <v>77</v>
      </c>
      <c r="C42" s="15" t="s">
        <v>258</v>
      </c>
      <c r="D42" s="15" t="s">
        <v>259</v>
      </c>
      <c r="E42" s="16" t="s">
        <v>196</v>
      </c>
      <c r="F42" s="17">
        <v>23440</v>
      </c>
      <c r="G42" s="17">
        <v>20821</v>
      </c>
      <c r="H42" s="17">
        <v>23926</v>
      </c>
      <c r="I42" s="17">
        <v>22486</v>
      </c>
      <c r="J42" s="17">
        <v>26625</v>
      </c>
      <c r="K42" s="16">
        <v>17857.36</v>
      </c>
      <c r="L42" s="27">
        <f>VLOOKUP(A42,'סה"כ כ"ס'!$J$3:$W$179,14,FALSE)</f>
        <v>21306.65</v>
      </c>
      <c r="M42" s="16">
        <f>VLOOKUP(A42,'סה"כ כ"ס'!$J$3:$X$187,15,FALSE)</f>
        <v>19693.13</v>
      </c>
      <c r="N42" s="16">
        <f>VLOOKUP(A42,'סה"כ כ"ס'!$J$3:$Y$188,16,FALSE)</f>
        <v>22211.32</v>
      </c>
    </row>
    <row r="43" spans="1:16" x14ac:dyDescent="0.3">
      <c r="A43">
        <v>794</v>
      </c>
      <c r="B43" s="15">
        <v>79</v>
      </c>
      <c r="C43" s="15" t="s">
        <v>260</v>
      </c>
      <c r="D43" s="15" t="s">
        <v>87</v>
      </c>
      <c r="E43" s="16" t="s">
        <v>196</v>
      </c>
      <c r="F43" s="17">
        <v>11840</v>
      </c>
      <c r="G43" s="17">
        <v>12530</v>
      </c>
      <c r="H43" s="17">
        <v>15043</v>
      </c>
      <c r="I43" s="17">
        <v>11732</v>
      </c>
      <c r="J43" s="17">
        <v>11049</v>
      </c>
      <c r="K43" s="16">
        <v>11145.18</v>
      </c>
      <c r="L43" s="27">
        <f>VLOOKUP(A43,'סה"כ כ"ס'!$J$3:$W$179,14,FALSE)</f>
        <v>9089.31</v>
      </c>
      <c r="M43" s="16">
        <f>VLOOKUP(A43,'סה"כ כ"ס'!$J$3:$X$187,15,FALSE)</f>
        <v>11519.16</v>
      </c>
      <c r="N43" s="16">
        <f>VLOOKUP(A43,'סה"כ כ"ס'!$J$3:$Y$188,16,FALSE)</f>
        <v>12378.99</v>
      </c>
    </row>
    <row r="44" spans="1:16" x14ac:dyDescent="0.3">
      <c r="A44">
        <v>802</v>
      </c>
      <c r="B44" s="15">
        <v>80</v>
      </c>
      <c r="C44" s="15" t="s">
        <v>510</v>
      </c>
      <c r="D44" s="15" t="s">
        <v>511</v>
      </c>
      <c r="E44" s="16" t="s">
        <v>196</v>
      </c>
      <c r="F44" s="17">
        <v>2929</v>
      </c>
      <c r="G44" s="17">
        <v>2322</v>
      </c>
      <c r="H44" s="17">
        <v>5240</v>
      </c>
      <c r="I44" s="17">
        <v>1939</v>
      </c>
      <c r="J44" s="17">
        <v>0</v>
      </c>
      <c r="K44" s="17"/>
      <c r="L44" s="27">
        <f>VLOOKUP(A44,'סה"כ כ"ס'!$J$3:$W$179,14,FALSE)</f>
        <v>0</v>
      </c>
      <c r="M44" s="17"/>
      <c r="N44" s="17">
        <f>VLOOKUP(A44,'סה"כ כ"ס'!$J$3:$Y$188,16,FALSE)</f>
        <v>0</v>
      </c>
    </row>
    <row r="45" spans="1:16" x14ac:dyDescent="0.3">
      <c r="A45">
        <v>0</v>
      </c>
      <c r="B45" s="15">
        <v>82</v>
      </c>
      <c r="C45" s="29" t="s">
        <v>414</v>
      </c>
      <c r="D45" s="29" t="s">
        <v>291</v>
      </c>
      <c r="E45" s="16" t="s">
        <v>196</v>
      </c>
      <c r="F45" s="17">
        <v>0</v>
      </c>
      <c r="G45" s="17">
        <v>0</v>
      </c>
      <c r="H45" s="17">
        <v>15161</v>
      </c>
      <c r="I45" s="17">
        <v>0</v>
      </c>
      <c r="J45" s="17">
        <v>0</v>
      </c>
      <c r="K45" s="17"/>
      <c r="L45" s="27">
        <f>VLOOKUP(A45,'סה"כ כ"ס'!$J$3:$W$179,14,FALSE)</f>
        <v>0</v>
      </c>
      <c r="M45" s="336"/>
      <c r="N45" s="336">
        <f>VLOOKUP(A45,'סה"כ כ"ס'!$J$3:$Y$188,16,FALSE)</f>
        <v>0</v>
      </c>
    </row>
    <row r="46" spans="1:16" x14ac:dyDescent="0.3">
      <c r="A46">
        <v>919</v>
      </c>
      <c r="B46" s="15">
        <v>91</v>
      </c>
      <c r="C46" s="15" t="s">
        <v>114</v>
      </c>
      <c r="D46" s="15" t="s">
        <v>261</v>
      </c>
      <c r="E46" s="16" t="s">
        <v>196</v>
      </c>
      <c r="F46" s="17">
        <v>14633</v>
      </c>
      <c r="G46" s="17">
        <v>12671</v>
      </c>
      <c r="H46" s="17">
        <v>20778</v>
      </c>
      <c r="I46" s="17">
        <v>14978</v>
      </c>
      <c r="J46" s="17">
        <v>16750</v>
      </c>
      <c r="K46" s="16">
        <f>15007.18*P46</f>
        <v>3001.4360000000001</v>
      </c>
      <c r="L46" s="27">
        <f>(VLOOKUP(A46,'סה"כ כ"ס'!$J$3:$W$179,14,FALSE))*P46</f>
        <v>2951.2240000000002</v>
      </c>
      <c r="M46" s="118">
        <f>(VLOOKUP(A46,'סה"כ כ"ס'!$J$3:$X$187,15,FALSE))*P46</f>
        <v>3974.8680000000004</v>
      </c>
      <c r="N46" s="118">
        <f>VLOOKUP(A46,'סה"כ כ"ס'!$J$3:$Y$188,16,FALSE)*P46</f>
        <v>3459.81</v>
      </c>
      <c r="P46" s="121">
        <v>0.2</v>
      </c>
    </row>
    <row r="47" spans="1:16" x14ac:dyDescent="0.3">
      <c r="A47">
        <v>927</v>
      </c>
      <c r="B47" s="15">
        <v>92</v>
      </c>
      <c r="C47" s="15" t="s">
        <v>262</v>
      </c>
      <c r="D47" s="15" t="s">
        <v>263</v>
      </c>
      <c r="E47" s="16" t="s">
        <v>196</v>
      </c>
      <c r="F47" s="17">
        <v>4453</v>
      </c>
      <c r="G47" s="17">
        <v>8643</v>
      </c>
      <c r="H47" s="17">
        <v>8623</v>
      </c>
      <c r="I47" s="17">
        <v>7158</v>
      </c>
      <c r="J47" s="17">
        <v>5878</v>
      </c>
      <c r="K47" s="16">
        <v>2625.75</v>
      </c>
      <c r="L47" s="27">
        <f>VLOOKUP(A47,'סה"כ כ"ס'!$J$3:$W$179,14,FALSE)</f>
        <v>538.04</v>
      </c>
      <c r="M47" s="16">
        <f>VLOOKUP(A47,'סה"כ כ"ס'!$J$3:$X$187,15,FALSE)</f>
        <v>2121.14</v>
      </c>
      <c r="N47" s="16">
        <f>VLOOKUP(A47,'סה"כ כ"ס'!$J$3:$Y$188,16,FALSE)</f>
        <v>10978.59</v>
      </c>
    </row>
    <row r="48" spans="1:16" x14ac:dyDescent="0.3">
      <c r="A48">
        <v>935</v>
      </c>
      <c r="B48" s="15">
        <v>93</v>
      </c>
      <c r="C48" s="15" t="s">
        <v>264</v>
      </c>
      <c r="D48" s="15" t="s">
        <v>207</v>
      </c>
      <c r="E48" s="16" t="s">
        <v>196</v>
      </c>
      <c r="F48" s="17">
        <v>11696</v>
      </c>
      <c r="G48" s="17">
        <v>12920</v>
      </c>
      <c r="H48" s="17">
        <v>13754</v>
      </c>
      <c r="I48" s="17">
        <v>10831</v>
      </c>
      <c r="J48" s="17">
        <v>10169</v>
      </c>
      <c r="K48" s="16">
        <v>10026.950000000001</v>
      </c>
      <c r="L48" s="27">
        <f>VLOOKUP(A48,'סה"כ כ"ס'!$J$3:$W$179,14,FALSE)</f>
        <v>10345.719999999999</v>
      </c>
      <c r="M48" s="16">
        <f>VLOOKUP(A48,'סה"כ כ"ס'!$J$3:$X$187,15,FALSE)</f>
        <v>7119.23</v>
      </c>
      <c r="N48" s="16">
        <f>VLOOKUP(A48,'סה"כ כ"ס'!$J$3:$Y$188,16,FALSE)</f>
        <v>10895.58</v>
      </c>
    </row>
    <row r="49" spans="1:14" x14ac:dyDescent="0.3">
      <c r="A49">
        <v>943</v>
      </c>
      <c r="B49" s="15">
        <v>94</v>
      </c>
      <c r="C49" s="15" t="s">
        <v>253</v>
      </c>
      <c r="D49" s="15" t="s">
        <v>265</v>
      </c>
      <c r="E49" s="16" t="s">
        <v>196</v>
      </c>
      <c r="F49" s="17">
        <v>5068</v>
      </c>
      <c r="G49" s="17">
        <v>5506</v>
      </c>
      <c r="H49" s="17">
        <v>9963</v>
      </c>
      <c r="I49" s="17">
        <v>6621</v>
      </c>
      <c r="J49" s="17">
        <v>6714</v>
      </c>
      <c r="K49" s="16">
        <v>8399.84</v>
      </c>
      <c r="L49" s="27">
        <f>VLOOKUP(A49,'סה"כ כ"ס'!$J$3:$W$179,14,FALSE)</f>
        <v>6365.3</v>
      </c>
      <c r="M49" s="16">
        <f>VLOOKUP(A49,'סה"כ כ"ס'!$J$3:$X$187,15,FALSE)</f>
        <v>7306.37</v>
      </c>
      <c r="N49" s="16">
        <f>VLOOKUP(A49,'סה"כ כ"ס'!$J$3:$Y$188,16,FALSE)</f>
        <v>12679.57</v>
      </c>
    </row>
    <row r="50" spans="1:14" x14ac:dyDescent="0.3">
      <c r="A50">
        <v>1008</v>
      </c>
      <c r="B50" s="15">
        <v>100</v>
      </c>
      <c r="C50" s="15" t="s">
        <v>223</v>
      </c>
      <c r="D50" s="15" t="s">
        <v>266</v>
      </c>
      <c r="E50" s="16" t="s">
        <v>196</v>
      </c>
      <c r="F50" s="17">
        <v>4579</v>
      </c>
      <c r="G50" s="17">
        <v>570</v>
      </c>
      <c r="H50" s="17">
        <v>4935</v>
      </c>
      <c r="I50" s="17">
        <v>2635</v>
      </c>
      <c r="J50" s="17">
        <v>3285</v>
      </c>
      <c r="K50" s="16">
        <v>2110.63</v>
      </c>
      <c r="L50" s="27">
        <f>VLOOKUP(A50,'סה"כ כ"ס'!$J$3:$W$179,14,FALSE)</f>
        <v>1537.53</v>
      </c>
      <c r="M50" s="16">
        <f>VLOOKUP(A50,'סה"כ כ"ס'!$J$3:$X$187,15,FALSE)</f>
        <v>2649.15</v>
      </c>
      <c r="N50" s="16">
        <f>VLOOKUP(A50,'סה"כ כ"ס'!$J$3:$Y$188,16,FALSE)</f>
        <v>4082.84</v>
      </c>
    </row>
    <row r="51" spans="1:14" x14ac:dyDescent="0.3">
      <c r="A51">
        <v>0</v>
      </c>
      <c r="B51">
        <v>102</v>
      </c>
      <c r="C51" s="15" t="s">
        <v>514</v>
      </c>
      <c r="D51" s="15" t="s">
        <v>180</v>
      </c>
      <c r="E51" s="16" t="s">
        <v>196</v>
      </c>
      <c r="F51" s="17">
        <v>4699</v>
      </c>
      <c r="G51" s="17">
        <v>8432</v>
      </c>
      <c r="H51" s="17">
        <v>0</v>
      </c>
      <c r="I51" s="17">
        <v>0</v>
      </c>
      <c r="J51" s="17">
        <v>0</v>
      </c>
      <c r="K51" s="17"/>
      <c r="L51" s="27">
        <f>VLOOKUP(A51,'סה"כ כ"ס'!$J$3:$W$179,14,FALSE)</f>
        <v>0</v>
      </c>
      <c r="M51" s="17"/>
      <c r="N51" s="17">
        <f>VLOOKUP(A51,'סה"כ כ"ס'!$J$3:$Y$188,16,FALSE)</f>
        <v>0</v>
      </c>
    </row>
    <row r="52" spans="1:14" x14ac:dyDescent="0.3">
      <c r="A52">
        <v>1057</v>
      </c>
      <c r="B52" s="15">
        <v>105</v>
      </c>
      <c r="C52" s="15" t="s">
        <v>267</v>
      </c>
      <c r="D52" s="15" t="s">
        <v>268</v>
      </c>
      <c r="E52" s="16" t="s">
        <v>196</v>
      </c>
      <c r="F52" s="17">
        <v>206</v>
      </c>
      <c r="G52" s="17">
        <v>2834</v>
      </c>
      <c r="H52" s="17">
        <v>6175</v>
      </c>
      <c r="I52" s="17">
        <v>3005</v>
      </c>
      <c r="J52" s="17">
        <v>2555</v>
      </c>
      <c r="K52" s="16">
        <v>1535.49</v>
      </c>
      <c r="L52" s="27">
        <f>VLOOKUP(A52,'סה"כ כ"ס'!$J$3:$W$179,14,FALSE)</f>
        <v>1832.79</v>
      </c>
      <c r="M52" s="16">
        <f>VLOOKUP(A52,'סה"כ כ"ס'!$J$3:$X$187,15,FALSE)</f>
        <v>4345.7</v>
      </c>
      <c r="N52" s="16">
        <f>VLOOKUP(A52,'סה"כ כ"ס'!$J$3:$Y$188,16,FALSE)</f>
        <v>1399.84</v>
      </c>
    </row>
    <row r="53" spans="1:14" x14ac:dyDescent="0.3">
      <c r="A53">
        <v>0</v>
      </c>
      <c r="B53" s="64">
        <v>133</v>
      </c>
      <c r="C53" s="15" t="s">
        <v>187</v>
      </c>
      <c r="D53" s="15" t="s">
        <v>515</v>
      </c>
      <c r="E53" s="16" t="s">
        <v>196</v>
      </c>
      <c r="F53" s="17">
        <v>5677</v>
      </c>
      <c r="G53" s="17">
        <v>0</v>
      </c>
      <c r="H53" s="17">
        <v>0</v>
      </c>
      <c r="I53" s="17">
        <v>0</v>
      </c>
      <c r="J53" s="17">
        <v>0</v>
      </c>
      <c r="K53" s="17"/>
      <c r="L53" s="27">
        <f>VLOOKUP(A53,'סה"כ כ"ס'!$J$3:$W$179,14,FALSE)</f>
        <v>0</v>
      </c>
      <c r="M53" s="17"/>
      <c r="N53" s="17">
        <f>VLOOKUP(A53,'סה"כ כ"ס'!$J$3:$Y$188,16,FALSE)</f>
        <v>0</v>
      </c>
    </row>
    <row r="54" spans="1:14" x14ac:dyDescent="0.3">
      <c r="A54">
        <v>1479</v>
      </c>
      <c r="B54" s="15">
        <v>147</v>
      </c>
      <c r="C54" s="15" t="s">
        <v>269</v>
      </c>
      <c r="D54" s="15" t="s">
        <v>270</v>
      </c>
      <c r="E54" s="16" t="s">
        <v>196</v>
      </c>
      <c r="F54" s="17">
        <v>10104</v>
      </c>
      <c r="G54" s="17">
        <v>12509</v>
      </c>
      <c r="H54" s="17">
        <v>16112</v>
      </c>
      <c r="I54" s="17">
        <v>13147</v>
      </c>
      <c r="J54" s="17">
        <v>14210</v>
      </c>
      <c r="K54" s="16">
        <v>11685.35</v>
      </c>
      <c r="L54" s="27">
        <f>VLOOKUP(A54,'סה"כ כ"ס'!$J$3:$W$179,14,FALSE)</f>
        <v>11359.25</v>
      </c>
      <c r="M54" s="16">
        <f>VLOOKUP(A54,'סה"כ כ"ס'!$J$3:$X$187,15,FALSE)</f>
        <v>14934.65</v>
      </c>
      <c r="N54" s="16">
        <f>VLOOKUP(A54,'סה"כ כ"ס'!$J$3:$Y$188,16,FALSE)</f>
        <v>13643.64</v>
      </c>
    </row>
    <row r="55" spans="1:14" x14ac:dyDescent="0.3">
      <c r="A55">
        <v>1545</v>
      </c>
      <c r="B55" s="15">
        <v>154</v>
      </c>
      <c r="C55" s="15" t="s">
        <v>271</v>
      </c>
      <c r="D55" s="15" t="s">
        <v>272</v>
      </c>
      <c r="E55" s="16" t="s">
        <v>196</v>
      </c>
      <c r="F55" s="17">
        <v>7563</v>
      </c>
      <c r="G55" s="17">
        <v>7917</v>
      </c>
      <c r="H55" s="17">
        <v>8895</v>
      </c>
      <c r="I55" s="17">
        <v>1519</v>
      </c>
      <c r="J55" s="17">
        <v>3540</v>
      </c>
      <c r="K55" s="16">
        <v>2664.87</v>
      </c>
      <c r="L55" s="27">
        <f>VLOOKUP(A55,'סה"כ כ"ס'!$J$3:$W$179,14,FALSE)</f>
        <v>2327.9499999999998</v>
      </c>
      <c r="M55" s="16">
        <f>VLOOKUP(A55,'סה"כ כ"ס'!$J$3:$X$187,15,FALSE)</f>
        <v>3051.71</v>
      </c>
      <c r="N55" s="16">
        <f>VLOOKUP(A55,'סה"כ כ"ס'!$J$3:$Y$188,16,FALSE)</f>
        <v>4190.1000000000004</v>
      </c>
    </row>
    <row r="56" spans="1:14" x14ac:dyDescent="0.3">
      <c r="A56">
        <v>1552</v>
      </c>
      <c r="B56" s="15">
        <v>155</v>
      </c>
      <c r="C56" s="15" t="s">
        <v>273</v>
      </c>
      <c r="D56" s="15" t="s">
        <v>91</v>
      </c>
      <c r="E56" s="16" t="s">
        <v>196</v>
      </c>
      <c r="F56" s="17">
        <v>3370</v>
      </c>
      <c r="G56" s="17">
        <v>3251</v>
      </c>
      <c r="H56" s="17">
        <v>10748</v>
      </c>
      <c r="I56" s="17">
        <v>8666</v>
      </c>
      <c r="J56" s="17">
        <v>7304</v>
      </c>
      <c r="K56" s="16">
        <v>8936.4699999999993</v>
      </c>
      <c r="L56" s="27">
        <f>VLOOKUP(A56,'סה"כ כ"ס'!$J$3:$W$179,14,FALSE)</f>
        <v>4397.2700000000004</v>
      </c>
      <c r="M56" s="16">
        <f>VLOOKUP(A56,'סה"כ כ"ס'!$J$3:$X$187,15,FALSE)</f>
        <v>8630.2199999999993</v>
      </c>
      <c r="N56" s="16">
        <f>VLOOKUP(A56,'סה"כ כ"ס'!$J$3:$Y$188,16,FALSE)</f>
        <v>10796.62</v>
      </c>
    </row>
    <row r="57" spans="1:14" x14ac:dyDescent="0.3">
      <c r="A57">
        <v>0</v>
      </c>
      <c r="B57" s="64">
        <v>160</v>
      </c>
      <c r="C57" s="64" t="s">
        <v>520</v>
      </c>
      <c r="D57" s="64" t="s">
        <v>521</v>
      </c>
      <c r="E57" s="16" t="s">
        <v>196</v>
      </c>
      <c r="F57" s="17">
        <v>3413</v>
      </c>
      <c r="G57" s="17">
        <v>0</v>
      </c>
      <c r="H57" s="17">
        <v>0</v>
      </c>
      <c r="I57" s="17">
        <v>0</v>
      </c>
      <c r="J57" s="17">
        <v>0</v>
      </c>
      <c r="K57" s="17"/>
      <c r="L57" s="27">
        <f>VLOOKUP(A57,'סה"כ כ"ס'!$J$3:$W$179,14,FALSE)</f>
        <v>0</v>
      </c>
      <c r="M57" s="17"/>
      <c r="N57" s="17">
        <f>VLOOKUP(A57,'סה"כ כ"ס'!$J$3:$Y$188,16,FALSE)</f>
        <v>0</v>
      </c>
    </row>
    <row r="58" spans="1:14" x14ac:dyDescent="0.3">
      <c r="A58">
        <v>1669</v>
      </c>
      <c r="B58" s="15">
        <v>166</v>
      </c>
      <c r="C58" s="15" t="s">
        <v>274</v>
      </c>
      <c r="D58" s="15" t="s">
        <v>275</v>
      </c>
      <c r="E58" s="16" t="s">
        <v>196</v>
      </c>
      <c r="F58" s="17">
        <v>12245</v>
      </c>
      <c r="G58" s="17">
        <v>10315</v>
      </c>
      <c r="H58" s="17">
        <v>13580</v>
      </c>
      <c r="I58" s="17">
        <v>13532</v>
      </c>
      <c r="J58" s="17">
        <v>9122</v>
      </c>
      <c r="K58" s="16">
        <v>15267.7</v>
      </c>
      <c r="L58" s="27">
        <f>VLOOKUP(A58,'סה"כ כ"ס'!$J$3:$W$179,14,FALSE)</f>
        <v>12749.59</v>
      </c>
      <c r="M58" s="16">
        <f>VLOOKUP(A58,'סה"כ כ"ס'!$J$3:$X$187,15,FALSE)</f>
        <v>14106.43</v>
      </c>
      <c r="N58" s="16">
        <f>VLOOKUP(A58,'סה"כ כ"ס'!$J$3:$Y$188,16,FALSE)</f>
        <v>16543.82</v>
      </c>
    </row>
    <row r="59" spans="1:14" x14ac:dyDescent="0.3">
      <c r="A59">
        <v>0</v>
      </c>
      <c r="B59" s="15">
        <v>176</v>
      </c>
      <c r="C59" s="15" t="s">
        <v>527</v>
      </c>
      <c r="D59" s="15" t="s">
        <v>245</v>
      </c>
      <c r="E59" s="16" t="s">
        <v>196</v>
      </c>
      <c r="F59" s="17">
        <v>2636</v>
      </c>
      <c r="G59" s="17">
        <v>3936</v>
      </c>
      <c r="H59" s="17">
        <v>0</v>
      </c>
      <c r="I59" s="17">
        <v>0</v>
      </c>
      <c r="J59" s="17">
        <v>0</v>
      </c>
      <c r="K59" s="17"/>
      <c r="L59" s="27">
        <f>VLOOKUP(A59,'סה"כ כ"ס'!$J$3:$W$179,14,FALSE)</f>
        <v>0</v>
      </c>
      <c r="M59" s="17"/>
      <c r="N59" s="17">
        <f>VLOOKUP(A59,'סה"כ כ"ס'!$J$3:$Y$188,16,FALSE)</f>
        <v>0</v>
      </c>
    </row>
    <row r="60" spans="1:14" x14ac:dyDescent="0.3">
      <c r="A60">
        <v>1776</v>
      </c>
      <c r="B60" s="15">
        <v>177</v>
      </c>
      <c r="C60" s="15" t="s">
        <v>276</v>
      </c>
      <c r="D60" s="15" t="s">
        <v>277</v>
      </c>
      <c r="E60" s="16" t="s">
        <v>196</v>
      </c>
      <c r="F60" s="17">
        <v>11370</v>
      </c>
      <c r="G60" s="17">
        <v>11705</v>
      </c>
      <c r="H60" s="17">
        <v>11089</v>
      </c>
      <c r="I60" s="17">
        <v>8307</v>
      </c>
      <c r="J60" s="17">
        <v>16166</v>
      </c>
      <c r="K60" s="16">
        <v>10470.709999999999</v>
      </c>
      <c r="L60" s="27">
        <f>VLOOKUP(A60,'סה"כ כ"ס'!$J$3:$W$179,14,FALSE)</f>
        <v>8879.5499999999993</v>
      </c>
      <c r="M60" s="16">
        <f>VLOOKUP(A60,'סה"כ כ"ס'!$J$3:$X$187,15,FALSE)</f>
        <v>8510.51</v>
      </c>
      <c r="N60" s="16">
        <f>VLOOKUP(A60,'סה"כ כ"ס'!$J$3:$Y$188,16,FALSE)</f>
        <v>12917.13</v>
      </c>
    </row>
    <row r="61" spans="1:14" x14ac:dyDescent="0.3">
      <c r="A61">
        <v>1818</v>
      </c>
      <c r="B61" s="15">
        <v>181</v>
      </c>
      <c r="C61" s="15" t="s">
        <v>278</v>
      </c>
      <c r="D61" s="15" t="s">
        <v>279</v>
      </c>
      <c r="E61" s="16" t="s">
        <v>196</v>
      </c>
      <c r="F61" s="17">
        <v>12753</v>
      </c>
      <c r="G61" s="17">
        <v>12751</v>
      </c>
      <c r="H61" s="17">
        <v>12656</v>
      </c>
      <c r="I61" s="17">
        <v>12592</v>
      </c>
      <c r="J61" s="17">
        <v>12559</v>
      </c>
      <c r="K61" s="16">
        <v>12618.1</v>
      </c>
      <c r="L61" s="27">
        <f>VLOOKUP(A61,'סה"כ כ"ס'!$J$3:$W$179,14,FALSE)</f>
        <v>12295.3</v>
      </c>
      <c r="M61" s="16">
        <f>VLOOKUP(A61,'סה"כ כ"ס'!$J$3:$X$187,15,FALSE)</f>
        <v>12028.85</v>
      </c>
      <c r="N61" s="16">
        <f>VLOOKUP(A61,'סה"כ כ"ס'!$J$3:$Y$188,16,FALSE)</f>
        <v>12184.27</v>
      </c>
    </row>
    <row r="62" spans="1:14" x14ac:dyDescent="0.3">
      <c r="A62">
        <v>1842</v>
      </c>
      <c r="B62" s="15">
        <v>184</v>
      </c>
      <c r="C62" s="15" t="s">
        <v>528</v>
      </c>
      <c r="D62" s="15" t="s">
        <v>123</v>
      </c>
      <c r="E62" s="16" t="s">
        <v>196</v>
      </c>
      <c r="F62" s="17">
        <v>6682</v>
      </c>
      <c r="G62" s="17">
        <v>6276</v>
      </c>
      <c r="H62" s="17">
        <v>6905</v>
      </c>
      <c r="I62" s="17">
        <v>6880</v>
      </c>
      <c r="J62" s="17">
        <v>0</v>
      </c>
      <c r="K62" s="17"/>
      <c r="L62" s="27">
        <f>VLOOKUP(A62,'סה"כ כ"ס'!$J$3:$W$179,14,FALSE)</f>
        <v>0</v>
      </c>
      <c r="M62" s="17"/>
      <c r="N62" s="17">
        <f>VLOOKUP(A62,'סה"כ כ"ס'!$J$3:$Y$188,16,FALSE)</f>
        <v>0</v>
      </c>
    </row>
    <row r="63" spans="1:14" x14ac:dyDescent="0.3">
      <c r="A63">
        <v>1859</v>
      </c>
      <c r="B63" s="15">
        <v>185</v>
      </c>
      <c r="C63" s="15" t="s">
        <v>280</v>
      </c>
      <c r="D63" s="15" t="s">
        <v>281</v>
      </c>
      <c r="E63" s="16" t="s">
        <v>196</v>
      </c>
      <c r="F63" s="17">
        <v>5638</v>
      </c>
      <c r="G63" s="17">
        <v>5515</v>
      </c>
      <c r="H63" s="17">
        <v>5402</v>
      </c>
      <c r="I63" s="17">
        <v>4422</v>
      </c>
      <c r="J63" s="17">
        <v>5851</v>
      </c>
      <c r="K63" s="16">
        <v>4994.78</v>
      </c>
      <c r="L63" s="27">
        <f>VLOOKUP(A63,'סה"כ כ"ס'!$J$3:$W$179,14,FALSE)</f>
        <v>2222.58</v>
      </c>
      <c r="M63" s="16">
        <f>VLOOKUP(A63,'סה"כ כ"ס'!$J$3:$X$187,15,FALSE)</f>
        <v>5270.93</v>
      </c>
      <c r="N63" s="16">
        <f>VLOOKUP(A63,'סה"כ כ"ס'!$J$3:$Y$188,16,FALSE)</f>
        <v>7750.77</v>
      </c>
    </row>
    <row r="64" spans="1:14" x14ac:dyDescent="0.3">
      <c r="A64">
        <v>0</v>
      </c>
      <c r="B64" s="15">
        <v>186</v>
      </c>
      <c r="C64" s="15" t="s">
        <v>529</v>
      </c>
      <c r="D64" s="15" t="s">
        <v>511</v>
      </c>
      <c r="E64" s="16" t="s">
        <v>196</v>
      </c>
      <c r="F64" s="17">
        <v>848</v>
      </c>
      <c r="G64" s="17">
        <v>0</v>
      </c>
      <c r="H64" s="17">
        <v>0</v>
      </c>
      <c r="I64" s="17">
        <v>0</v>
      </c>
      <c r="J64" s="17">
        <v>0</v>
      </c>
      <c r="K64" s="17"/>
      <c r="L64" s="27">
        <f>VLOOKUP(A64,'סה"כ כ"ס'!$J$3:$W$179,14,FALSE)</f>
        <v>0</v>
      </c>
      <c r="M64" s="17"/>
      <c r="N64" s="17">
        <f>VLOOKUP(A64,'סה"כ כ"ס'!$J$3:$Y$188,16,FALSE)</f>
        <v>0</v>
      </c>
    </row>
    <row r="65" spans="1:14" x14ac:dyDescent="0.3">
      <c r="A65">
        <v>1909</v>
      </c>
      <c r="B65" s="15">
        <v>190</v>
      </c>
      <c r="C65" s="15" t="s">
        <v>187</v>
      </c>
      <c r="D65" s="15" t="s">
        <v>97</v>
      </c>
      <c r="E65" s="16" t="s">
        <v>196</v>
      </c>
      <c r="F65" s="17">
        <v>6342</v>
      </c>
      <c r="G65" s="17">
        <v>7231</v>
      </c>
      <c r="H65" s="17">
        <v>7868</v>
      </c>
      <c r="I65" s="17">
        <v>8832</v>
      </c>
      <c r="J65" s="17">
        <v>11817</v>
      </c>
      <c r="K65" s="16">
        <v>10728.95</v>
      </c>
      <c r="L65" s="27">
        <f>VLOOKUP(A65,'סה"כ כ"ס'!$J$3:$W$179,14,FALSE)</f>
        <v>18348.900000000001</v>
      </c>
      <c r="M65" s="16">
        <f>VLOOKUP(A65,'סה"כ כ"ס'!$J$3:$X$187,15,FALSE)</f>
        <v>9183.66</v>
      </c>
      <c r="N65" s="16">
        <f>VLOOKUP(A65,'סה"כ כ"ס'!$J$3:$Y$188,16,FALSE)</f>
        <v>12537.86</v>
      </c>
    </row>
    <row r="66" spans="1:14" x14ac:dyDescent="0.3">
      <c r="A66">
        <v>1925</v>
      </c>
      <c r="B66" s="15">
        <v>192</v>
      </c>
      <c r="C66" s="15" t="s">
        <v>282</v>
      </c>
      <c r="D66" s="15" t="s">
        <v>283</v>
      </c>
      <c r="E66" s="16" t="s">
        <v>196</v>
      </c>
      <c r="F66" s="17">
        <v>3999</v>
      </c>
      <c r="G66" s="17">
        <v>6668</v>
      </c>
      <c r="H66" s="17">
        <v>4543</v>
      </c>
      <c r="I66" s="17">
        <v>7420</v>
      </c>
      <c r="J66" s="17">
        <v>9065</v>
      </c>
      <c r="K66" s="16">
        <v>7600.94</v>
      </c>
      <c r="L66" s="27">
        <f>VLOOKUP(A66,'סה"כ כ"ס'!$J$3:$W$179,14,FALSE)</f>
        <v>8356.19</v>
      </c>
      <c r="M66" s="16">
        <f>VLOOKUP(A66,'סה"כ כ"ס'!$J$3:$X$187,15,FALSE)</f>
        <v>9288.43</v>
      </c>
      <c r="N66" s="16">
        <f>VLOOKUP(A66,'סה"כ כ"ס'!$J$3:$Y$188,16,FALSE)</f>
        <v>10589.44</v>
      </c>
    </row>
    <row r="67" spans="1:14" x14ac:dyDescent="0.3">
      <c r="A67">
        <v>0</v>
      </c>
      <c r="B67" s="15">
        <v>193</v>
      </c>
      <c r="C67" s="15" t="s">
        <v>530</v>
      </c>
      <c r="D67" s="15" t="s">
        <v>531</v>
      </c>
      <c r="E67" s="16" t="s">
        <v>196</v>
      </c>
      <c r="F67" s="17">
        <v>1747</v>
      </c>
      <c r="G67" s="17">
        <v>393</v>
      </c>
      <c r="H67" s="17">
        <v>0</v>
      </c>
      <c r="I67" s="17">
        <v>0</v>
      </c>
      <c r="J67" s="17">
        <v>0</v>
      </c>
      <c r="K67" s="17"/>
      <c r="L67" s="27">
        <f>VLOOKUP(A67,'סה"כ כ"ס'!$J$3:$W$179,14,FALSE)</f>
        <v>0</v>
      </c>
      <c r="M67" s="17"/>
      <c r="N67" s="17">
        <f>VLOOKUP(A67,'סה"כ כ"ס'!$J$3:$Y$188,16,FALSE)</f>
        <v>0</v>
      </c>
    </row>
    <row r="68" spans="1:14" x14ac:dyDescent="0.3">
      <c r="A68">
        <v>1958</v>
      </c>
      <c r="B68" s="15">
        <v>195</v>
      </c>
      <c r="C68" s="15" t="s">
        <v>284</v>
      </c>
      <c r="D68" s="15" t="s">
        <v>188</v>
      </c>
      <c r="E68" s="16" t="s">
        <v>196</v>
      </c>
      <c r="F68" s="17">
        <v>0</v>
      </c>
      <c r="G68" s="17">
        <v>8036</v>
      </c>
      <c r="H68" s="17">
        <v>32589</v>
      </c>
      <c r="I68" s="17">
        <v>31825</v>
      </c>
      <c r="J68" s="17">
        <v>50353</v>
      </c>
      <c r="K68" s="16">
        <v>36904.230000000003</v>
      </c>
      <c r="L68" s="27">
        <f>VLOOKUP(A68,'סה"כ כ"ס'!$J$3:$W$179,14,FALSE)</f>
        <v>34455.800000000003</v>
      </c>
      <c r="M68" s="16">
        <f>VLOOKUP(A68,'סה"כ כ"ס'!$J$3:$X$187,15,FALSE)</f>
        <v>30788.62</v>
      </c>
      <c r="N68" s="16">
        <f>VLOOKUP(A68,'סה"כ כ"ס'!$J$3:$Y$188,16,FALSE)</f>
        <v>31507.75</v>
      </c>
    </row>
    <row r="69" spans="1:14" x14ac:dyDescent="0.3">
      <c r="A69">
        <v>0</v>
      </c>
      <c r="B69" s="15">
        <v>196</v>
      </c>
      <c r="C69" s="15" t="s">
        <v>532</v>
      </c>
      <c r="D69" s="15" t="s">
        <v>236</v>
      </c>
      <c r="E69" s="16" t="s">
        <v>196</v>
      </c>
      <c r="F69" s="17">
        <f>VLOOKUP(B69,גליון1!$A$11:$L$323,11,FALSE)</f>
        <v>0</v>
      </c>
      <c r="G69" s="17">
        <f>VLOOKUP(B69,גליון1!$A$11:$L$323,12,FALSE)</f>
        <v>4261</v>
      </c>
      <c r="H69" s="17">
        <f>VLOOKUP(B69,'השוואה חודשית 11.25 מול 10.25'!$A$4:$D$330,4,FALSE)</f>
        <v>4689</v>
      </c>
      <c r="I69" s="17">
        <v>0</v>
      </c>
      <c r="J69" s="17">
        <v>0</v>
      </c>
      <c r="K69" s="16"/>
      <c r="L69" s="27">
        <f>VLOOKUP(A69,'סה"כ כ"ס'!$J$3:$W$179,14,FALSE)</f>
        <v>0</v>
      </c>
      <c r="M69" s="16"/>
      <c r="N69" s="16">
        <f>VLOOKUP(A69,'סה"כ כ"ס'!$J$3:$Y$188,16,FALSE)</f>
        <v>0</v>
      </c>
    </row>
    <row r="70" spans="1:14" x14ac:dyDescent="0.3">
      <c r="A70">
        <v>1974</v>
      </c>
      <c r="B70" s="15">
        <v>197</v>
      </c>
      <c r="C70" s="15" t="s">
        <v>533</v>
      </c>
      <c r="D70" s="15" t="s">
        <v>534</v>
      </c>
      <c r="E70" s="16" t="s">
        <v>196</v>
      </c>
      <c r="F70" s="17">
        <v>0</v>
      </c>
      <c r="G70" s="17">
        <v>647</v>
      </c>
      <c r="H70" s="17">
        <v>5533</v>
      </c>
      <c r="I70" s="17">
        <v>2614</v>
      </c>
      <c r="J70" s="17">
        <v>0</v>
      </c>
      <c r="K70" s="17"/>
      <c r="L70" s="27">
        <f>VLOOKUP(A70,'סה"כ כ"ס'!$J$3:$W$179,14,FALSE)</f>
        <v>0</v>
      </c>
      <c r="M70" s="17"/>
      <c r="N70" s="17">
        <f>VLOOKUP(A70,'סה"כ כ"ס'!$J$3:$Y$188,16,FALSE)</f>
        <v>0</v>
      </c>
    </row>
    <row r="71" spans="1:14" x14ac:dyDescent="0.3">
      <c r="A71">
        <v>1990</v>
      </c>
      <c r="B71" s="15">
        <v>199</v>
      </c>
      <c r="C71" s="15" t="s">
        <v>535</v>
      </c>
      <c r="D71" s="15" t="s">
        <v>536</v>
      </c>
      <c r="E71" s="16" t="s">
        <v>196</v>
      </c>
      <c r="F71" s="17"/>
      <c r="G71" s="17"/>
      <c r="H71" s="17">
        <v>2434</v>
      </c>
      <c r="I71" s="17">
        <v>4997</v>
      </c>
      <c r="J71" s="17">
        <v>0</v>
      </c>
      <c r="K71" s="17"/>
      <c r="L71" s="27">
        <f>VLOOKUP(A71,'סה"כ כ"ס'!$J$3:$W$179,14,FALSE)</f>
        <v>0</v>
      </c>
      <c r="M71" s="17"/>
      <c r="N71" s="17">
        <f>VLOOKUP(A71,'סה"כ כ"ס'!$J$3:$Y$188,16,FALSE)</f>
        <v>0</v>
      </c>
    </row>
    <row r="72" spans="1:14" x14ac:dyDescent="0.3">
      <c r="A72">
        <v>2006</v>
      </c>
      <c r="B72" s="15">
        <v>200</v>
      </c>
      <c r="C72" s="15" t="s">
        <v>285</v>
      </c>
      <c r="D72" s="15" t="s">
        <v>286</v>
      </c>
      <c r="E72" s="16" t="s">
        <v>196</v>
      </c>
      <c r="F72" s="17"/>
      <c r="G72" s="17"/>
      <c r="H72" s="17">
        <v>3095</v>
      </c>
      <c r="I72" s="17">
        <v>5959</v>
      </c>
      <c r="J72" s="17">
        <v>6717</v>
      </c>
      <c r="K72" s="16">
        <v>7677.18</v>
      </c>
      <c r="L72" s="27">
        <f>VLOOKUP(A72,'סה"כ כ"ס'!$J$3:$W$179,14,FALSE)</f>
        <v>9168.51</v>
      </c>
      <c r="M72" s="16">
        <f>VLOOKUP(A72,'סה"כ כ"ס'!$J$3:$X$187,15,FALSE)</f>
        <v>9755.23</v>
      </c>
      <c r="N72" s="16">
        <f>VLOOKUP(A72,'סה"כ כ"ס'!$J$3:$Y$188,16,FALSE)</f>
        <v>15062.56</v>
      </c>
    </row>
    <row r="73" spans="1:14" x14ac:dyDescent="0.3">
      <c r="A73">
        <v>0</v>
      </c>
      <c r="B73" s="15">
        <v>201</v>
      </c>
      <c r="C73" s="15" t="s">
        <v>537</v>
      </c>
      <c r="D73" s="15" t="s">
        <v>538</v>
      </c>
      <c r="E73" s="16" t="s">
        <v>196</v>
      </c>
      <c r="F73" s="17"/>
      <c r="G73" s="17"/>
      <c r="H73" s="17">
        <f>VLOOKUP(B73,'השוואה חודשית 11.25 מול 10.25'!$A$4:$D$330,4,FALSE)</f>
        <v>199</v>
      </c>
      <c r="I73" s="17">
        <v>0</v>
      </c>
      <c r="J73" s="17">
        <v>0</v>
      </c>
      <c r="K73" s="16"/>
      <c r="L73" s="27">
        <f>VLOOKUP(A73,'סה"כ כ"ס'!$J$3:$W$179,14,FALSE)</f>
        <v>0</v>
      </c>
      <c r="M73" s="16"/>
      <c r="N73" s="16">
        <f>VLOOKUP(A73,'סה"כ כ"ס'!$J$3:$Y$188,16,FALSE)</f>
        <v>0</v>
      </c>
    </row>
    <row r="74" spans="1:14" x14ac:dyDescent="0.3">
      <c r="A74">
        <v>2030</v>
      </c>
      <c r="B74" s="15">
        <v>203</v>
      </c>
      <c r="C74" s="15" t="s">
        <v>287</v>
      </c>
      <c r="D74" s="15" t="s">
        <v>288</v>
      </c>
      <c r="E74" s="16" t="s">
        <v>196</v>
      </c>
      <c r="F74" s="17"/>
      <c r="G74" s="17"/>
      <c r="H74" s="17">
        <v>0</v>
      </c>
      <c r="I74" s="17">
        <v>2267</v>
      </c>
      <c r="J74" s="17">
        <v>5922</v>
      </c>
      <c r="K74" s="16">
        <v>5325.58</v>
      </c>
      <c r="L74" s="27">
        <f>VLOOKUP(A74,'סה"כ כ"ס'!$J$3:$W$179,14,FALSE)</f>
        <v>5562.67</v>
      </c>
      <c r="M74" s="16">
        <f>VLOOKUP(A74,'סה"כ כ"ס'!$J$3:$X$187,15,FALSE)</f>
        <v>8201.33</v>
      </c>
      <c r="N74" s="16">
        <f>VLOOKUP(A74,'סה"כ כ"ס'!$J$3:$Y$188,16,FALSE)</f>
        <v>10456.69</v>
      </c>
    </row>
    <row r="75" spans="1:14" x14ac:dyDescent="0.3">
      <c r="A75">
        <v>2071</v>
      </c>
      <c r="B75" s="15">
        <v>207</v>
      </c>
      <c r="C75" s="15" t="s">
        <v>289</v>
      </c>
      <c r="D75" s="15" t="s">
        <v>266</v>
      </c>
      <c r="E75" s="16" t="s">
        <v>196</v>
      </c>
      <c r="F75" s="17"/>
      <c r="G75" s="17"/>
      <c r="H75" s="17"/>
      <c r="I75" s="17">
        <v>0</v>
      </c>
      <c r="J75" s="17">
        <v>1665</v>
      </c>
      <c r="K75" s="16">
        <v>3658.25</v>
      </c>
      <c r="L75" s="27">
        <f>VLOOKUP(A75,'סה"כ כ"ס'!$J$3:$W$179,14,FALSE)</f>
        <v>4853.4799999999996</v>
      </c>
      <c r="M75" s="16">
        <f>VLOOKUP(A75,'סה"כ כ"ס'!$J$3:$X$187,15,FALSE)</f>
        <v>2168.5700000000002</v>
      </c>
      <c r="N75" s="16">
        <f>VLOOKUP(A75,'סה"כ כ"ס'!$J$3:$Y$188,16,FALSE)</f>
        <v>4377.6499999999996</v>
      </c>
    </row>
    <row r="76" spans="1:14" x14ac:dyDescent="0.3">
      <c r="A76">
        <v>2089</v>
      </c>
      <c r="B76" s="15">
        <v>208</v>
      </c>
      <c r="C76" s="15" t="s">
        <v>290</v>
      </c>
      <c r="D76" s="15" t="s">
        <v>283</v>
      </c>
      <c r="E76" s="16" t="s">
        <v>196</v>
      </c>
      <c r="F76" s="17"/>
      <c r="G76" s="17"/>
      <c r="H76" s="17"/>
      <c r="I76" s="17">
        <v>0</v>
      </c>
      <c r="J76" s="17">
        <v>6419</v>
      </c>
      <c r="K76" s="16">
        <v>6657.54</v>
      </c>
      <c r="L76" s="27">
        <f>VLOOKUP(A76,'סה"כ כ"ס'!$J$3:$W$179,14,FALSE)</f>
        <v>4219.2700000000004</v>
      </c>
      <c r="M76" s="16">
        <f>VLOOKUP(A76,'סה"כ כ"ס'!$J$3:$X$187,15,FALSE)</f>
        <v>14.08</v>
      </c>
      <c r="N76" s="16">
        <f>VLOOKUP(A76,'סה"כ כ"ס'!$J$3:$Y$188,16,FALSE)</f>
        <v>776.04</v>
      </c>
    </row>
    <row r="77" spans="1:14" x14ac:dyDescent="0.3">
      <c r="A77" s="306">
        <v>2121</v>
      </c>
      <c r="B77" s="15"/>
      <c r="C77" s="15" t="s">
        <v>539</v>
      </c>
      <c r="D77" s="15" t="s">
        <v>540</v>
      </c>
      <c r="E77" s="16" t="s">
        <v>196</v>
      </c>
      <c r="F77" s="17"/>
      <c r="G77" s="17"/>
      <c r="H77" s="17"/>
      <c r="I77" s="17"/>
      <c r="J77" s="17"/>
      <c r="K77" s="16">
        <v>5253.36</v>
      </c>
      <c r="L77" s="27">
        <v>5687.45</v>
      </c>
      <c r="M77" s="16">
        <f>VLOOKUP(A77,'סה"כ כ"ס'!$J$3:$X$187,15,FALSE)</f>
        <v>2910.94</v>
      </c>
      <c r="N77" s="16">
        <f>VLOOKUP(A77,'סה"כ כ"ס'!$J$3:$Y$188,16,FALSE)</f>
        <v>6249.49</v>
      </c>
    </row>
    <row r="78" spans="1:14" x14ac:dyDescent="0.3">
      <c r="A78" s="306">
        <v>2139</v>
      </c>
      <c r="B78" s="15"/>
      <c r="C78" s="15" t="s">
        <v>541</v>
      </c>
      <c r="D78" s="15" t="s">
        <v>542</v>
      </c>
      <c r="E78" s="16" t="s">
        <v>196</v>
      </c>
      <c r="F78" s="17"/>
      <c r="G78" s="17"/>
      <c r="H78" s="17"/>
      <c r="I78" s="17"/>
      <c r="J78" s="17"/>
      <c r="K78" s="16">
        <v>593.53</v>
      </c>
      <c r="L78" s="27">
        <v>1126.83</v>
      </c>
      <c r="M78" s="16">
        <f>VLOOKUP(A78,'סה"כ כ"ס'!$J$3:$X$187,15,FALSE)</f>
        <v>1100.4000000000001</v>
      </c>
      <c r="N78" s="16">
        <f>VLOOKUP(A78,'סה"כ כ"ס'!$J$3:$Y$188,16,FALSE)</f>
        <v>6415.9</v>
      </c>
    </row>
    <row r="79" spans="1:14" x14ac:dyDescent="0.3">
      <c r="A79">
        <v>125</v>
      </c>
      <c r="B79" s="15">
        <v>12</v>
      </c>
      <c r="C79" s="15" t="s">
        <v>324</v>
      </c>
      <c r="D79" s="15" t="s">
        <v>325</v>
      </c>
      <c r="E79" s="16" t="s">
        <v>196</v>
      </c>
      <c r="F79" s="17">
        <v>16297</v>
      </c>
      <c r="G79" s="17">
        <v>15357</v>
      </c>
      <c r="H79" s="17">
        <v>15423</v>
      </c>
      <c r="I79" s="17">
        <v>18879</v>
      </c>
      <c r="J79" s="17">
        <v>14087</v>
      </c>
      <c r="K79" s="16">
        <v>14381.12</v>
      </c>
      <c r="L79" s="27">
        <f>VLOOKUP(A79,'סה"כ כ"ס'!$J$3:$W$179,14,FALSE)</f>
        <v>13941.25</v>
      </c>
      <c r="M79" s="16">
        <f>VLOOKUP(A79,'סה"כ כ"ס'!$J$3:$X$187,15,FALSE)</f>
        <v>14531.4</v>
      </c>
      <c r="N79" s="16">
        <f>VLOOKUP(A79,'סה"כ כ"ס'!$J$3:$Y$188,16,FALSE)</f>
        <v>15996.45</v>
      </c>
    </row>
    <row r="80" spans="1:14" x14ac:dyDescent="0.3">
      <c r="A80">
        <v>0</v>
      </c>
      <c r="B80" s="15">
        <v>194</v>
      </c>
      <c r="C80" s="15" t="s">
        <v>223</v>
      </c>
      <c r="D80" s="15" t="s">
        <v>259</v>
      </c>
      <c r="E80" s="16" t="s">
        <v>196</v>
      </c>
      <c r="F80" s="17">
        <v>1503</v>
      </c>
      <c r="G80" s="17">
        <v>4194</v>
      </c>
      <c r="H80" s="17">
        <v>0</v>
      </c>
      <c r="I80" s="17">
        <v>0</v>
      </c>
      <c r="J80" s="17">
        <v>0</v>
      </c>
      <c r="K80" s="17"/>
      <c r="L80" s="27">
        <f>VLOOKUP(A80,'סה"כ כ"ס'!$J$3:$W$179,14,FALSE)</f>
        <v>0</v>
      </c>
      <c r="M80" s="17"/>
      <c r="N80" s="17">
        <f>VLOOKUP(A80,'סה"כ כ"ס'!$J$3:$Y$188,16,FALSE)</f>
        <v>0</v>
      </c>
    </row>
    <row r="81" spans="1:16" ht="14.5" x14ac:dyDescent="0.3">
      <c r="A81" s="304">
        <v>2154</v>
      </c>
      <c r="C81" s="305" t="s">
        <v>914</v>
      </c>
      <c r="D81" s="305" t="s">
        <v>166</v>
      </c>
      <c r="E81" s="16" t="s">
        <v>196</v>
      </c>
      <c r="F81" s="17"/>
      <c r="G81" s="17"/>
      <c r="H81" s="17"/>
      <c r="I81" s="17"/>
      <c r="J81" s="17"/>
      <c r="K81" s="17"/>
      <c r="L81" s="27">
        <f>VLOOKUP(A81,'סה"כ כ"ס'!$J$3:$W$179,14,FALSE)</f>
        <v>4639.5</v>
      </c>
      <c r="M81" s="17">
        <f>VLOOKUP(A81,'סה"כ כ"ס'!$J$3:$X$187,15,FALSE)</f>
        <v>9294.6</v>
      </c>
      <c r="N81" s="17">
        <f>VLOOKUP(A81,'סה"כ כ"ס'!$J$3:$Y$188,16,FALSE)</f>
        <v>9283.1200000000008</v>
      </c>
    </row>
    <row r="82" spans="1:16" x14ac:dyDescent="0.3">
      <c r="A82">
        <v>18</v>
      </c>
      <c r="B82" s="15">
        <v>1</v>
      </c>
      <c r="C82" s="117" t="s">
        <v>396</v>
      </c>
      <c r="D82" s="117" t="s">
        <v>397</v>
      </c>
      <c r="E82" s="118" t="s">
        <v>196</v>
      </c>
      <c r="F82" s="119">
        <f>42645*0.2</f>
        <v>8529</v>
      </c>
      <c r="G82" s="119">
        <f>43584*0.2</f>
        <v>8716.8000000000011</v>
      </c>
      <c r="H82" s="119">
        <f>39530*0.2</f>
        <v>7906</v>
      </c>
      <c r="I82" s="119">
        <f>39530*0.2</f>
        <v>7906</v>
      </c>
      <c r="J82" s="119">
        <f>39530*0.2</f>
        <v>7906</v>
      </c>
      <c r="K82" s="118">
        <f>39524.68*P82</f>
        <v>7904.9360000000006</v>
      </c>
      <c r="L82" s="27">
        <f>VLOOKUP(A82,'סה"כ כ"ס'!$J$3:$W$179,14,FALSE)*0.2</f>
        <v>7904.9360000000006</v>
      </c>
      <c r="M82" s="337">
        <f>(VLOOKUP(A82,'סה"כ כ"ס'!$J$3:$X$187,15,FALSE))*P82</f>
        <v>8283.4940000000006</v>
      </c>
      <c r="N82" s="337">
        <f>VLOOKUP(A82,'סה"כ כ"ס'!$J$3:$Y$188,16,FALSE)*P82</f>
        <v>8031.9820000000009</v>
      </c>
      <c r="P82" s="121">
        <v>0.2</v>
      </c>
    </row>
    <row r="83" spans="1:16" x14ac:dyDescent="0.3">
      <c r="A83" s="315">
        <v>2220</v>
      </c>
      <c r="C83" s="316" t="s">
        <v>933</v>
      </c>
      <c r="D83" s="316" t="s">
        <v>934</v>
      </c>
      <c r="E83" s="16" t="s">
        <v>196</v>
      </c>
      <c r="F83" s="119"/>
      <c r="G83" s="119"/>
      <c r="H83" s="119"/>
      <c r="I83" s="119"/>
      <c r="J83" s="119"/>
      <c r="K83" s="118"/>
      <c r="L83" s="27"/>
      <c r="M83" s="118">
        <f>VLOOKUP(A83,'סה"כ כ"ס'!$J$3:$X$187,15,FALSE)</f>
        <v>11410.35</v>
      </c>
      <c r="N83" s="118">
        <f>VLOOKUP(A83,'סה"כ כ"ס'!$J$3:$Y$188,16,FALSE)</f>
        <v>11398.87</v>
      </c>
      <c r="P83" s="121"/>
    </row>
    <row r="84" spans="1:16" x14ac:dyDescent="0.3">
      <c r="A84" s="315">
        <v>2212</v>
      </c>
      <c r="C84" s="316" t="s">
        <v>935</v>
      </c>
      <c r="D84" s="316" t="s">
        <v>389</v>
      </c>
      <c r="E84" s="16" t="s">
        <v>196</v>
      </c>
      <c r="F84" s="119"/>
      <c r="G84" s="119"/>
      <c r="H84" s="119"/>
      <c r="I84" s="119"/>
      <c r="J84" s="119"/>
      <c r="K84" s="118"/>
      <c r="L84" s="27"/>
      <c r="M84" s="118">
        <f>VLOOKUP(A84,'סה"כ כ"ס'!$J$3:$X$187,15,FALSE)</f>
        <v>9439.32</v>
      </c>
      <c r="N84" s="118">
        <f>VLOOKUP(A84,'סה"כ כ"ס'!$J$3:$Y$188,16,FALSE)</f>
        <v>11398.87</v>
      </c>
      <c r="P84" s="121"/>
    </row>
    <row r="85" spans="1:16" x14ac:dyDescent="0.3">
      <c r="A85" s="315">
        <v>2162</v>
      </c>
      <c r="C85" s="316" t="s">
        <v>936</v>
      </c>
      <c r="D85" s="317" t="s">
        <v>316</v>
      </c>
      <c r="E85" s="16" t="s">
        <v>196</v>
      </c>
      <c r="F85" s="119"/>
      <c r="G85" s="119"/>
      <c r="H85" s="119"/>
      <c r="I85" s="119"/>
      <c r="J85" s="119"/>
      <c r="K85" s="118"/>
      <c r="L85" s="27"/>
      <c r="M85" s="118">
        <f>VLOOKUP(A85,'סה"כ כ"ס'!$J$3:$X$187,15,FALSE)</f>
        <v>9439.32</v>
      </c>
      <c r="N85" s="118">
        <f>VLOOKUP(A85,'סה"כ כ"ס'!$J$3:$Y$188,16,FALSE)</f>
        <v>11453.17</v>
      </c>
      <c r="P85" s="121"/>
    </row>
    <row r="86" spans="1:16" x14ac:dyDescent="0.3">
      <c r="A86" s="315">
        <v>2188</v>
      </c>
      <c r="C86" s="316" t="s">
        <v>937</v>
      </c>
      <c r="D86" s="317" t="s">
        <v>938</v>
      </c>
      <c r="E86" s="16" t="s">
        <v>196</v>
      </c>
      <c r="F86" s="119"/>
      <c r="G86" s="119"/>
      <c r="H86" s="119"/>
      <c r="I86" s="119"/>
      <c r="J86" s="119"/>
      <c r="K86" s="118"/>
      <c r="L86" s="27"/>
      <c r="M86" s="118">
        <f>VLOOKUP(A86,'סה"כ כ"ס'!$J$3:$X$187,15,FALSE)</f>
        <v>9439.32</v>
      </c>
      <c r="N86" s="118">
        <f>VLOOKUP(A86,'סה"כ כ"ס'!$J$3:$Y$188,16,FALSE)</f>
        <v>11398.87</v>
      </c>
      <c r="P86" s="121"/>
    </row>
    <row r="87" spans="1:16" x14ac:dyDescent="0.3">
      <c r="A87" s="315">
        <v>2196</v>
      </c>
      <c r="C87" s="316" t="s">
        <v>939</v>
      </c>
      <c r="D87" s="317" t="s">
        <v>940</v>
      </c>
      <c r="E87" s="16" t="s">
        <v>196</v>
      </c>
      <c r="F87" s="119"/>
      <c r="G87" s="119"/>
      <c r="H87" s="119"/>
      <c r="I87" s="119"/>
      <c r="J87" s="119"/>
      <c r="K87" s="118"/>
      <c r="L87" s="27"/>
      <c r="M87" s="118">
        <f>VLOOKUP(A87,'סה"כ כ"ס'!$J$3:$X$187,15,FALSE)</f>
        <v>9439.32</v>
      </c>
      <c r="N87" s="118">
        <f>VLOOKUP(A87,'סה"כ כ"ס'!$J$3:$Y$188,16,FALSE)</f>
        <v>11398.87</v>
      </c>
      <c r="P87" s="121"/>
    </row>
    <row r="88" spans="1:16" x14ac:dyDescent="0.3">
      <c r="A88" s="315">
        <v>2204</v>
      </c>
      <c r="C88" s="316" t="s">
        <v>341</v>
      </c>
      <c r="D88" s="317" t="s">
        <v>168</v>
      </c>
      <c r="E88" s="16" t="s">
        <v>196</v>
      </c>
      <c r="F88" s="119"/>
      <c r="G88" s="119"/>
      <c r="H88" s="119"/>
      <c r="I88" s="119"/>
      <c r="J88" s="119"/>
      <c r="K88" s="118"/>
      <c r="L88" s="27"/>
      <c r="M88" s="118">
        <f>VLOOKUP(A88,'סה"כ כ"ס'!$J$3:$X$187,15,FALSE)</f>
        <v>8365.4500000000007</v>
      </c>
      <c r="N88" s="118">
        <f>VLOOKUP(A88,'סה"כ כ"ס'!$J$3:$Y$188,16,FALSE)</f>
        <v>11398.87</v>
      </c>
      <c r="P88" s="121"/>
    </row>
    <row r="89" spans="1:16" x14ac:dyDescent="0.3">
      <c r="A89" s="315">
        <v>2238</v>
      </c>
      <c r="C89" s="316" t="s">
        <v>941</v>
      </c>
      <c r="D89" s="316" t="s">
        <v>374</v>
      </c>
      <c r="E89" s="16" t="s">
        <v>196</v>
      </c>
      <c r="F89" s="119"/>
      <c r="G89" s="119"/>
      <c r="H89" s="119"/>
      <c r="I89" s="119"/>
      <c r="J89" s="119"/>
      <c r="K89" s="118"/>
      <c r="L89" s="27"/>
      <c r="M89" s="118">
        <f>VLOOKUP(A89,'סה"כ כ"ס'!$J$3:$X$187,15,FALSE)</f>
        <v>4179.75</v>
      </c>
      <c r="N89" s="118">
        <f>VLOOKUP(A89,'סה"כ כ"ס'!$J$3:$Y$188,16,FALSE)</f>
        <v>13530.85</v>
      </c>
      <c r="P89" s="121"/>
    </row>
    <row r="90" spans="1:16" x14ac:dyDescent="0.3">
      <c r="A90" s="315">
        <v>2170</v>
      </c>
      <c r="C90" s="316" t="s">
        <v>942</v>
      </c>
      <c r="D90" s="317" t="s">
        <v>943</v>
      </c>
      <c r="E90" s="16" t="s">
        <v>196</v>
      </c>
      <c r="F90" s="119"/>
      <c r="G90" s="119"/>
      <c r="H90" s="119"/>
      <c r="I90" s="119"/>
      <c r="J90" s="119"/>
      <c r="K90" s="118"/>
      <c r="L90" s="27"/>
      <c r="M90" s="118">
        <f>VLOOKUP(A90,'סה"כ כ"ס'!$J$3:$X$187,15,FALSE)</f>
        <v>11410.35</v>
      </c>
      <c r="N90" s="118">
        <f>VLOOKUP(A90,'סה"כ כ"ס'!$J$3:$Y$188,16,FALSE)</f>
        <v>15570.13</v>
      </c>
      <c r="P90" s="121"/>
    </row>
    <row r="91" spans="1:16" x14ac:dyDescent="0.3">
      <c r="B91" s="15"/>
      <c r="C91" s="117"/>
      <c r="D91" s="117"/>
      <c r="E91" s="118"/>
      <c r="F91" s="119"/>
      <c r="G91" s="119"/>
      <c r="H91" s="119"/>
      <c r="I91" s="119"/>
      <c r="J91" s="119"/>
      <c r="K91" s="118"/>
      <c r="L91" s="27"/>
      <c r="M91" s="118"/>
      <c r="N91" s="118">
        <f>VLOOKUP(A91,'סה"כ כ"ס'!$J$3:$Y$188,16,FALSE)</f>
        <v>0</v>
      </c>
      <c r="P91" s="121"/>
    </row>
    <row r="92" spans="1:16" ht="14.5" thickBot="1" x14ac:dyDescent="0.35">
      <c r="B92" s="15"/>
      <c r="C92" s="117"/>
      <c r="D92" s="117"/>
      <c r="E92" s="118"/>
      <c r="F92" s="119"/>
      <c r="G92" s="119"/>
      <c r="H92" s="119"/>
      <c r="I92" s="119"/>
      <c r="J92" s="119"/>
      <c r="K92" s="118"/>
      <c r="L92" s="27"/>
      <c r="M92" s="118"/>
      <c r="N92" s="118"/>
      <c r="P92" s="121"/>
    </row>
    <row r="93" spans="1:16" ht="14.5" thickTop="1" x14ac:dyDescent="0.3">
      <c r="F93" s="115">
        <f>SUM(F2:F82)</f>
        <v>842877</v>
      </c>
      <c r="G93" s="115">
        <f>SUM(G2:G82)</f>
        <v>884742.8</v>
      </c>
      <c r="H93" s="115">
        <f>SUM(H2:H82)</f>
        <v>985489</v>
      </c>
      <c r="I93" s="115">
        <f>SUM(I2:I82)</f>
        <v>840565</v>
      </c>
      <c r="J93" s="115">
        <f>SUM(J2:J82)</f>
        <v>1019607</v>
      </c>
      <c r="K93" s="115">
        <f>SUM(K2:K92)</f>
        <v>848452.22699999984</v>
      </c>
      <c r="L93" s="115">
        <f t="shared" ref="L93:M93" si="0">SUM(L2:L92)</f>
        <v>799430.49200000009</v>
      </c>
      <c r="M93" s="115">
        <f t="shared" si="0"/>
        <v>903778.99699999939</v>
      </c>
      <c r="N93" s="115">
        <f>SUM(N2:N92)</f>
        <v>1104122.6270000001</v>
      </c>
    </row>
    <row r="94" spans="1:16" x14ac:dyDescent="0.3">
      <c r="B94" s="15"/>
      <c r="C94" s="117"/>
      <c r="D94" s="117"/>
      <c r="E94" s="118"/>
      <c r="F94" s="119"/>
      <c r="G94" s="119"/>
      <c r="H94" s="119"/>
      <c r="I94" s="119"/>
      <c r="J94" s="119"/>
      <c r="K94" s="118"/>
      <c r="L94" s="121"/>
      <c r="M94" s="118"/>
    </row>
    <row r="96" spans="1:16" x14ac:dyDescent="0.3">
      <c r="B96" t="s">
        <v>440</v>
      </c>
      <c r="C96" s="31"/>
      <c r="D96" s="31"/>
      <c r="E96" s="31"/>
      <c r="F96" s="31">
        <f>+F93-F97</f>
        <v>429736</v>
      </c>
      <c r="G96" s="31">
        <f t="shared" ref="G96:L96" si="1">+G93-G97</f>
        <v>432916.00000000006</v>
      </c>
      <c r="H96" s="31">
        <f t="shared" si="1"/>
        <v>562197</v>
      </c>
      <c r="I96" s="31">
        <f t="shared" si="1"/>
        <v>434191</v>
      </c>
      <c r="J96" s="31">
        <f t="shared" si="1"/>
        <v>486971</v>
      </c>
      <c r="K96" s="31">
        <f t="shared" si="1"/>
        <v>418556.19099999976</v>
      </c>
      <c r="L96" s="31">
        <f t="shared" si="1"/>
        <v>410150.88600000017</v>
      </c>
      <c r="M96" s="31">
        <f t="shared" ref="M96:N96" si="2">+M93-M97</f>
        <v>439172.35299999942</v>
      </c>
      <c r="N96" s="31">
        <f t="shared" si="2"/>
        <v>558265.755</v>
      </c>
    </row>
    <row r="97" spans="2:14" x14ac:dyDescent="0.3">
      <c r="B97" t="s">
        <v>441</v>
      </c>
      <c r="C97" s="41"/>
      <c r="D97" s="41"/>
      <c r="E97" s="41"/>
      <c r="F97" s="41">
        <f>SUM(F2:F20,F22,F27,F45,F82)</f>
        <v>413141</v>
      </c>
      <c r="G97" s="41">
        <f t="shared" ref="G97:L97" si="3">SUM(G2:G20,G22,G27,G45,G82)</f>
        <v>451826.8</v>
      </c>
      <c r="H97" s="41">
        <f t="shared" si="3"/>
        <v>423292</v>
      </c>
      <c r="I97" s="41">
        <f t="shared" si="3"/>
        <v>406374</v>
      </c>
      <c r="J97" s="41">
        <f t="shared" si="3"/>
        <v>532636</v>
      </c>
      <c r="K97" s="41">
        <f t="shared" si="3"/>
        <v>429896.03600000008</v>
      </c>
      <c r="L97" s="41">
        <f t="shared" si="3"/>
        <v>389279.60599999991</v>
      </c>
      <c r="M97" s="41">
        <f>SUM(M2:M20,M22:M26,M27,M45,M82)</f>
        <v>464606.64399999997</v>
      </c>
      <c r="N97" s="41">
        <f>SUM(N2:N20,N22:N26,N27,N45,N82)</f>
        <v>545856.87200000009</v>
      </c>
    </row>
  </sheetData>
  <autoFilter ref="A1:P93" xr:uid="{DBA708E7-373B-44A7-89A3-9BA248D562E3}"/>
  <conditionalFormatting sqref="A77">
    <cfRule type="duplicateValues" dxfId="18" priority="2"/>
  </conditionalFormatting>
  <conditionalFormatting sqref="A78">
    <cfRule type="duplicateValues" dxfId="17" priority="1"/>
  </conditionalFormatting>
  <conditionalFormatting sqref="A81">
    <cfRule type="duplicateValues" dxfId="16" priority="4"/>
  </conditionalFormatting>
  <conditionalFormatting sqref="A83:A90">
    <cfRule type="duplicateValues" dxfId="15" priority="3"/>
  </conditionalFormatting>
  <conditionalFormatting sqref="C45">
    <cfRule type="duplicateValues" dxfId="14" priority="6"/>
  </conditionalFormatting>
  <conditionalFormatting sqref="C52:C68 C94 C29:C44 C1:C27 C70:C72 C46:C50 C74:C80 C82 C91:C92">
    <cfRule type="duplicateValues" dxfId="13" priority="13"/>
  </conditionalFormatting>
  <conditionalFormatting sqref="C69">
    <cfRule type="duplicateValues" dxfId="12" priority="7"/>
  </conditionalFormatting>
  <conditionalFormatting sqref="C73">
    <cfRule type="duplicateValues" dxfId="11" priority="5"/>
  </conditionalFormatting>
  <conditionalFormatting sqref="D28">
    <cfRule type="duplicateValues" dxfId="10" priority="9"/>
  </conditionalFormatting>
  <conditionalFormatting sqref="D51">
    <cfRule type="duplicateValues" dxfId="9" priority="8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91EC-C380-4BF2-A466-753BB6428C07}">
  <sheetPr>
    <tabColor rgb="FF00B050"/>
  </sheetPr>
  <dimension ref="A1:N21"/>
  <sheetViews>
    <sheetView rightToLeft="1" topLeftCell="A18" workbookViewId="0">
      <selection activeCell="A27" sqref="A27:XFD1048576"/>
    </sheetView>
  </sheetViews>
  <sheetFormatPr defaultRowHeight="14" x14ac:dyDescent="0.3"/>
  <cols>
    <col min="12" max="13" width="9.83203125" bestFit="1" customWidth="1"/>
  </cols>
  <sheetData>
    <row r="1" spans="1:14" ht="28" x14ac:dyDescent="0.3">
      <c r="A1" s="303" t="s">
        <v>909</v>
      </c>
      <c r="B1" s="12" t="s">
        <v>499</v>
      </c>
      <c r="C1" s="12" t="s">
        <v>82</v>
      </c>
      <c r="D1" s="12" t="s">
        <v>83</v>
      </c>
      <c r="E1" s="12" t="s">
        <v>192</v>
      </c>
      <c r="F1" s="12">
        <v>8.25</v>
      </c>
      <c r="G1" s="12">
        <v>9.25</v>
      </c>
      <c r="H1" s="12">
        <v>10.25</v>
      </c>
      <c r="I1" s="12">
        <v>11.25</v>
      </c>
      <c r="J1" s="12">
        <v>12.25</v>
      </c>
      <c r="K1" s="12">
        <v>1.26</v>
      </c>
      <c r="L1" s="12">
        <v>2.2599999999999998</v>
      </c>
      <c r="M1" s="12">
        <v>3.26</v>
      </c>
      <c r="N1" s="12">
        <v>4.26</v>
      </c>
    </row>
    <row r="2" spans="1:14" x14ac:dyDescent="0.3">
      <c r="A2">
        <f>SUMIF('סה"כ כ"ס'!K:K,'נתוני כ"ס - נוירו '!B2,'סה"כ כ"ס'!J:J)</f>
        <v>109</v>
      </c>
      <c r="B2" s="15">
        <v>10</v>
      </c>
      <c r="C2" s="15" t="s">
        <v>320</v>
      </c>
      <c r="D2" s="15" t="s">
        <v>165</v>
      </c>
      <c r="E2" s="19" t="s">
        <v>321</v>
      </c>
      <c r="F2" s="17">
        <v>16047</v>
      </c>
      <c r="G2" s="17">
        <v>16208</v>
      </c>
      <c r="H2" s="17">
        <v>16607</v>
      </c>
      <c r="I2" s="17">
        <v>19234</v>
      </c>
      <c r="J2" s="17">
        <v>17555</v>
      </c>
      <c r="K2" s="19">
        <v>21170.080000000002</v>
      </c>
      <c r="L2" s="27">
        <f>VLOOKUP(A2,'סה"כ כ"ס'!$J$3:$W$179,14,FALSE)</f>
        <v>20997.72</v>
      </c>
      <c r="M2" s="27">
        <f>VLOOKUP(A2,'סה"כ כ"ס'!$J$3:$X$187,15,FALSE)</f>
        <v>21116.59</v>
      </c>
      <c r="N2" s="27">
        <f>VLOOKUP(A2,'סה"כ כ"ס'!$J$3:$Y$188,16,FALSE)</f>
        <v>21489.83</v>
      </c>
    </row>
    <row r="3" spans="1:14" x14ac:dyDescent="0.3">
      <c r="A3">
        <f>SUMIF('סה"כ כ"ס'!K:K,'נתוני כ"ס - נוירו '!B3,'סה"כ כ"ס'!J:J)</f>
        <v>117</v>
      </c>
      <c r="B3" s="15">
        <v>11</v>
      </c>
      <c r="C3" s="15" t="s">
        <v>322</v>
      </c>
      <c r="D3" s="15" t="s">
        <v>323</v>
      </c>
      <c r="E3" s="19" t="s">
        <v>321</v>
      </c>
      <c r="F3" s="17">
        <v>21662</v>
      </c>
      <c r="G3" s="17">
        <v>21660</v>
      </c>
      <c r="H3" s="17">
        <v>21630</v>
      </c>
      <c r="I3" s="17">
        <v>24971</v>
      </c>
      <c r="J3" s="17">
        <v>21759</v>
      </c>
      <c r="K3" s="19">
        <v>22221.9</v>
      </c>
      <c r="L3" s="27">
        <f>VLOOKUP(A3,'סה"כ כ"ס'!$J$3:$W$179,14,FALSE)</f>
        <v>22221.9</v>
      </c>
      <c r="M3" s="27">
        <f>VLOOKUP(A3,'סה"כ כ"ס'!$J$3:$X$187,15,FALSE)</f>
        <v>22238.32</v>
      </c>
      <c r="N3" s="27">
        <f>VLOOKUP(A3,'סה"כ כ"ס'!$J$3:$Y$188,16,FALSE)</f>
        <v>22215.35</v>
      </c>
    </row>
    <row r="4" spans="1:14" x14ac:dyDescent="0.3">
      <c r="A4">
        <f>SUMIF('סה"כ כ"ס'!K:K,'נתוני כ"ס - נוירו '!B4,'סה"כ כ"ס'!J:J)</f>
        <v>158</v>
      </c>
      <c r="B4" s="15">
        <v>15</v>
      </c>
      <c r="C4" s="15" t="s">
        <v>326</v>
      </c>
      <c r="D4" s="15" t="s">
        <v>327</v>
      </c>
      <c r="E4" s="19" t="s">
        <v>321</v>
      </c>
      <c r="F4" s="17">
        <v>6105</v>
      </c>
      <c r="G4" s="17">
        <v>13942</v>
      </c>
      <c r="H4" s="17">
        <v>13587</v>
      </c>
      <c r="I4" s="17">
        <v>17632</v>
      </c>
      <c r="J4" s="17">
        <v>15170</v>
      </c>
      <c r="K4" s="19">
        <v>14595.74</v>
      </c>
      <c r="L4" s="27">
        <f>VLOOKUP(A4,'סה"כ כ"ס'!$J$3:$W$179,14,FALSE)</f>
        <v>15532.81</v>
      </c>
      <c r="M4" s="27">
        <f>VLOOKUP(A4,'סה"כ כ"ס'!$J$3:$X$187,15,FALSE)</f>
        <v>13992.85</v>
      </c>
      <c r="N4" s="27">
        <f>VLOOKUP(A4,'סה"כ כ"ס'!$J$3:$Y$188,16,FALSE)</f>
        <v>13947.24</v>
      </c>
    </row>
    <row r="5" spans="1:14" x14ac:dyDescent="0.3">
      <c r="A5">
        <f>SUMIF('סה"כ כ"ס'!K:K,'נתוני כ"ס - נוירו '!B5,'סה"כ כ"ס'!J:J)</f>
        <v>1404</v>
      </c>
      <c r="B5" s="15">
        <v>140</v>
      </c>
      <c r="C5" s="15" t="s">
        <v>328</v>
      </c>
      <c r="D5" s="15" t="s">
        <v>172</v>
      </c>
      <c r="E5" s="19" t="s">
        <v>321</v>
      </c>
      <c r="F5" s="17">
        <v>7508</v>
      </c>
      <c r="G5" s="17">
        <v>7447</v>
      </c>
      <c r="H5" s="17">
        <v>16976</v>
      </c>
      <c r="I5" s="17">
        <v>11906</v>
      </c>
      <c r="J5" s="17">
        <v>11822</v>
      </c>
      <c r="K5" s="19">
        <v>11892.4</v>
      </c>
      <c r="L5" s="27">
        <f>VLOOKUP(A5,'סה"כ כ"ס'!$J$3:$W$179,14,FALSE)</f>
        <v>9751.5499999999993</v>
      </c>
      <c r="M5" s="27">
        <f>VLOOKUP(A5,'סה"כ כ"ס'!$J$3:$X$187,15,FALSE)</f>
        <v>7149.04</v>
      </c>
      <c r="N5" s="27">
        <f>VLOOKUP(A5,'סה"כ כ"ס'!$J$3:$Y$188,16,FALSE)</f>
        <v>11024.89</v>
      </c>
    </row>
    <row r="6" spans="1:14" x14ac:dyDescent="0.3">
      <c r="A6">
        <f>SUMIF('סה"כ כ"ס'!K:K,'נתוני כ"ס - נוירו '!B6,'סה"כ כ"ס'!J:J)</f>
        <v>1495</v>
      </c>
      <c r="B6" s="15">
        <v>149</v>
      </c>
      <c r="C6" s="15" t="s">
        <v>329</v>
      </c>
      <c r="D6" s="15" t="s">
        <v>330</v>
      </c>
      <c r="E6" s="19" t="s">
        <v>321</v>
      </c>
      <c r="F6" s="17">
        <v>16777</v>
      </c>
      <c r="G6" s="17">
        <v>10345</v>
      </c>
      <c r="H6" s="17">
        <v>11020</v>
      </c>
      <c r="I6" s="17">
        <v>13326</v>
      </c>
      <c r="J6" s="17">
        <v>13188</v>
      </c>
      <c r="K6" s="19">
        <v>12360.96</v>
      </c>
      <c r="L6" s="27">
        <f>VLOOKUP(A6,'סה"כ כ"ס'!$J$3:$W$179,14,FALSE)</f>
        <v>11695.8</v>
      </c>
      <c r="M6" s="27">
        <f>VLOOKUP(A6,'סה"כ כ"ס'!$J$3:$X$187,15,FALSE)</f>
        <v>9994.35</v>
      </c>
      <c r="N6" s="27">
        <f>VLOOKUP(A6,'סה"כ כ"ס'!$J$3:$Y$188,16,FALSE)</f>
        <v>10813.15</v>
      </c>
    </row>
    <row r="7" spans="1:14" x14ac:dyDescent="0.3">
      <c r="A7">
        <f>SUMIF('סה"כ כ"ס'!K:K,'נתוני כ"ס - נוירו '!B7,'סה"כ כ"ס'!J:J)</f>
        <v>2022</v>
      </c>
      <c r="B7" s="15">
        <v>202</v>
      </c>
      <c r="C7" s="15" t="s">
        <v>331</v>
      </c>
      <c r="D7" s="15" t="s">
        <v>332</v>
      </c>
      <c r="E7" s="19" t="s">
        <v>321</v>
      </c>
      <c r="F7" s="17"/>
      <c r="G7" s="17"/>
      <c r="H7" s="17">
        <v>0</v>
      </c>
      <c r="I7" s="17">
        <v>4506</v>
      </c>
      <c r="J7" s="17">
        <v>6757</v>
      </c>
      <c r="K7" s="19">
        <v>5328.73</v>
      </c>
      <c r="L7" s="27">
        <f>VLOOKUP(A7,'סה"כ כ"ס'!$J$3:$W$179,14,FALSE)</f>
        <v>6259.1</v>
      </c>
      <c r="M7" s="27">
        <f>VLOOKUP(A7,'סה"כ כ"ס'!$J$3:$X$187,15,FALSE)</f>
        <v>6663.12</v>
      </c>
      <c r="N7" s="27">
        <f>VLOOKUP(A7,'סה"כ כ"ס'!$J$3:$Y$188,16,FALSE)</f>
        <v>6663.91</v>
      </c>
    </row>
    <row r="8" spans="1:14" x14ac:dyDescent="0.3">
      <c r="A8">
        <f>SUMIF('סה"כ כ"ס'!K:K,'נתוני כ"ס - נוירו '!B8,'סה"כ כ"ס'!J:J)</f>
        <v>2048</v>
      </c>
      <c r="B8" s="15">
        <v>204</v>
      </c>
      <c r="C8" s="15" t="s">
        <v>333</v>
      </c>
      <c r="D8" s="15" t="s">
        <v>234</v>
      </c>
      <c r="E8" s="19" t="s">
        <v>321</v>
      </c>
      <c r="F8" s="17"/>
      <c r="G8" s="17"/>
      <c r="H8" s="17"/>
      <c r="I8" s="17">
        <v>0</v>
      </c>
      <c r="J8" s="17">
        <v>3363</v>
      </c>
      <c r="K8" s="19">
        <v>6802.38</v>
      </c>
      <c r="L8" s="27">
        <f>VLOOKUP(A8,'סה"כ כ"ס'!$J$3:$W$179,14,FALSE)</f>
        <v>10033.950000000001</v>
      </c>
      <c r="M8" s="27">
        <f>VLOOKUP(A8,'סה"כ כ"ס'!$J$3:$X$187,15,FALSE)</f>
        <v>3353.86</v>
      </c>
      <c r="N8" s="27">
        <f>VLOOKUP(A8,'סה"כ כ"ס'!$J$3:$Y$188,16,FALSE)</f>
        <v>7592.28</v>
      </c>
    </row>
    <row r="9" spans="1:14" x14ac:dyDescent="0.3">
      <c r="A9">
        <f>SUMIF('סה"כ כ"ס'!K:K,'נתוני כ"ס - נוירו '!B9,'סה"כ כ"ס'!J:J)</f>
        <v>2055</v>
      </c>
      <c r="B9" s="15">
        <v>205</v>
      </c>
      <c r="C9" s="15" t="s">
        <v>334</v>
      </c>
      <c r="D9" s="15" t="s">
        <v>335</v>
      </c>
      <c r="E9" s="19" t="s">
        <v>321</v>
      </c>
      <c r="F9" s="17"/>
      <c r="G9" s="17"/>
      <c r="H9" s="17"/>
      <c r="I9" s="17">
        <v>0</v>
      </c>
      <c r="J9" s="17">
        <v>4347</v>
      </c>
      <c r="K9" s="19">
        <v>6178.51</v>
      </c>
      <c r="L9" s="27">
        <f>VLOOKUP(A9,'סה"כ כ"ס'!$J$3:$W$179,14,FALSE)</f>
        <v>3267.35</v>
      </c>
      <c r="M9" s="27">
        <f>VLOOKUP(A9,'סה"כ כ"ס'!$J$3:$X$187,15,FALSE)</f>
        <v>6203.88</v>
      </c>
      <c r="N9" s="27">
        <f>VLOOKUP(A9,'סה"כ כ"ס'!$J$3:$Y$188,16,FALSE)</f>
        <v>6780.97</v>
      </c>
    </row>
    <row r="10" spans="1:14" x14ac:dyDescent="0.3">
      <c r="A10">
        <f>SUMIF('סה"כ כ"ס'!K:K,'נתוני כ"ס - נוירו '!B10,'סה"כ כ"ס'!J:J)</f>
        <v>83</v>
      </c>
      <c r="B10" s="15">
        <v>8</v>
      </c>
      <c r="C10" s="29" t="s">
        <v>336</v>
      </c>
      <c r="D10" s="29" t="s">
        <v>337</v>
      </c>
      <c r="E10" s="19" t="s">
        <v>321</v>
      </c>
      <c r="F10" s="17">
        <v>6648</v>
      </c>
      <c r="G10" s="17">
        <v>6648</v>
      </c>
      <c r="H10" s="17">
        <v>6648</v>
      </c>
      <c r="I10" s="17">
        <v>6648</v>
      </c>
      <c r="J10" s="17">
        <v>6648</v>
      </c>
      <c r="K10" s="19">
        <v>6648.4</v>
      </c>
      <c r="L10" s="319">
        <f>VLOOKUP(A10,'סה"כ כ"ס'!$J$3:$W$179,14,FALSE)</f>
        <v>6648.4</v>
      </c>
      <c r="M10" s="319">
        <f>VLOOKUP(A10,'סה"כ כ"ס'!$J$3:$X$187,15,FALSE)</f>
        <v>10418.93</v>
      </c>
      <c r="N10" s="319">
        <f>VLOOKUP(A10,'סה"כ כ"ס'!$J$3:$Y$188,16,FALSE)</f>
        <v>7334.66</v>
      </c>
    </row>
    <row r="11" spans="1:14" x14ac:dyDescent="0.3">
      <c r="A11">
        <f>SUMIF('סה"כ כ"ס'!K:K,'נתוני כ"ס - נוירו '!B11,'סה"כ כ"ס'!J:J)</f>
        <v>91</v>
      </c>
      <c r="B11" s="15">
        <v>9</v>
      </c>
      <c r="C11" s="29" t="s">
        <v>338</v>
      </c>
      <c r="D11" s="29" t="s">
        <v>337</v>
      </c>
      <c r="E11" s="19" t="s">
        <v>321</v>
      </c>
      <c r="F11" s="17">
        <v>38632</v>
      </c>
      <c r="G11" s="17">
        <v>38632</v>
      </c>
      <c r="H11" s="17">
        <v>38643</v>
      </c>
      <c r="I11" s="17">
        <v>38632</v>
      </c>
      <c r="J11" s="17">
        <v>38632</v>
      </c>
      <c r="K11" s="19">
        <v>38626.28</v>
      </c>
      <c r="L11" s="319">
        <f>VLOOKUP(A11,'סה"כ כ"ס'!$J$3:$W$179,14,FALSE)</f>
        <v>38626.28</v>
      </c>
      <c r="M11" s="339">
        <f>VLOOKUP(A11,'סה"כ כ"ס'!$J$3:$X$187,15,FALSE)+M21</f>
        <v>44011.709999999992</v>
      </c>
      <c r="N11" s="319">
        <f>VLOOKUP(A11,'סה"כ כ"ס'!$J$3:$Y$188,16,FALSE)</f>
        <v>41500.629999999997</v>
      </c>
    </row>
    <row r="12" spans="1:14" x14ac:dyDescent="0.3">
      <c r="A12">
        <f>SUMIF('סה"כ כ"ס'!K:K,'נתוני כ"ס - נוירו '!B12,'סה"כ כ"ס'!J:J)</f>
        <v>356</v>
      </c>
      <c r="B12" s="15">
        <v>35</v>
      </c>
      <c r="C12" s="29" t="s">
        <v>339</v>
      </c>
      <c r="D12" s="29" t="s">
        <v>340</v>
      </c>
      <c r="E12" s="19" t="s">
        <v>321</v>
      </c>
      <c r="F12" s="17">
        <v>44937</v>
      </c>
      <c r="G12" s="17">
        <v>44979</v>
      </c>
      <c r="H12" s="17">
        <v>6976</v>
      </c>
      <c r="I12" s="17">
        <v>14948</v>
      </c>
      <c r="J12" s="17">
        <v>11818</v>
      </c>
      <c r="K12" s="19">
        <v>13049.36</v>
      </c>
      <c r="L12" s="319">
        <f>VLOOKUP(A12,'סה"כ כ"ס'!$J$3:$W$179,14,FALSE)</f>
        <v>18892.22</v>
      </c>
      <c r="M12" s="319">
        <f>VLOOKUP(A12,'סה"כ כ"ס'!$J$3:$X$187,15,FALSE)</f>
        <v>47371.73</v>
      </c>
      <c r="N12" s="319">
        <f>VLOOKUP(A12,'סה"כ כ"ס'!$J$3:$Y$188,16,FALSE)</f>
        <v>47238.86</v>
      </c>
    </row>
    <row r="13" spans="1:14" x14ac:dyDescent="0.3">
      <c r="A13">
        <f>SUMIF('סה"כ כ"ס'!K:K,'נתוני כ"ס - נוירו '!B13,'סה"כ כ"ס'!J:J)</f>
        <v>455</v>
      </c>
      <c r="B13" s="15">
        <v>45</v>
      </c>
      <c r="C13" s="29" t="s">
        <v>341</v>
      </c>
      <c r="D13" s="29" t="s">
        <v>342</v>
      </c>
      <c r="E13" s="19" t="s">
        <v>321</v>
      </c>
      <c r="F13" s="17">
        <v>12688</v>
      </c>
      <c r="G13" s="17">
        <v>12913</v>
      </c>
      <c r="H13" s="17">
        <v>12592</v>
      </c>
      <c r="I13" s="17">
        <v>15811</v>
      </c>
      <c r="J13" s="17">
        <v>12592</v>
      </c>
      <c r="K13" s="19">
        <v>12682.86</v>
      </c>
      <c r="L13" s="319">
        <f>VLOOKUP(A13,'סה"כ כ"ס'!$J$3:$W$179,14,FALSE)</f>
        <v>12650.48</v>
      </c>
      <c r="M13" s="319">
        <f>VLOOKUP(A13,'סה"כ כ"ס'!$J$3:$X$187,15,FALSE)</f>
        <v>12512.55</v>
      </c>
      <c r="N13" s="319">
        <f>VLOOKUP(A13,'סה"כ כ"ס'!$J$3:$Y$188,16,FALSE)</f>
        <v>12585.72</v>
      </c>
    </row>
    <row r="14" spans="1:14" x14ac:dyDescent="0.3">
      <c r="A14">
        <f>SUMIF('סה"כ כ"ס'!K:K,'נתוני כ"ס - נוירו '!B14,'סה"כ כ"ס'!J:J)</f>
        <v>513</v>
      </c>
      <c r="B14" s="29">
        <v>51</v>
      </c>
      <c r="C14" s="29" t="s">
        <v>431</v>
      </c>
      <c r="D14" s="29" t="s">
        <v>222</v>
      </c>
      <c r="E14" s="19" t="s">
        <v>321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9">
        <v>14093.98</v>
      </c>
      <c r="L14" s="319">
        <f>VLOOKUP(A14,'סה"כ כ"ס'!$J$3:$W$179,14,FALSE)</f>
        <v>35224.47</v>
      </c>
      <c r="M14" s="319">
        <f>VLOOKUP(A14,'סה"כ כ"ס'!$J$3:$X$187,15,FALSE)</f>
        <v>1267.02</v>
      </c>
      <c r="N14" s="319">
        <f>VLOOKUP(A14,'סה"כ כ"ס'!$J$3:$Y$188,16,FALSE)</f>
        <v>14063.3</v>
      </c>
    </row>
    <row r="15" spans="1:14" x14ac:dyDescent="0.3">
      <c r="A15">
        <f>SUMIF('סה"כ כ"ס'!K:K,'נתוני כ"ס - נוירו '!B15,'סה"כ כ"ס'!J:J)</f>
        <v>1255</v>
      </c>
      <c r="B15" s="15">
        <v>125</v>
      </c>
      <c r="C15" s="29" t="s">
        <v>343</v>
      </c>
      <c r="D15" s="29" t="s">
        <v>259</v>
      </c>
      <c r="E15" s="19" t="s">
        <v>321</v>
      </c>
      <c r="F15" s="17">
        <v>19393</v>
      </c>
      <c r="G15" s="17">
        <v>18479</v>
      </c>
      <c r="H15" s="17">
        <v>17373</v>
      </c>
      <c r="I15" s="17">
        <v>18996</v>
      </c>
      <c r="J15" s="17">
        <v>34928</v>
      </c>
      <c r="K15" s="19">
        <v>21987.38</v>
      </c>
      <c r="L15" s="319">
        <f>VLOOKUP(A15,'סה"כ כ"ס'!$J$3:$W$179,14,FALSE)</f>
        <v>20299.23</v>
      </c>
      <c r="M15" s="319">
        <f>VLOOKUP(A15,'סה"כ כ"ס'!$J$3:$X$187,15,FALSE)</f>
        <v>22473.15</v>
      </c>
      <c r="N15" s="319">
        <f>VLOOKUP(A15,'סה"כ כ"ס'!$J$3:$Y$188,16,FALSE)</f>
        <v>22828.26</v>
      </c>
    </row>
    <row r="16" spans="1:14" ht="14.5" thickBot="1" x14ac:dyDescent="0.35">
      <c r="A16">
        <f>SUMIF('סה"כ כ"ס'!K:K,'נתוני כ"ס - נוירו '!B16,'סה"כ כ"ס'!J:J)</f>
        <v>0</v>
      </c>
      <c r="B16" s="15">
        <v>124</v>
      </c>
      <c r="C16" s="15" t="s">
        <v>554</v>
      </c>
      <c r="D16" s="15" t="s">
        <v>555</v>
      </c>
      <c r="E16" s="19" t="s">
        <v>321</v>
      </c>
      <c r="F16" s="17">
        <v>2387</v>
      </c>
      <c r="G16" s="17">
        <v>2405</v>
      </c>
      <c r="H16" s="17">
        <v>5661</v>
      </c>
      <c r="I16" s="17">
        <v>0</v>
      </c>
      <c r="J16" s="17">
        <v>0</v>
      </c>
      <c r="K16" s="17"/>
      <c r="M16">
        <f>VLOOKUP(A16,'סה"כ כ"ס'!$J$3:$X$187,15,FALSE)</f>
        <v>0</v>
      </c>
      <c r="N16" s="17">
        <f>VLOOKUP(A16,'סה"כ כ"ס'!$J$3:$Y$188,16,FALSE)</f>
        <v>0</v>
      </c>
    </row>
    <row r="17" spans="2:14" ht="14.5" thickTop="1" x14ac:dyDescent="0.3">
      <c r="F17" s="115">
        <f>SUM(F2:F16)</f>
        <v>192784</v>
      </c>
      <c r="G17" s="115">
        <f t="shared" ref="G17:L17" si="0">SUM(G2:G16)</f>
        <v>193658</v>
      </c>
      <c r="H17" s="115">
        <f t="shared" si="0"/>
        <v>167713</v>
      </c>
      <c r="I17" s="115">
        <f t="shared" si="0"/>
        <v>186610</v>
      </c>
      <c r="J17" s="115">
        <f t="shared" si="0"/>
        <v>198579</v>
      </c>
      <c r="K17" s="115">
        <f t="shared" si="0"/>
        <v>207638.96</v>
      </c>
      <c r="L17" s="115">
        <f t="shared" si="0"/>
        <v>232101.26</v>
      </c>
      <c r="M17" s="115">
        <f t="shared" ref="M17:N17" si="1">SUM(M2:M16)</f>
        <v>228767.09999999998</v>
      </c>
      <c r="N17" s="115">
        <f t="shared" si="1"/>
        <v>246079.05000000002</v>
      </c>
    </row>
    <row r="19" spans="2:14" x14ac:dyDescent="0.3">
      <c r="B19" t="s">
        <v>440</v>
      </c>
      <c r="C19" s="31"/>
      <c r="D19" s="31"/>
      <c r="E19" s="31"/>
      <c r="F19" s="31">
        <f>+F17-F20</f>
        <v>70486</v>
      </c>
      <c r="G19" s="31">
        <f t="shared" ref="G19:K19" si="2">+G17-G20</f>
        <v>72007</v>
      </c>
      <c r="H19" s="31">
        <f t="shared" si="2"/>
        <v>85481</v>
      </c>
      <c r="I19" s="31">
        <f t="shared" si="2"/>
        <v>91575</v>
      </c>
      <c r="J19" s="31">
        <f t="shared" si="2"/>
        <v>93961</v>
      </c>
      <c r="K19" s="31">
        <f t="shared" si="2"/>
        <v>100550.7</v>
      </c>
      <c r="L19" s="31">
        <f t="shared" ref="L19:M19" si="3">+L17-L20</f>
        <v>99760.18</v>
      </c>
      <c r="M19" s="31">
        <f t="shared" si="3"/>
        <v>90712.00999999998</v>
      </c>
      <c r="N19" s="31">
        <f t="shared" ref="N19" si="4">+N17-N20</f>
        <v>100527.62000000002</v>
      </c>
    </row>
    <row r="20" spans="2:14" x14ac:dyDescent="0.3">
      <c r="B20" t="s">
        <v>441</v>
      </c>
      <c r="C20" s="41"/>
      <c r="D20" s="41"/>
      <c r="E20" s="41"/>
      <c r="F20" s="41">
        <f>SUM(F10:F15)</f>
        <v>122298</v>
      </c>
      <c r="G20" s="41">
        <f t="shared" ref="G20:K20" si="5">SUM(G10:G15)</f>
        <v>121651</v>
      </c>
      <c r="H20" s="41">
        <f t="shared" si="5"/>
        <v>82232</v>
      </c>
      <c r="I20" s="41">
        <f t="shared" si="5"/>
        <v>95035</v>
      </c>
      <c r="J20" s="41">
        <f t="shared" si="5"/>
        <v>104618</v>
      </c>
      <c r="K20" s="41">
        <f t="shared" si="5"/>
        <v>107088.26</v>
      </c>
      <c r="L20" s="41">
        <f t="shared" ref="L20:M20" si="6">SUM(L10:L15)</f>
        <v>132341.08000000002</v>
      </c>
      <c r="M20" s="41">
        <f t="shared" si="6"/>
        <v>138055.09</v>
      </c>
      <c r="N20" s="41">
        <f t="shared" ref="N20" si="7">SUM(N10:N15)</f>
        <v>145551.43</v>
      </c>
    </row>
    <row r="21" spans="2:14" x14ac:dyDescent="0.3">
      <c r="L21" t="s">
        <v>958</v>
      </c>
      <c r="M21">
        <v>-170390</v>
      </c>
    </row>
  </sheetData>
  <conditionalFormatting sqref="C1:C16">
    <cfRule type="duplicateValues" dxfId="8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54C1-B442-45AC-AA42-0C92ECC35976}">
  <sheetPr>
    <tabColor rgb="FF00B050"/>
  </sheetPr>
  <dimension ref="A1:N23"/>
  <sheetViews>
    <sheetView rightToLeft="1" workbookViewId="0">
      <selection activeCell="A30" sqref="A30:XFD1048576"/>
    </sheetView>
  </sheetViews>
  <sheetFormatPr defaultRowHeight="14" x14ac:dyDescent="0.3"/>
  <cols>
    <col min="13" max="13" width="10.83203125" bestFit="1" customWidth="1"/>
  </cols>
  <sheetData>
    <row r="1" spans="1:14" ht="28" x14ac:dyDescent="0.3">
      <c r="A1" s="303" t="s">
        <v>909</v>
      </c>
      <c r="B1" s="12" t="s">
        <v>499</v>
      </c>
      <c r="C1" s="12" t="s">
        <v>82</v>
      </c>
      <c r="D1" s="12" t="s">
        <v>83</v>
      </c>
      <c r="E1" s="12" t="s">
        <v>192</v>
      </c>
      <c r="F1" s="12">
        <v>8.25</v>
      </c>
      <c r="G1" s="12">
        <v>9.25</v>
      </c>
      <c r="H1" s="12">
        <v>10.25</v>
      </c>
      <c r="I1" s="12">
        <v>11.25</v>
      </c>
      <c r="J1" s="12">
        <v>12.25</v>
      </c>
      <c r="K1" s="12">
        <v>1.26</v>
      </c>
      <c r="L1" s="12">
        <v>2.2599999999999998</v>
      </c>
      <c r="M1" s="12">
        <v>3.26</v>
      </c>
      <c r="N1" s="12">
        <v>4.26</v>
      </c>
    </row>
    <row r="2" spans="1:14" x14ac:dyDescent="0.3">
      <c r="A2">
        <f>SUMIF('סה"כ כ"ס'!K:K,B2,'סה"כ כ"ס'!J:J)</f>
        <v>257</v>
      </c>
      <c r="B2" s="15">
        <v>25</v>
      </c>
      <c r="C2" s="29" t="s">
        <v>344</v>
      </c>
      <c r="D2" s="29" t="s">
        <v>345</v>
      </c>
      <c r="E2" s="20" t="s">
        <v>346</v>
      </c>
      <c r="F2" s="17">
        <v>48758</v>
      </c>
      <c r="G2" s="17">
        <v>48759</v>
      </c>
      <c r="H2" s="17">
        <v>48758</v>
      </c>
      <c r="I2" s="17">
        <v>48758</v>
      </c>
      <c r="J2" s="17">
        <v>48759</v>
      </c>
      <c r="K2" s="20">
        <v>48287.55</v>
      </c>
      <c r="L2" s="17">
        <f>VLOOKUP(A2,'סה"כ כ"ס'!$J$3:$W$179,14,FALSE)</f>
        <v>48173.55</v>
      </c>
      <c r="M2" s="338">
        <f>VLOOKUP(A2,'סה"כ כ"ס'!$J$3:$X$187,15,FALSE)+M20</f>
        <v>52764.580000000075</v>
      </c>
      <c r="N2" s="17">
        <f>VLOOKUP(A2,'סה"כ כ"ס'!$J$3:$Y$188,16,FALSE)</f>
        <v>49904.09</v>
      </c>
    </row>
    <row r="3" spans="1:14" x14ac:dyDescent="0.3">
      <c r="A3">
        <f>SUMIF('סה"כ כ"ס'!K:K,B3,'סה"כ כ"ס'!J:J)</f>
        <v>299</v>
      </c>
      <c r="B3" s="15">
        <v>29</v>
      </c>
      <c r="C3" s="29" t="s">
        <v>347</v>
      </c>
      <c r="D3" s="29" t="s">
        <v>348</v>
      </c>
      <c r="E3" s="20" t="s">
        <v>346</v>
      </c>
      <c r="F3" s="17">
        <v>19107</v>
      </c>
      <c r="G3" s="17">
        <v>18875</v>
      </c>
      <c r="H3" s="17">
        <v>20804</v>
      </c>
      <c r="I3" s="17">
        <v>18060</v>
      </c>
      <c r="J3" s="17">
        <v>20769</v>
      </c>
      <c r="K3" s="20">
        <v>20589.48</v>
      </c>
      <c r="L3" s="17">
        <f>VLOOKUP(A3,'סה"כ כ"ס'!$J$3:$W$179,14,FALSE)</f>
        <v>19466.53</v>
      </c>
      <c r="M3" s="17">
        <f>VLOOKUP(A3,'סה"כ כ"ס'!$J$3:$X$187,15,FALSE)</f>
        <v>17689.46</v>
      </c>
      <c r="N3" s="17">
        <f>VLOOKUP(A3,'סה"כ כ"ס'!$J$3:$Y$188,16,FALSE)</f>
        <v>22614.7</v>
      </c>
    </row>
    <row r="4" spans="1:14" x14ac:dyDescent="0.3">
      <c r="A4">
        <f>SUMIF('סה"כ כ"ס'!K:K,B4,'סה"כ כ"ס'!J:J)</f>
        <v>406</v>
      </c>
      <c r="B4" s="15">
        <v>40</v>
      </c>
      <c r="C4" s="29" t="s">
        <v>349</v>
      </c>
      <c r="D4" s="29" t="s">
        <v>350</v>
      </c>
      <c r="E4" s="20" t="s">
        <v>346</v>
      </c>
      <c r="F4" s="17">
        <v>20778</v>
      </c>
      <c r="G4" s="17">
        <v>19733</v>
      </c>
      <c r="H4" s="17">
        <v>22111</v>
      </c>
      <c r="I4" s="17">
        <v>19188</v>
      </c>
      <c r="J4" s="17">
        <v>18780</v>
      </c>
      <c r="K4" s="20">
        <v>21658.87</v>
      </c>
      <c r="L4" s="17">
        <f>VLOOKUP(A4,'סה"כ כ"ס'!$J$3:$W$179,14,FALSE)</f>
        <v>17623.669999999998</v>
      </c>
      <c r="M4" s="17">
        <f>VLOOKUP(A4,'סה"כ כ"ס'!$J$3:$X$187,15,FALSE)</f>
        <v>11000.42</v>
      </c>
      <c r="N4" s="17">
        <f>VLOOKUP(A4,'סה"כ כ"ס'!$J$3:$Y$188,16,FALSE)</f>
        <v>20906.79</v>
      </c>
    </row>
    <row r="5" spans="1:14" x14ac:dyDescent="0.3">
      <c r="A5">
        <f>SUMIF('סה"כ כ"ס'!K:K,B5,'סה"כ כ"ס'!J:J)</f>
        <v>1149</v>
      </c>
      <c r="B5" s="15">
        <v>114</v>
      </c>
      <c r="C5" s="29" t="s">
        <v>294</v>
      </c>
      <c r="D5" s="29" t="s">
        <v>351</v>
      </c>
      <c r="E5" s="20" t="s">
        <v>346</v>
      </c>
      <c r="F5" s="17">
        <v>19479</v>
      </c>
      <c r="G5" s="17">
        <v>16769</v>
      </c>
      <c r="H5" s="17">
        <v>19003</v>
      </c>
      <c r="I5" s="17">
        <v>17923</v>
      </c>
      <c r="J5" s="17">
        <v>19687</v>
      </c>
      <c r="K5" s="20">
        <v>17667.689999999999</v>
      </c>
      <c r="L5" s="17">
        <f>VLOOKUP(A5,'סה"כ כ"ס'!$J$3:$W$179,14,FALSE)</f>
        <v>16693.29</v>
      </c>
      <c r="M5" s="17">
        <f>VLOOKUP(A5,'סה"כ כ"ס'!$J$3:$X$187,15,FALSE)</f>
        <v>14522.9</v>
      </c>
      <c r="N5" s="17">
        <f>VLOOKUP(A5,'סה"כ כ"ס'!$J$3:$Y$188,16,FALSE)</f>
        <v>16774.29</v>
      </c>
    </row>
    <row r="6" spans="1:14" x14ac:dyDescent="0.3">
      <c r="A6">
        <f>SUMIF('סה"כ כ"ס'!K:K,B6,'סה"כ כ"ס'!J:J)</f>
        <v>265</v>
      </c>
      <c r="B6" s="15">
        <v>26</v>
      </c>
      <c r="C6" s="15" t="s">
        <v>352</v>
      </c>
      <c r="D6" s="15" t="s">
        <v>237</v>
      </c>
      <c r="E6" s="20" t="s">
        <v>346</v>
      </c>
      <c r="F6" s="17">
        <v>8974</v>
      </c>
      <c r="G6" s="17">
        <v>7596</v>
      </c>
      <c r="H6" s="17">
        <v>11796</v>
      </c>
      <c r="I6" s="17">
        <v>8337</v>
      </c>
      <c r="J6" s="17">
        <v>10883</v>
      </c>
      <c r="K6" s="20">
        <v>9289.9</v>
      </c>
      <c r="L6" s="17">
        <f>VLOOKUP(A6,'סה"כ כ"ס'!$J$3:$W$179,14,FALSE)</f>
        <v>9999.85</v>
      </c>
      <c r="M6" s="17">
        <f>VLOOKUP(A6,'סה"כ כ"ס'!$J$3:$X$187,15,FALSE)</f>
        <v>8354.1299999999992</v>
      </c>
      <c r="N6" s="17">
        <f>VLOOKUP(A6,'סה"כ כ"ס'!$J$3:$Y$188,16,FALSE)</f>
        <v>7929.64</v>
      </c>
    </row>
    <row r="7" spans="1:14" x14ac:dyDescent="0.3">
      <c r="A7">
        <f>SUMIF('סה"כ כ"ס'!K:K,B7,'סה"כ כ"ס'!J:J)</f>
        <v>273</v>
      </c>
      <c r="B7" s="15">
        <v>27</v>
      </c>
      <c r="C7" s="15" t="s">
        <v>243</v>
      </c>
      <c r="D7" s="15" t="s">
        <v>291</v>
      </c>
      <c r="E7" s="20" t="s">
        <v>346</v>
      </c>
      <c r="F7" s="17">
        <v>13331</v>
      </c>
      <c r="G7" s="17">
        <v>13357</v>
      </c>
      <c r="H7" s="17">
        <v>15454</v>
      </c>
      <c r="I7" s="17">
        <v>13665</v>
      </c>
      <c r="J7" s="17">
        <v>14285</v>
      </c>
      <c r="K7" s="20">
        <v>12583.92</v>
      </c>
      <c r="L7" s="17">
        <f>VLOOKUP(A7,'סה"כ כ"ס'!$J$3:$W$179,14,FALSE)</f>
        <v>11840.15</v>
      </c>
      <c r="M7" s="17">
        <f>VLOOKUP(A7,'סה"כ כ"ס'!$J$3:$X$187,15,FALSE)</f>
        <v>7792.27</v>
      </c>
      <c r="N7" s="17">
        <f>VLOOKUP(A7,'סה"כ כ"ס'!$J$3:$Y$188,16,FALSE)</f>
        <v>10150.91</v>
      </c>
    </row>
    <row r="8" spans="1:14" x14ac:dyDescent="0.3">
      <c r="A8">
        <f>SUMIF('סה"כ כ"ס'!K:K,B8,'סה"כ כ"ס'!J:J)</f>
        <v>422</v>
      </c>
      <c r="B8" s="15">
        <v>42</v>
      </c>
      <c r="C8" s="15" t="s">
        <v>353</v>
      </c>
      <c r="D8" s="15" t="s">
        <v>142</v>
      </c>
      <c r="E8" s="20" t="s">
        <v>346</v>
      </c>
      <c r="F8" s="17">
        <v>11328</v>
      </c>
      <c r="G8" s="17">
        <v>6610</v>
      </c>
      <c r="H8" s="17">
        <v>2943</v>
      </c>
      <c r="I8" s="17">
        <v>2702</v>
      </c>
      <c r="J8" s="17">
        <v>2684</v>
      </c>
      <c r="K8" s="20">
        <v>2222.0300000000002</v>
      </c>
      <c r="L8" s="17">
        <f>VLOOKUP(A8,'סה"כ כ"ס'!$J$3:$W$179,14,FALSE)</f>
        <v>3116.84</v>
      </c>
      <c r="M8" s="17">
        <f>VLOOKUP(A8,'סה"כ כ"ס'!$J$3:$X$187,15,FALSE)</f>
        <v>4275.0200000000004</v>
      </c>
      <c r="N8" s="17">
        <f>VLOOKUP(A8,'סה"כ כ"ס'!$J$3:$Y$188,16,FALSE)</f>
        <v>5724.26</v>
      </c>
    </row>
    <row r="9" spans="1:14" x14ac:dyDescent="0.3">
      <c r="A9">
        <f>SUMIF('סה"כ כ"ס'!K:K,B9,'סה"כ כ"ס'!J:J)</f>
        <v>554</v>
      </c>
      <c r="B9" s="15">
        <v>55</v>
      </c>
      <c r="C9" s="15" t="s">
        <v>354</v>
      </c>
      <c r="D9" s="15" t="s">
        <v>355</v>
      </c>
      <c r="E9" s="20" t="s">
        <v>346</v>
      </c>
      <c r="F9" s="17">
        <v>0</v>
      </c>
      <c r="G9" s="17">
        <v>0</v>
      </c>
      <c r="H9" s="17">
        <v>1348</v>
      </c>
      <c r="I9" s="17">
        <v>5248</v>
      </c>
      <c r="J9" s="17">
        <v>8755</v>
      </c>
      <c r="K9" s="20">
        <v>10952.92</v>
      </c>
      <c r="L9" s="17">
        <f>VLOOKUP(A9,'סה"כ כ"ס'!$J$3:$W$179,14,FALSE)</f>
        <v>8110.82</v>
      </c>
      <c r="M9" s="17">
        <f>VLOOKUP(A9,'סה"כ כ"ס'!$J$3:$X$187,15,FALSE)</f>
        <v>4943.58</v>
      </c>
      <c r="N9" s="17">
        <f>VLOOKUP(A9,'סה"כ כ"ס'!$J$3:$Y$188,16,FALSE)</f>
        <v>8662.59</v>
      </c>
    </row>
    <row r="10" spans="1:14" x14ac:dyDescent="0.3">
      <c r="A10">
        <f>SUMIF('סה"כ כ"ס'!K:K,B10,'סה"כ כ"ס'!J:J)</f>
        <v>844</v>
      </c>
      <c r="B10" s="15">
        <v>84</v>
      </c>
      <c r="C10" s="15" t="s">
        <v>356</v>
      </c>
      <c r="D10" s="15" t="s">
        <v>357</v>
      </c>
      <c r="E10" s="20" t="s">
        <v>346</v>
      </c>
      <c r="F10" s="17">
        <v>16140</v>
      </c>
      <c r="G10" s="17">
        <v>15443</v>
      </c>
      <c r="H10" s="17">
        <v>17342</v>
      </c>
      <c r="I10" s="17">
        <v>15354</v>
      </c>
      <c r="J10" s="17">
        <v>19854</v>
      </c>
      <c r="K10" s="20">
        <v>15785.44</v>
      </c>
      <c r="L10" s="17">
        <f>VLOOKUP(A10,'סה"כ כ"ס'!$J$3:$W$179,14,FALSE)</f>
        <v>14467.04</v>
      </c>
      <c r="M10" s="17">
        <f>VLOOKUP(A10,'סה"כ כ"ס'!$J$3:$X$187,15,FALSE)</f>
        <v>13793.45</v>
      </c>
      <c r="N10" s="17">
        <f>VLOOKUP(A10,'סה"כ כ"ס'!$J$3:$Y$188,16,FALSE)</f>
        <v>17023.48</v>
      </c>
    </row>
    <row r="11" spans="1:14" x14ac:dyDescent="0.3">
      <c r="A11">
        <f>SUMIF('סה"כ כ"ס'!K:K,B11,'סה"כ כ"ס'!J:J)</f>
        <v>950</v>
      </c>
      <c r="B11" s="15">
        <v>95</v>
      </c>
      <c r="C11" s="15" t="s">
        <v>358</v>
      </c>
      <c r="D11" s="15" t="s">
        <v>359</v>
      </c>
      <c r="E11" s="20" t="s">
        <v>346</v>
      </c>
      <c r="F11" s="17">
        <v>8865</v>
      </c>
      <c r="G11" s="17">
        <v>12068</v>
      </c>
      <c r="H11" s="17">
        <v>11796</v>
      </c>
      <c r="I11" s="17">
        <v>11195</v>
      </c>
      <c r="J11" s="17">
        <v>13314</v>
      </c>
      <c r="K11" s="20">
        <v>10442.94</v>
      </c>
      <c r="L11" s="17">
        <f>VLOOKUP(A11,'סה"כ כ"ס'!$J$3:$W$179,14,FALSE)</f>
        <v>10397.15</v>
      </c>
      <c r="M11" s="17">
        <f>VLOOKUP(A11,'סה"כ כ"ס'!$J$3:$X$187,15,FALSE)</f>
        <v>6670.69</v>
      </c>
      <c r="N11" s="17">
        <f>VLOOKUP(A11,'סה"כ כ"ס'!$J$3:$Y$188,16,FALSE)</f>
        <v>11129.36</v>
      </c>
    </row>
    <row r="12" spans="1:14" x14ac:dyDescent="0.3">
      <c r="A12">
        <f>SUMIF('סה"כ כ"ס'!K:K,B12,'סה"כ כ"ס'!J:J)</f>
        <v>1172</v>
      </c>
      <c r="B12" s="15">
        <v>117</v>
      </c>
      <c r="C12" s="15" t="s">
        <v>360</v>
      </c>
      <c r="D12" s="15" t="s">
        <v>361</v>
      </c>
      <c r="E12" s="20" t="s">
        <v>346</v>
      </c>
      <c r="F12" s="17">
        <v>12366</v>
      </c>
      <c r="G12" s="17">
        <v>13373</v>
      </c>
      <c r="H12" s="17">
        <v>14904</v>
      </c>
      <c r="I12" s="17">
        <v>12449</v>
      </c>
      <c r="J12" s="17">
        <v>11151</v>
      </c>
      <c r="K12" s="20">
        <v>9130.9500000000007</v>
      </c>
      <c r="L12" s="17">
        <f>VLOOKUP(A12,'סה"כ כ"ס'!$J$3:$W$179,14,FALSE)</f>
        <v>8813.19</v>
      </c>
      <c r="M12" s="17">
        <f>VLOOKUP(A12,'סה"כ כ"ס'!$J$3:$X$187,15,FALSE)</f>
        <v>11869.21</v>
      </c>
      <c r="N12" s="17">
        <f>VLOOKUP(A12,'סה"כ כ"ס'!$J$3:$Y$188,16,FALSE)</f>
        <v>11862.44</v>
      </c>
    </row>
    <row r="13" spans="1:14" x14ac:dyDescent="0.3">
      <c r="A13">
        <f>SUMIF('סה"כ כ"ס'!K:K,B13,'סה"כ כ"ס'!J:J)</f>
        <v>1875</v>
      </c>
      <c r="B13" s="15">
        <v>187</v>
      </c>
      <c r="C13" s="15" t="s">
        <v>362</v>
      </c>
      <c r="D13" s="15" t="s">
        <v>222</v>
      </c>
      <c r="E13" s="20" t="s">
        <v>346</v>
      </c>
      <c r="F13" s="17">
        <v>6392</v>
      </c>
      <c r="G13" s="17">
        <v>5432</v>
      </c>
      <c r="H13" s="17">
        <v>5920</v>
      </c>
      <c r="I13" s="17">
        <v>6080</v>
      </c>
      <c r="J13" s="17">
        <v>6705</v>
      </c>
      <c r="K13" s="20">
        <v>2877.44</v>
      </c>
      <c r="L13" s="17">
        <f>VLOOKUP(A13,'סה"כ כ"ס'!$J$3:$W$179,14,FALSE)</f>
        <v>5865.6</v>
      </c>
      <c r="M13" s="17">
        <f>VLOOKUP(A13,'סה"כ כ"ס'!$J$3:$X$187,15,FALSE)</f>
        <v>2200.7600000000002</v>
      </c>
      <c r="N13" s="17">
        <f>VLOOKUP(A13,'סה"כ כ"ס'!$J$3:$Y$188,16,FALSE)</f>
        <v>5034.55</v>
      </c>
    </row>
    <row r="14" spans="1:14" x14ac:dyDescent="0.3">
      <c r="A14">
        <f>SUMIF('סה"כ כ"ס'!K:K,B14,'סה"כ כ"ס'!J:J)</f>
        <v>1891</v>
      </c>
      <c r="B14" s="15">
        <v>189</v>
      </c>
      <c r="C14" s="15" t="s">
        <v>363</v>
      </c>
      <c r="D14" s="15" t="s">
        <v>364</v>
      </c>
      <c r="E14" s="20" t="s">
        <v>346</v>
      </c>
      <c r="F14" s="17">
        <v>5482</v>
      </c>
      <c r="G14" s="17">
        <v>6488</v>
      </c>
      <c r="H14" s="17">
        <v>5949</v>
      </c>
      <c r="I14" s="17">
        <v>5876</v>
      </c>
      <c r="J14" s="17">
        <v>6895</v>
      </c>
      <c r="K14" s="20">
        <v>4684.7700000000004</v>
      </c>
      <c r="L14" s="17">
        <f>VLOOKUP(A14,'סה"כ כ"ס'!$J$3:$W$179,14,FALSE)</f>
        <v>6066.07</v>
      </c>
      <c r="M14" s="17">
        <f>VLOOKUP(A14,'סה"כ כ"ס'!$J$3:$X$187,15,FALSE)</f>
        <v>2166.2199999999998</v>
      </c>
      <c r="N14" s="17">
        <f>VLOOKUP(A14,'סה"כ כ"ס'!$J$3:$Y$188,16,FALSE)</f>
        <v>8322.6</v>
      </c>
    </row>
    <row r="15" spans="1:14" ht="14.5" thickBot="1" x14ac:dyDescent="0.35">
      <c r="A15">
        <f>SUMIF('סה"כ כ"ס'!K:K,B15,'סה"כ כ"ס'!J:J)</f>
        <v>2097</v>
      </c>
      <c r="B15" s="15">
        <v>209</v>
      </c>
      <c r="C15" s="15" t="s">
        <v>365</v>
      </c>
      <c r="D15" s="15" t="s">
        <v>366</v>
      </c>
      <c r="E15" s="20" t="s">
        <v>346</v>
      </c>
      <c r="F15" s="17"/>
      <c r="G15" s="17"/>
      <c r="H15" s="17"/>
      <c r="I15" s="17">
        <v>0</v>
      </c>
      <c r="J15" s="17">
        <v>5811</v>
      </c>
      <c r="K15" s="20">
        <v>5405.18</v>
      </c>
      <c r="L15" s="17">
        <f>VLOOKUP(A15,'סה"כ כ"ס'!$J$3:$W$179,14,FALSE)</f>
        <v>7516.32</v>
      </c>
      <c r="M15" s="17">
        <f>VLOOKUP(A15,'סה"כ כ"ס'!$J$3:$X$187,15,FALSE)</f>
        <v>4102.72</v>
      </c>
      <c r="N15" s="17">
        <f>VLOOKUP(A15,'סה"כ כ"ס'!$J$3:$Y$188,16,FALSE)</f>
        <v>6406.07</v>
      </c>
    </row>
    <row r="16" spans="1:14" ht="14.5" thickTop="1" x14ac:dyDescent="0.3">
      <c r="E16" s="26">
        <f>SUM(E2:E15)</f>
        <v>0</v>
      </c>
      <c r="F16" s="115">
        <f>SUM(F2:F15)</f>
        <v>191000</v>
      </c>
      <c r="G16" s="115">
        <f t="shared" ref="G16:L16" si="0">SUM(G2:G15)</f>
        <v>184503</v>
      </c>
      <c r="H16" s="115">
        <f t="shared" si="0"/>
        <v>198128</v>
      </c>
      <c r="I16" s="115">
        <f t="shared" si="0"/>
        <v>184835</v>
      </c>
      <c r="J16" s="115">
        <f t="shared" si="0"/>
        <v>208332</v>
      </c>
      <c r="K16" s="115">
        <f t="shared" si="0"/>
        <v>191579.08000000002</v>
      </c>
      <c r="L16" s="115">
        <f t="shared" si="0"/>
        <v>188150.07000000004</v>
      </c>
      <c r="M16" s="115">
        <f>SUM(M2:M15)</f>
        <v>162145.41000000009</v>
      </c>
      <c r="N16" s="115">
        <f>SUM(N2:N15)</f>
        <v>202445.77</v>
      </c>
    </row>
    <row r="18" spans="3:14" x14ac:dyDescent="0.3">
      <c r="E18" t="s">
        <v>440</v>
      </c>
      <c r="F18" s="31">
        <f>+F16-F19</f>
        <v>82878</v>
      </c>
      <c r="G18" s="31">
        <f t="shared" ref="G18:K18" si="1">+G16-G19</f>
        <v>80367</v>
      </c>
      <c r="H18" s="31">
        <f t="shared" si="1"/>
        <v>87452</v>
      </c>
      <c r="I18" s="31">
        <f t="shared" si="1"/>
        <v>80906</v>
      </c>
      <c r="J18" s="31">
        <f t="shared" si="1"/>
        <v>100337</v>
      </c>
      <c r="K18" s="31">
        <f t="shared" si="1"/>
        <v>83375.49000000002</v>
      </c>
      <c r="L18" s="31">
        <f t="shared" ref="L18:M18" si="2">+L16-L19</f>
        <v>86193.030000000028</v>
      </c>
      <c r="M18" s="31">
        <f t="shared" si="2"/>
        <v>66168.050000000032</v>
      </c>
      <c r="N18" s="31">
        <f t="shared" ref="N18" si="3">+N16-N19</f>
        <v>92245.9</v>
      </c>
    </row>
    <row r="19" spans="3:14" x14ac:dyDescent="0.3">
      <c r="E19" t="s">
        <v>441</v>
      </c>
      <c r="F19" s="41">
        <f>SUM(F2:F5)</f>
        <v>108122</v>
      </c>
      <c r="G19" s="41">
        <f t="shared" ref="G19:K19" si="4">SUM(G2:G5)</f>
        <v>104136</v>
      </c>
      <c r="H19" s="41">
        <f t="shared" si="4"/>
        <v>110676</v>
      </c>
      <c r="I19" s="41">
        <f t="shared" si="4"/>
        <v>103929</v>
      </c>
      <c r="J19" s="41">
        <f t="shared" si="4"/>
        <v>107995</v>
      </c>
      <c r="K19" s="41">
        <f t="shared" si="4"/>
        <v>108203.59</v>
      </c>
      <c r="L19" s="41">
        <f t="shared" ref="L19:M19" si="5">SUM(L2:L5)</f>
        <v>101957.04000000001</v>
      </c>
      <c r="M19" s="41">
        <f t="shared" si="5"/>
        <v>95977.360000000059</v>
      </c>
      <c r="N19" s="41">
        <f t="shared" ref="N19" si="6">SUM(N2:N5)</f>
        <v>110199.87</v>
      </c>
    </row>
    <row r="20" spans="3:14" x14ac:dyDescent="0.3">
      <c r="L20" t="s">
        <v>958</v>
      </c>
      <c r="M20">
        <v>-1912651</v>
      </c>
    </row>
    <row r="23" spans="3:14" x14ac:dyDescent="0.3">
      <c r="C23" s="35" t="s">
        <v>438</v>
      </c>
    </row>
  </sheetData>
  <conditionalFormatting sqref="C1:C15">
    <cfRule type="duplicateValues" dxfId="7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E1B4-C5F2-4F86-981B-DC61904B6FBD}">
  <sheetPr>
    <tabColor rgb="FF92D050"/>
  </sheetPr>
  <dimension ref="A1:N29"/>
  <sheetViews>
    <sheetView rightToLeft="1" topLeftCell="A23" zoomScale="115" zoomScaleNormal="115" workbookViewId="0">
      <selection activeCell="A36" sqref="A36:XFD1048576"/>
    </sheetView>
  </sheetViews>
  <sheetFormatPr defaultRowHeight="14" x14ac:dyDescent="0.3"/>
  <cols>
    <col min="4" max="5" width="17.58203125" bestFit="1" customWidth="1"/>
  </cols>
  <sheetData>
    <row r="1" spans="1:14" ht="28" x14ac:dyDescent="0.3">
      <c r="A1" s="303" t="s">
        <v>909</v>
      </c>
      <c r="B1" s="12" t="s">
        <v>499</v>
      </c>
      <c r="C1" s="12" t="s">
        <v>82</v>
      </c>
      <c r="D1" s="12" t="s">
        <v>83</v>
      </c>
      <c r="E1" s="12" t="s">
        <v>192</v>
      </c>
      <c r="F1" s="12">
        <v>8.25</v>
      </c>
      <c r="G1" s="12">
        <v>9.25</v>
      </c>
      <c r="H1" s="12">
        <v>10.25</v>
      </c>
      <c r="I1" s="12">
        <v>11.25</v>
      </c>
      <c r="J1" s="12">
        <v>12.25</v>
      </c>
      <c r="K1" s="12">
        <v>1.26</v>
      </c>
      <c r="L1" s="12">
        <v>2.2599999999999998</v>
      </c>
      <c r="M1" s="12">
        <v>3.26</v>
      </c>
      <c r="N1" s="12">
        <v>4.26</v>
      </c>
    </row>
    <row r="2" spans="1:14" x14ac:dyDescent="0.3">
      <c r="A2">
        <f>SUMIF('סה"כ כ"ס'!K:K,B2,'סה"כ כ"ס'!J:J)</f>
        <v>42</v>
      </c>
      <c r="B2" s="29">
        <v>4</v>
      </c>
      <c r="C2" s="29" t="s">
        <v>291</v>
      </c>
      <c r="D2" s="29" t="s">
        <v>292</v>
      </c>
      <c r="E2" s="18" t="s">
        <v>293</v>
      </c>
      <c r="F2" s="17">
        <v>35815</v>
      </c>
      <c r="G2" s="17">
        <v>42225</v>
      </c>
      <c r="H2" s="17">
        <v>34591</v>
      </c>
      <c r="I2" s="17">
        <v>39008</v>
      </c>
      <c r="J2" s="17">
        <v>38142</v>
      </c>
      <c r="K2" s="18">
        <v>39101.71</v>
      </c>
      <c r="L2" s="17">
        <f>VLOOKUP(A2,'סה"כ כ"ס'!$J$3:$W$179,14,FALSE)</f>
        <v>35065.01</v>
      </c>
      <c r="M2" s="17">
        <f>VLOOKUP(A2,'סה"כ כ"ס'!$J$3:$X$187,15,FALSE)</f>
        <v>206234.53</v>
      </c>
      <c r="N2" s="17">
        <f>VLOOKUP(A2,'סה"כ כ"ס'!$J$3:$Y$188,16,FALSE)</f>
        <v>44148.13</v>
      </c>
    </row>
    <row r="3" spans="1:14" x14ac:dyDescent="0.3">
      <c r="A3">
        <f>SUMIF('סה"כ כ"ס'!K:K,B3,'סה"כ כ"ס'!J:J)</f>
        <v>59</v>
      </c>
      <c r="B3" s="29">
        <v>5</v>
      </c>
      <c r="C3" s="29" t="s">
        <v>294</v>
      </c>
      <c r="D3" s="29" t="s">
        <v>295</v>
      </c>
      <c r="E3" s="18" t="s">
        <v>293</v>
      </c>
      <c r="F3" s="17">
        <v>44129</v>
      </c>
      <c r="G3" s="17">
        <v>36836</v>
      </c>
      <c r="H3" s="17">
        <v>67424</v>
      </c>
      <c r="I3" s="17">
        <v>40501</v>
      </c>
      <c r="J3" s="17">
        <v>41484</v>
      </c>
      <c r="K3" s="18">
        <v>40762.11</v>
      </c>
      <c r="L3" s="17">
        <f>VLOOKUP(A3,'סה"כ כ"ס'!$J$3:$W$179,14,FALSE)</f>
        <v>44798.82</v>
      </c>
      <c r="M3" s="17">
        <f>VLOOKUP(A3,'סה"כ כ"ס'!$J$3:$X$187,15,FALSE)</f>
        <v>216904.02</v>
      </c>
      <c r="N3" s="17">
        <f>VLOOKUP(A3,'סה"כ כ"ס'!$J$3:$Y$188,16,FALSE)</f>
        <v>40336.120000000003</v>
      </c>
    </row>
    <row r="4" spans="1:14" x14ac:dyDescent="0.3">
      <c r="A4">
        <f>SUMIF('סה"כ כ"ס'!K:K,B4,'סה"כ כ"ס'!J:J)</f>
        <v>547</v>
      </c>
      <c r="B4" s="15">
        <v>54</v>
      </c>
      <c r="C4" s="15" t="s">
        <v>425</v>
      </c>
      <c r="D4" s="15" t="s">
        <v>426</v>
      </c>
      <c r="E4" s="18" t="s">
        <v>293</v>
      </c>
      <c r="F4" s="17">
        <v>14835</v>
      </c>
      <c r="G4" s="17">
        <v>1941</v>
      </c>
      <c r="H4" s="17">
        <v>157</v>
      </c>
      <c r="I4" s="17">
        <v>4640</v>
      </c>
      <c r="J4" s="17">
        <v>0</v>
      </c>
      <c r="K4" s="17"/>
      <c r="L4" s="17">
        <f>VLOOKUP(A4,'סה"כ כ"ס'!$J$3:$W$179,14,FALSE)</f>
        <v>7440.62</v>
      </c>
      <c r="M4" s="17">
        <f>VLOOKUP(A4,'סה"כ כ"ס'!$J$3:$X$187,15,FALSE)</f>
        <v>14914.14</v>
      </c>
      <c r="N4" s="17">
        <f>VLOOKUP(A4,'סה"כ כ"ס'!$J$3:$Y$188,16,FALSE)</f>
        <v>30601.15</v>
      </c>
    </row>
    <row r="5" spans="1:14" x14ac:dyDescent="0.3">
      <c r="A5">
        <f>SUMIF('סה"כ כ"ס'!K:K,B5,'סה"כ כ"ס'!J:J)</f>
        <v>612</v>
      </c>
      <c r="B5" s="15">
        <v>61</v>
      </c>
      <c r="C5" s="29" t="s">
        <v>427</v>
      </c>
      <c r="D5" s="29" t="s">
        <v>237</v>
      </c>
      <c r="E5" s="18" t="s">
        <v>293</v>
      </c>
      <c r="F5" s="17">
        <v>23847</v>
      </c>
      <c r="G5" s="17">
        <v>0</v>
      </c>
      <c r="H5" s="17">
        <v>510</v>
      </c>
      <c r="I5" s="17">
        <v>0</v>
      </c>
      <c r="J5" s="17">
        <v>0</v>
      </c>
      <c r="K5" s="17"/>
      <c r="L5" s="17">
        <f>VLOOKUP(A5,'סה"כ כ"ס'!$J$3:$W$179,14,FALSE)</f>
        <v>9408.6200000000008</v>
      </c>
      <c r="M5" s="17">
        <f>VLOOKUP(A5,'סה"כ כ"ס'!$J$3:$X$187,15,FALSE)</f>
        <v>21740.6</v>
      </c>
      <c r="N5" s="17">
        <f>VLOOKUP(A5,'סה"כ כ"ס'!$J$3:$Y$188,16,FALSE)</f>
        <v>26430.5</v>
      </c>
    </row>
    <row r="6" spans="1:14" x14ac:dyDescent="0.3">
      <c r="A6">
        <f>SUMIF('סה"כ כ"ס'!K:K,B6,'סה"כ כ"ס'!J:J)</f>
        <v>1636</v>
      </c>
      <c r="B6" s="15">
        <v>163</v>
      </c>
      <c r="C6" s="15" t="s">
        <v>296</v>
      </c>
      <c r="D6" s="15" t="s">
        <v>297</v>
      </c>
      <c r="E6" s="18" t="s">
        <v>293</v>
      </c>
      <c r="F6" s="17">
        <v>13440</v>
      </c>
      <c r="G6" s="17">
        <v>13728</v>
      </c>
      <c r="H6" s="17">
        <v>13537</v>
      </c>
      <c r="I6" s="17">
        <v>13375</v>
      </c>
      <c r="J6" s="17">
        <v>20834</v>
      </c>
      <c r="K6" s="17"/>
      <c r="L6" s="17">
        <f>VLOOKUP(A6,'סה"כ כ"ס'!$J$3:$W$179,14,FALSE)</f>
        <v>0</v>
      </c>
      <c r="M6" s="17">
        <f>VLOOKUP(A6,'סה"כ כ"ס'!$J$3:$X$187,15,FALSE)</f>
        <v>0</v>
      </c>
      <c r="N6" s="17">
        <f>VLOOKUP(A6,'סה"כ כ"ס'!$J$3:$Y$188,16,FALSE)</f>
        <v>0</v>
      </c>
    </row>
    <row r="7" spans="1:14" x14ac:dyDescent="0.3">
      <c r="A7">
        <f>SUMIF('סה"כ כ"ס'!K:K,B7,'סה"כ כ"ס'!J:J)</f>
        <v>67</v>
      </c>
      <c r="B7" s="15">
        <v>6</v>
      </c>
      <c r="C7" s="15" t="s">
        <v>298</v>
      </c>
      <c r="D7" s="15" t="s">
        <v>127</v>
      </c>
      <c r="E7" s="18" t="s">
        <v>293</v>
      </c>
      <c r="F7" s="17">
        <v>579</v>
      </c>
      <c r="G7" s="17">
        <v>0</v>
      </c>
      <c r="H7" s="17">
        <v>1984</v>
      </c>
      <c r="I7" s="17">
        <v>4795</v>
      </c>
      <c r="J7" s="17">
        <v>328</v>
      </c>
      <c r="K7" s="18">
        <v>155.51</v>
      </c>
      <c r="L7" s="17">
        <f>VLOOKUP(A7,'סה"כ כ"ס'!$J$3:$W$179,14,FALSE)</f>
        <v>155.51</v>
      </c>
      <c r="M7" s="17">
        <f>VLOOKUP(A7,'סה"כ כ"ס'!$J$3:$X$187,15,FALSE)</f>
        <v>171.61</v>
      </c>
      <c r="N7" s="17">
        <f>VLOOKUP(A7,'סה"כ כ"ס'!$J$3:$Y$188,16,FALSE)</f>
        <v>71.760000000000005</v>
      </c>
    </row>
    <row r="8" spans="1:14" x14ac:dyDescent="0.3">
      <c r="A8">
        <f>SUMIF('סה"כ כ"ס'!K:K,B8,'סה"כ כ"ס'!J:J)</f>
        <v>174</v>
      </c>
      <c r="B8" s="15">
        <v>17</v>
      </c>
      <c r="C8" s="15" t="s">
        <v>299</v>
      </c>
      <c r="D8" s="15" t="s">
        <v>300</v>
      </c>
      <c r="E8" s="18" t="s">
        <v>293</v>
      </c>
      <c r="F8" s="17">
        <v>22779</v>
      </c>
      <c r="G8" s="17">
        <v>22840</v>
      </c>
      <c r="H8" s="17">
        <v>21869</v>
      </c>
      <c r="I8" s="17">
        <v>24898</v>
      </c>
      <c r="J8" s="17">
        <v>22348</v>
      </c>
      <c r="K8" s="18">
        <v>23532.66</v>
      </c>
      <c r="L8" s="17">
        <f>VLOOKUP(A8,'סה"כ כ"ס'!$J$3:$W$179,14,FALSE)</f>
        <v>22686.13</v>
      </c>
      <c r="M8" s="17">
        <f>VLOOKUP(A8,'סה"כ כ"ס'!$J$3:$X$187,15,FALSE)</f>
        <v>22059.45</v>
      </c>
      <c r="N8" s="17">
        <f>VLOOKUP(A8,'סה"כ כ"ס'!$J$3:$Y$188,16,FALSE)</f>
        <v>22020.98</v>
      </c>
    </row>
    <row r="9" spans="1:14" x14ac:dyDescent="0.3">
      <c r="A9">
        <f>SUMIF('סה"כ כ"ס'!K:K,B9,'סה"כ כ"ס'!J:J)</f>
        <v>323</v>
      </c>
      <c r="B9" s="15">
        <v>32</v>
      </c>
      <c r="C9" s="15" t="s">
        <v>301</v>
      </c>
      <c r="D9" s="15" t="s">
        <v>283</v>
      </c>
      <c r="E9" s="18" t="s">
        <v>293</v>
      </c>
      <c r="F9" s="17">
        <v>10264</v>
      </c>
      <c r="G9" s="17">
        <v>11952</v>
      </c>
      <c r="H9" s="17">
        <v>11190</v>
      </c>
      <c r="I9" s="17">
        <v>15083</v>
      </c>
      <c r="J9" s="17">
        <v>14556</v>
      </c>
      <c r="K9" s="18">
        <v>12948.53</v>
      </c>
      <c r="L9" s="17">
        <f>VLOOKUP(A9,'סה"כ כ"ס'!$J$3:$W$179,14,FALSE)</f>
        <v>9579.15</v>
      </c>
      <c r="M9" s="17">
        <f>VLOOKUP(A9,'סה"כ כ"ס'!$J$3:$X$187,15,FALSE)</f>
        <v>2912.51</v>
      </c>
      <c r="N9" s="17">
        <f>VLOOKUP(A9,'סה"כ כ"ס'!$J$3:$Y$188,16,FALSE)</f>
        <v>1967.75</v>
      </c>
    </row>
    <row r="10" spans="1:14" x14ac:dyDescent="0.3">
      <c r="A10">
        <f>SUMIF('סה"כ כ"ס'!K:K,B10,'סה"כ כ"ס'!J:J)</f>
        <v>372</v>
      </c>
      <c r="B10" s="15">
        <v>37</v>
      </c>
      <c r="C10" s="15" t="s">
        <v>302</v>
      </c>
      <c r="D10" s="15" t="s">
        <v>303</v>
      </c>
      <c r="E10" s="18" t="s">
        <v>293</v>
      </c>
      <c r="F10" s="17">
        <v>4619</v>
      </c>
      <c r="G10" s="17">
        <v>0</v>
      </c>
      <c r="H10" s="17">
        <v>325</v>
      </c>
      <c r="I10" s="17">
        <v>6244</v>
      </c>
      <c r="J10" s="17">
        <v>2917</v>
      </c>
      <c r="K10" s="18">
        <v>2102.06</v>
      </c>
      <c r="L10" s="17">
        <f>VLOOKUP(A10,'סה"כ כ"ס'!$J$3:$W$179,14,FALSE)</f>
        <v>1173.3900000000001</v>
      </c>
      <c r="M10" s="17">
        <f>VLOOKUP(A10,'סה"כ כ"ס'!$J$3:$X$187,15,FALSE)</f>
        <v>2084.67</v>
      </c>
      <c r="N10" s="17">
        <f>VLOOKUP(A10,'סה"כ כ"ס'!$J$3:$Y$188,16,FALSE)</f>
        <v>5182.3999999999996</v>
      </c>
    </row>
    <row r="11" spans="1:14" x14ac:dyDescent="0.3">
      <c r="A11">
        <f>SUMIF('סה"כ כ"ס'!K:K,B11,'סה"כ כ"ס'!J:J)</f>
        <v>0</v>
      </c>
      <c r="B11" s="15">
        <v>44</v>
      </c>
      <c r="C11" s="15" t="s">
        <v>543</v>
      </c>
      <c r="D11" s="15" t="s">
        <v>544</v>
      </c>
      <c r="E11" s="18" t="s">
        <v>293</v>
      </c>
      <c r="F11" s="17">
        <v>10646</v>
      </c>
      <c r="G11" s="17">
        <v>9335</v>
      </c>
      <c r="H11" s="17">
        <v>22198</v>
      </c>
      <c r="I11" s="17">
        <v>2657</v>
      </c>
      <c r="J11" s="17">
        <v>0</v>
      </c>
      <c r="K11" s="17"/>
      <c r="L11" s="17">
        <f>VLOOKUP(A11,'סה"כ כ"ס'!$J$3:$W$179,14,FALSE)</f>
        <v>0</v>
      </c>
      <c r="M11" s="17">
        <f>VLOOKUP(A11,'סה"כ כ"ס'!$J$3:$X$187,15,FALSE)</f>
        <v>0</v>
      </c>
      <c r="N11" s="17">
        <f>VLOOKUP(A11,'סה"כ כ"ס'!$J$3:$Y$188,16,FALSE)</f>
        <v>0</v>
      </c>
    </row>
    <row r="12" spans="1:14" x14ac:dyDescent="0.3">
      <c r="A12">
        <f>SUMIF('סה"כ כ"ס'!K:K,B12,'סה"כ כ"ס'!J:J)</f>
        <v>539</v>
      </c>
      <c r="B12" s="15">
        <v>53</v>
      </c>
      <c r="C12" s="15" t="s">
        <v>304</v>
      </c>
      <c r="D12" s="15" t="s">
        <v>164</v>
      </c>
      <c r="E12" s="18" t="s">
        <v>293</v>
      </c>
      <c r="F12" s="17">
        <v>10643</v>
      </c>
      <c r="G12" s="17">
        <v>9271</v>
      </c>
      <c r="H12" s="17">
        <v>11567</v>
      </c>
      <c r="I12" s="17">
        <v>15311</v>
      </c>
      <c r="J12" s="17">
        <v>13400</v>
      </c>
      <c r="K12" s="17"/>
      <c r="L12" s="17">
        <f>VLOOKUP(A12,'סה"כ כ"ס'!$J$3:$W$179,14,FALSE)</f>
        <v>0</v>
      </c>
      <c r="M12" s="17">
        <f>VLOOKUP(A12,'סה"כ כ"ס'!$J$3:$X$187,15,FALSE)</f>
        <v>0</v>
      </c>
      <c r="N12" s="17">
        <f>VLOOKUP(A12,'סה"כ כ"ס'!$J$3:$Y$188,16,FALSE)</f>
        <v>0</v>
      </c>
    </row>
    <row r="13" spans="1:14" x14ac:dyDescent="0.3">
      <c r="A13">
        <f>SUMIF('סה"כ כ"ס'!K:K,B13,'סה"כ כ"ס'!J:J)</f>
        <v>570</v>
      </c>
      <c r="B13" s="15">
        <v>57</v>
      </c>
      <c r="C13" s="15" t="s">
        <v>305</v>
      </c>
      <c r="D13" s="15" t="s">
        <v>306</v>
      </c>
      <c r="E13" s="18" t="s">
        <v>293</v>
      </c>
      <c r="F13" s="17">
        <v>6026</v>
      </c>
      <c r="G13" s="17">
        <v>14837</v>
      </c>
      <c r="H13" s="17">
        <v>7753</v>
      </c>
      <c r="I13" s="17">
        <v>8835</v>
      </c>
      <c r="J13" s="17">
        <v>6936</v>
      </c>
      <c r="K13" s="18">
        <v>14625.16</v>
      </c>
      <c r="L13" s="17">
        <f>VLOOKUP(A13,'סה"כ כ"ס'!$J$3:$W$179,14,FALSE)</f>
        <v>3469.58</v>
      </c>
      <c r="M13" s="17">
        <f>VLOOKUP(A13,'סה"כ כ"ס'!$J$3:$X$187,15,FALSE)</f>
        <v>7566.71</v>
      </c>
      <c r="N13" s="17">
        <f>VLOOKUP(A13,'סה"כ כ"ס'!$J$3:$Y$188,16,FALSE)</f>
        <v>10132.379999999999</v>
      </c>
    </row>
    <row r="14" spans="1:14" x14ac:dyDescent="0.3">
      <c r="A14">
        <f>SUMIF('סה"כ כ"ס'!K:K,B14,'סה"כ כ"ס'!J:J)</f>
        <v>1099</v>
      </c>
      <c r="B14" s="15">
        <v>109</v>
      </c>
      <c r="C14" s="15" t="s">
        <v>307</v>
      </c>
      <c r="D14" s="15" t="s">
        <v>222</v>
      </c>
      <c r="E14" s="18" t="s">
        <v>293</v>
      </c>
      <c r="F14" s="17">
        <v>8898</v>
      </c>
      <c r="G14" s="17">
        <v>4781</v>
      </c>
      <c r="H14" s="17">
        <v>586</v>
      </c>
      <c r="I14" s="17">
        <v>6005</v>
      </c>
      <c r="J14" s="17">
        <v>3348</v>
      </c>
      <c r="K14" s="18">
        <v>3239.2</v>
      </c>
      <c r="L14" s="17">
        <f>VLOOKUP(A14,'סה"כ כ"ס'!$J$3:$W$179,14,FALSE)</f>
        <v>1607.7</v>
      </c>
      <c r="M14" s="17">
        <f>VLOOKUP(A14,'סה"כ כ"ס'!$J$3:$X$187,15,FALSE)</f>
        <v>6738.21</v>
      </c>
      <c r="N14" s="17">
        <f>VLOOKUP(A14,'סה"כ כ"ס'!$J$3:$Y$188,16,FALSE)</f>
        <v>3831.05</v>
      </c>
    </row>
    <row r="15" spans="1:14" x14ac:dyDescent="0.3">
      <c r="A15">
        <f>SUMIF('סה"כ כ"ס'!K:K,B15,'סה"כ כ"ס'!J:J)</f>
        <v>1198</v>
      </c>
      <c r="B15" s="15">
        <v>119</v>
      </c>
      <c r="C15" s="15" t="s">
        <v>308</v>
      </c>
      <c r="D15" s="15" t="s">
        <v>91</v>
      </c>
      <c r="E15" s="18" t="s">
        <v>293</v>
      </c>
      <c r="F15" s="17">
        <v>10652</v>
      </c>
      <c r="G15" s="17">
        <v>10523</v>
      </c>
      <c r="H15" s="17">
        <v>10527</v>
      </c>
      <c r="I15" s="17">
        <v>17350</v>
      </c>
      <c r="J15" s="17">
        <v>12548</v>
      </c>
      <c r="K15" s="18">
        <v>10879.44</v>
      </c>
      <c r="L15" s="17">
        <f>VLOOKUP(A15,'סה"כ כ"ס'!$J$3:$W$179,14,FALSE)</f>
        <v>12168.52</v>
      </c>
      <c r="M15" s="17">
        <f>VLOOKUP(A15,'סה"כ כ"ס'!$J$3:$X$187,15,FALSE)</f>
        <v>11122.98</v>
      </c>
      <c r="N15" s="17">
        <f>VLOOKUP(A15,'סה"כ כ"ס'!$J$3:$Y$188,16,FALSE)</f>
        <v>12759.57</v>
      </c>
    </row>
    <row r="16" spans="1:14" x14ac:dyDescent="0.3">
      <c r="A16">
        <f>SUMIF('סה"כ כ"ס'!K:K,B16,'סה"כ כ"ס'!J:J)</f>
        <v>1206</v>
      </c>
      <c r="B16" s="15">
        <v>120</v>
      </c>
      <c r="C16" s="15" t="s">
        <v>309</v>
      </c>
      <c r="D16" s="15" t="s">
        <v>310</v>
      </c>
      <c r="E16" s="18" t="s">
        <v>293</v>
      </c>
      <c r="F16" s="17">
        <v>955</v>
      </c>
      <c r="G16" s="17">
        <v>2186</v>
      </c>
      <c r="H16" s="17">
        <v>1203</v>
      </c>
      <c r="I16" s="17">
        <v>4342</v>
      </c>
      <c r="J16" s="17">
        <v>1926</v>
      </c>
      <c r="K16" s="18">
        <v>1234.96</v>
      </c>
      <c r="L16" s="17">
        <f>VLOOKUP(A16,'סה"כ כ"ס'!$J$3:$W$179,14,FALSE)</f>
        <v>845.16</v>
      </c>
      <c r="M16" s="17">
        <f>VLOOKUP(A16,'סה"כ כ"ס'!$J$3:$X$187,15,FALSE)</f>
        <v>7.72</v>
      </c>
      <c r="N16" s="17">
        <f>VLOOKUP(A16,'סה"כ כ"ס'!$J$3:$Y$188,16,FALSE)</f>
        <v>1462.27</v>
      </c>
    </row>
    <row r="17" spans="1:14" x14ac:dyDescent="0.3">
      <c r="A17">
        <f>SUMIF('סה"כ כ"ס'!K:K,B17,'סה"כ כ"ס'!J:J)</f>
        <v>1230</v>
      </c>
      <c r="B17" s="15">
        <v>123</v>
      </c>
      <c r="C17" s="15" t="s">
        <v>311</v>
      </c>
      <c r="D17" s="15" t="s">
        <v>312</v>
      </c>
      <c r="E17" s="18" t="s">
        <v>293</v>
      </c>
      <c r="F17" s="17">
        <v>12382</v>
      </c>
      <c r="G17" s="17">
        <v>11919</v>
      </c>
      <c r="H17" s="17">
        <v>10956</v>
      </c>
      <c r="I17" s="17">
        <v>15122</v>
      </c>
      <c r="J17" s="17">
        <v>12070</v>
      </c>
      <c r="K17" s="18">
        <v>11308.6</v>
      </c>
      <c r="L17" s="17">
        <f>VLOOKUP(A17,'סה"כ כ"ס'!$J$3:$W$179,14,FALSE)</f>
        <v>12728.86</v>
      </c>
      <c r="M17" s="17">
        <f>VLOOKUP(A17,'סה"כ כ"ס'!$J$3:$X$187,15,FALSE)</f>
        <v>15244.55</v>
      </c>
      <c r="N17" s="17">
        <f>VLOOKUP(A17,'סה"כ כ"ס'!$J$3:$Y$188,16,FALSE)</f>
        <v>17016.150000000001</v>
      </c>
    </row>
    <row r="18" spans="1:14" x14ac:dyDescent="0.3">
      <c r="A18">
        <f>SUMIF('סה"כ כ"ס'!K:K,B18,'סה"כ כ"ס'!J:J)</f>
        <v>1628</v>
      </c>
      <c r="B18" s="15">
        <v>162</v>
      </c>
      <c r="C18" s="15" t="s">
        <v>313</v>
      </c>
      <c r="D18" s="15" t="s">
        <v>314</v>
      </c>
      <c r="E18" s="18" t="s">
        <v>293</v>
      </c>
      <c r="F18" s="17">
        <v>6895</v>
      </c>
      <c r="G18" s="17">
        <v>3732</v>
      </c>
      <c r="H18" s="17">
        <v>5682</v>
      </c>
      <c r="I18" s="17">
        <v>7795</v>
      </c>
      <c r="J18" s="17">
        <v>12479</v>
      </c>
      <c r="K18" s="18">
        <v>10521.45</v>
      </c>
      <c r="L18" s="17">
        <f>VLOOKUP(A18,'סה"כ כ"ס'!$J$3:$W$179,14,FALSE)</f>
        <v>9158.5499999999993</v>
      </c>
      <c r="M18" s="17">
        <f>VLOOKUP(A18,'סה"כ כ"ס'!$J$3:$X$187,15,FALSE)</f>
        <v>10930.21</v>
      </c>
      <c r="N18" s="17">
        <f>VLOOKUP(A18,'סה"כ כ"ס'!$J$3:$Y$188,16,FALSE)</f>
        <v>11191.34</v>
      </c>
    </row>
    <row r="19" spans="1:14" x14ac:dyDescent="0.3">
      <c r="A19">
        <f>SUMIF('סה"כ כ"ס'!K:K,B19,'סה"כ כ"ס'!J:J)</f>
        <v>1784</v>
      </c>
      <c r="B19" s="15">
        <v>178</v>
      </c>
      <c r="C19" s="15" t="s">
        <v>315</v>
      </c>
      <c r="D19" s="15" t="s">
        <v>316</v>
      </c>
      <c r="E19" s="18" t="s">
        <v>293</v>
      </c>
      <c r="F19" s="17">
        <v>9324</v>
      </c>
      <c r="G19" s="17">
        <v>8374</v>
      </c>
      <c r="H19" s="17">
        <v>9241</v>
      </c>
      <c r="I19" s="17">
        <v>10536</v>
      </c>
      <c r="J19" s="17">
        <v>9755</v>
      </c>
      <c r="K19" s="18">
        <v>10206.959999999999</v>
      </c>
      <c r="L19" s="17">
        <f>VLOOKUP(A19,'סה"כ כ"ס'!$J$3:$W$179,14,FALSE)</f>
        <v>8439.2099999999991</v>
      </c>
      <c r="M19" s="17">
        <f>VLOOKUP(A19,'סה"כ כ"ס'!$J$3:$X$187,15,FALSE)</f>
        <v>9018.99</v>
      </c>
      <c r="N19" s="17">
        <f>VLOOKUP(A19,'סה"כ כ"ס'!$J$3:$Y$188,16,FALSE)</f>
        <v>10690.82</v>
      </c>
    </row>
    <row r="20" spans="1:14" x14ac:dyDescent="0.3">
      <c r="A20">
        <f>SUMIF('סה"כ כ"ס'!K:K,B20,'סה"כ כ"ס'!J:J)</f>
        <v>1883</v>
      </c>
      <c r="B20" s="15">
        <v>188</v>
      </c>
      <c r="C20" s="15" t="s">
        <v>317</v>
      </c>
      <c r="D20" s="15" t="s">
        <v>142</v>
      </c>
      <c r="E20" s="18" t="s">
        <v>293</v>
      </c>
      <c r="F20" s="17">
        <v>6351</v>
      </c>
      <c r="G20" s="17">
        <v>4830</v>
      </c>
      <c r="H20" s="17">
        <v>5683</v>
      </c>
      <c r="I20" s="17">
        <v>3356</v>
      </c>
      <c r="J20" s="17">
        <v>6259</v>
      </c>
      <c r="K20" s="18">
        <v>4410.3900000000003</v>
      </c>
      <c r="L20" s="17">
        <f>VLOOKUP(A20,'סה"כ כ"ס'!$J$3:$W$179,14,FALSE)</f>
        <v>3095.4</v>
      </c>
      <c r="M20" s="17">
        <f>VLOOKUP(A20,'סה"כ כ"ס'!$J$3:$X$187,15,FALSE)</f>
        <v>3593.88</v>
      </c>
      <c r="N20" s="17">
        <f>VLOOKUP(A20,'סה"כ כ"ס'!$J$3:$Y$188,16,FALSE)</f>
        <v>4198.38</v>
      </c>
    </row>
    <row r="21" spans="1:14" x14ac:dyDescent="0.3">
      <c r="A21">
        <f>SUMIF('סה"כ כ"ס'!K:K,B21,'סה"כ כ"ס'!J:J)</f>
        <v>2063</v>
      </c>
      <c r="B21" s="15">
        <v>206</v>
      </c>
      <c r="C21" s="15" t="s">
        <v>318</v>
      </c>
      <c r="D21" s="15" t="s">
        <v>319</v>
      </c>
      <c r="E21" s="18" t="s">
        <v>293</v>
      </c>
      <c r="F21" s="17"/>
      <c r="G21" s="17"/>
      <c r="H21" s="17"/>
      <c r="I21" s="17">
        <v>0</v>
      </c>
      <c r="J21" s="17">
        <v>3138</v>
      </c>
      <c r="K21" s="18">
        <v>7311.96</v>
      </c>
      <c r="L21" s="17">
        <f>VLOOKUP(A21,'סה"כ כ"ס'!$J$3:$W$179,14,FALSE)</f>
        <v>7690.67</v>
      </c>
      <c r="M21" s="17">
        <f>VLOOKUP(A21,'סה"כ כ"ס'!$J$3:$X$187,15,FALSE)</f>
        <v>6500.38</v>
      </c>
      <c r="N21" s="17">
        <f>VLOOKUP(A21,'סה"כ כ"ס'!$J$3:$Y$188,16,FALSE)</f>
        <v>13445.18</v>
      </c>
    </row>
    <row r="22" spans="1:14" ht="15" thickBot="1" x14ac:dyDescent="0.35">
      <c r="A22" s="349">
        <v>2246</v>
      </c>
      <c r="C22" s="350" t="s">
        <v>963</v>
      </c>
      <c r="D22" s="350" t="s">
        <v>964</v>
      </c>
      <c r="E22" s="18" t="s">
        <v>293</v>
      </c>
      <c r="F22" s="17"/>
      <c r="G22" s="17"/>
      <c r="H22" s="17"/>
      <c r="I22" s="17"/>
      <c r="J22" s="17"/>
      <c r="K22" s="18"/>
      <c r="L22" s="17"/>
      <c r="M22" s="17"/>
      <c r="N22" s="17">
        <f>VLOOKUP(A22,'סה"כ כ"ס'!$J$3:$Y$188,16,FALSE)</f>
        <v>5948.29</v>
      </c>
    </row>
    <row r="23" spans="1:14" ht="14.5" thickTop="1" x14ac:dyDescent="0.3">
      <c r="F23" s="115">
        <f>SUM(F2:F21)</f>
        <v>253079</v>
      </c>
      <c r="G23" s="115">
        <f t="shared" ref="G23:L23" si="0">SUM(G2:G21)</f>
        <v>209310</v>
      </c>
      <c r="H23" s="115">
        <f t="shared" si="0"/>
        <v>236983</v>
      </c>
      <c r="I23" s="115">
        <f t="shared" si="0"/>
        <v>239853</v>
      </c>
      <c r="J23" s="115">
        <f t="shared" si="0"/>
        <v>222468</v>
      </c>
      <c r="K23" s="115">
        <f t="shared" si="0"/>
        <v>192340.7</v>
      </c>
      <c r="L23" s="115">
        <f t="shared" si="0"/>
        <v>189510.9</v>
      </c>
      <c r="M23" s="115">
        <f>SUM(M2:M22)</f>
        <v>557745.15999999992</v>
      </c>
      <c r="N23" s="115">
        <f>SUM(N2:N22)</f>
        <v>261434.22</v>
      </c>
    </row>
    <row r="25" spans="1:14" x14ac:dyDescent="0.3">
      <c r="E25" t="s">
        <v>440</v>
      </c>
      <c r="F25" s="31">
        <f>+F23-F26</f>
        <v>149288</v>
      </c>
      <c r="G25" s="31">
        <f>+G23-G26</f>
        <v>130249</v>
      </c>
      <c r="H25" s="31">
        <f t="shared" ref="H25:K25" si="1">+H23-H26</f>
        <v>134458</v>
      </c>
      <c r="I25" s="31">
        <f t="shared" si="1"/>
        <v>160344</v>
      </c>
      <c r="J25" s="31">
        <f t="shared" si="1"/>
        <v>142842</v>
      </c>
      <c r="K25" s="31">
        <f t="shared" si="1"/>
        <v>112476.88</v>
      </c>
      <c r="L25" s="31">
        <f t="shared" ref="L25:M25" si="2">+L23-L26</f>
        <v>100238.45</v>
      </c>
      <c r="M25" s="31">
        <f t="shared" si="2"/>
        <v>112866.00999999995</v>
      </c>
      <c r="N25" s="31">
        <f t="shared" ref="N25" si="3">+N23-N26</f>
        <v>150519.47</v>
      </c>
    </row>
    <row r="26" spans="1:14" x14ac:dyDescent="0.3">
      <c r="E26" t="s">
        <v>441</v>
      </c>
      <c r="F26" s="41">
        <f>+F2+F3+F5</f>
        <v>103791</v>
      </c>
      <c r="G26" s="41">
        <f>+G2+G3+G5</f>
        <v>79061</v>
      </c>
      <c r="H26" s="41">
        <f t="shared" ref="H26:K26" si="4">+H2+H3+H5</f>
        <v>102525</v>
      </c>
      <c r="I26" s="41">
        <f t="shared" si="4"/>
        <v>79509</v>
      </c>
      <c r="J26" s="41">
        <f t="shared" si="4"/>
        <v>79626</v>
      </c>
      <c r="K26" s="41">
        <f t="shared" si="4"/>
        <v>79863.820000000007</v>
      </c>
      <c r="L26" s="41">
        <f>+L2+L3+L5</f>
        <v>89272.45</v>
      </c>
      <c r="M26" s="41">
        <f>+M2+M3+M5</f>
        <v>444879.14999999997</v>
      </c>
      <c r="N26" s="41">
        <f>+N2+N3+N5</f>
        <v>110914.75</v>
      </c>
    </row>
    <row r="27" spans="1:14" x14ac:dyDescent="0.3">
      <c r="L27" t="s">
        <v>958</v>
      </c>
      <c r="M27">
        <f>-166771-165232</f>
        <v>-332003</v>
      </c>
    </row>
    <row r="29" spans="1:14" x14ac:dyDescent="0.3">
      <c r="M29" s="4">
        <f>+M23+M27</f>
        <v>225742.15999999992</v>
      </c>
      <c r="N29" s="4"/>
    </row>
  </sheetData>
  <autoFilter ref="A1:M23" xr:uid="{F293E1B4-C5F2-4F86-981B-DC61904B6FBD}"/>
  <conditionalFormatting sqref="C1:C21">
    <cfRule type="duplicateValues" dxfId="6" priority="2"/>
  </conditionalFormatting>
  <conditionalFormatting sqref="C22">
    <cfRule type="duplicateValues" dxfId="5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15F5-7A73-4160-BF58-2176CE7B8A66}">
  <sheetPr>
    <tabColor rgb="FF00B050"/>
  </sheetPr>
  <dimension ref="A1:N8"/>
  <sheetViews>
    <sheetView rightToLeft="1" topLeftCell="A2" workbookViewId="0">
      <selection activeCell="A11" sqref="A11:XFD1048576"/>
    </sheetView>
  </sheetViews>
  <sheetFormatPr defaultRowHeight="14" x14ac:dyDescent="0.3"/>
  <cols>
    <col min="14" max="14" width="9.83203125" bestFit="1" customWidth="1"/>
  </cols>
  <sheetData>
    <row r="1" spans="1:14" ht="28" x14ac:dyDescent="0.3">
      <c r="A1" s="12" t="s">
        <v>909</v>
      </c>
      <c r="B1" s="12" t="s">
        <v>499</v>
      </c>
      <c r="C1" s="12" t="s">
        <v>82</v>
      </c>
      <c r="D1" s="12" t="s">
        <v>83</v>
      </c>
      <c r="E1" s="12" t="s">
        <v>192</v>
      </c>
      <c r="F1" s="12">
        <v>8.25</v>
      </c>
      <c r="G1" s="12">
        <v>9.25</v>
      </c>
      <c r="H1" s="12">
        <v>10.25</v>
      </c>
      <c r="I1" s="12">
        <v>11.25</v>
      </c>
      <c r="J1" s="12">
        <v>12.25</v>
      </c>
      <c r="K1" s="12">
        <v>1.26</v>
      </c>
      <c r="L1" s="12">
        <v>2.2599999999999998</v>
      </c>
      <c r="M1" s="12">
        <v>3.26</v>
      </c>
      <c r="N1" s="12">
        <v>4.26</v>
      </c>
    </row>
    <row r="2" spans="1:14" x14ac:dyDescent="0.3">
      <c r="A2">
        <f>SUMIF('סה"כ כ"ס'!K:K,B2,'סה"כ כ"ס'!J:J)</f>
        <v>1412</v>
      </c>
      <c r="B2" s="15">
        <v>141</v>
      </c>
      <c r="C2" s="15" t="s">
        <v>391</v>
      </c>
      <c r="D2" s="15" t="s">
        <v>392</v>
      </c>
      <c r="E2" s="21" t="s">
        <v>489</v>
      </c>
      <c r="F2" s="17">
        <v>9289</v>
      </c>
      <c r="G2" s="17">
        <v>7949</v>
      </c>
      <c r="H2" s="17">
        <v>7525</v>
      </c>
      <c r="I2" s="17">
        <v>7927</v>
      </c>
      <c r="J2" s="17">
        <v>8758</v>
      </c>
      <c r="K2" s="21">
        <v>6798.69</v>
      </c>
      <c r="L2" s="17">
        <f>VLOOKUP(A2,'סה"כ כ"ס'!$J$3:$W$179,14,FALSE)</f>
        <v>5773.11</v>
      </c>
      <c r="M2">
        <f>VLOOKUP(A2,'סה"כ כ"ס'!$J$3:$X$187,15,FALSE)</f>
        <v>5130.57</v>
      </c>
      <c r="N2" s="27">
        <f>VLOOKUP(A2,'סה"כ כ"ס'!$J$3:$Y$188,16,FALSE)</f>
        <v>4867.71</v>
      </c>
    </row>
    <row r="3" spans="1:14" ht="14.5" thickBot="1" x14ac:dyDescent="0.35">
      <c r="A3">
        <f>SUMIF('סה"כ כ"ס'!K:K,B3,'סה"כ כ"ס'!J:J)</f>
        <v>1610</v>
      </c>
      <c r="B3" s="15">
        <v>161</v>
      </c>
      <c r="C3" s="29" t="s">
        <v>393</v>
      </c>
      <c r="D3" s="29" t="s">
        <v>394</v>
      </c>
      <c r="E3" s="21" t="s">
        <v>489</v>
      </c>
      <c r="F3" s="17">
        <v>31553</v>
      </c>
      <c r="G3" s="17">
        <v>31568</v>
      </c>
      <c r="H3" s="17">
        <v>31553</v>
      </c>
      <c r="I3" s="17">
        <v>31553</v>
      </c>
      <c r="J3" s="17">
        <v>31553</v>
      </c>
      <c r="K3" s="21">
        <v>31919.22</v>
      </c>
      <c r="L3" s="17">
        <f>VLOOKUP(A3,'סה"כ כ"ס'!$J$3:$W$179,14,FALSE)</f>
        <v>31547.78</v>
      </c>
      <c r="M3">
        <f>VLOOKUP(A3,'סה"כ כ"ס'!$J$3:$X$187,15,FALSE)</f>
        <v>31571.75</v>
      </c>
      <c r="N3" s="27">
        <f>VLOOKUP(A3,'סה"כ כ"ס'!$J$3:$Y$188,16,FALSE)</f>
        <v>31547.78</v>
      </c>
    </row>
    <row r="4" spans="1:14" ht="14.5" thickTop="1" x14ac:dyDescent="0.3">
      <c r="F4" s="115">
        <f>SUM(F2:F3)</f>
        <v>40842</v>
      </c>
      <c r="G4" s="115">
        <f t="shared" ref="G4:N4" si="0">SUM(G2:G3)</f>
        <v>39517</v>
      </c>
      <c r="H4" s="115">
        <f t="shared" si="0"/>
        <v>39078</v>
      </c>
      <c r="I4" s="115">
        <f t="shared" si="0"/>
        <v>39480</v>
      </c>
      <c r="J4" s="115">
        <f t="shared" si="0"/>
        <v>40311</v>
      </c>
      <c r="K4" s="115">
        <f t="shared" si="0"/>
        <v>38717.910000000003</v>
      </c>
      <c r="L4" s="115">
        <f t="shared" si="0"/>
        <v>37320.89</v>
      </c>
      <c r="M4" s="115">
        <f t="shared" si="0"/>
        <v>36702.32</v>
      </c>
      <c r="N4" s="115">
        <f t="shared" si="0"/>
        <v>36415.49</v>
      </c>
    </row>
    <row r="7" spans="1:14" x14ac:dyDescent="0.3">
      <c r="E7" t="s">
        <v>440</v>
      </c>
      <c r="F7" s="31">
        <f>+F4-F8</f>
        <v>9289</v>
      </c>
      <c r="G7" s="31">
        <f t="shared" ref="G7:K7" si="1">+G4-G8</f>
        <v>7949</v>
      </c>
      <c r="H7" s="31">
        <f t="shared" si="1"/>
        <v>7525</v>
      </c>
      <c r="I7" s="31">
        <f t="shared" si="1"/>
        <v>7927</v>
      </c>
      <c r="J7" s="31">
        <f t="shared" si="1"/>
        <v>8758</v>
      </c>
      <c r="K7" s="31">
        <f t="shared" si="1"/>
        <v>6798.6900000000023</v>
      </c>
      <c r="L7" s="31">
        <f t="shared" ref="L7:M7" si="2">+L4-L8</f>
        <v>5773.1100000000006</v>
      </c>
      <c r="M7" s="31">
        <f t="shared" si="2"/>
        <v>5130.57</v>
      </c>
      <c r="N7" s="31">
        <f t="shared" ref="N7" si="3">+N4-N8</f>
        <v>4867.7099999999991</v>
      </c>
    </row>
    <row r="8" spans="1:14" x14ac:dyDescent="0.3">
      <c r="E8" t="s">
        <v>441</v>
      </c>
      <c r="F8" s="41">
        <f>+F3</f>
        <v>31553</v>
      </c>
      <c r="G8" s="41">
        <f t="shared" ref="G8:K8" si="4">+G3</f>
        <v>31568</v>
      </c>
      <c r="H8" s="41">
        <f t="shared" si="4"/>
        <v>31553</v>
      </c>
      <c r="I8" s="41">
        <f t="shared" si="4"/>
        <v>31553</v>
      </c>
      <c r="J8" s="41">
        <f t="shared" si="4"/>
        <v>31553</v>
      </c>
      <c r="K8" s="41">
        <f t="shared" si="4"/>
        <v>31919.22</v>
      </c>
      <c r="L8" s="41">
        <f t="shared" ref="L8:M8" si="5">+L3</f>
        <v>31547.78</v>
      </c>
      <c r="M8" s="41">
        <f t="shared" si="5"/>
        <v>31571.75</v>
      </c>
      <c r="N8" s="41">
        <f t="shared" ref="N8" si="6">+N3</f>
        <v>31547.78</v>
      </c>
    </row>
  </sheetData>
  <conditionalFormatting sqref="C1:C3">
    <cfRule type="duplicateValues" dxfId="4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5729-EB02-4439-BF46-9E5621C47B2C}">
  <sheetPr>
    <tabColor rgb="FF00B050"/>
  </sheetPr>
  <dimension ref="A1:N10"/>
  <sheetViews>
    <sheetView rightToLeft="1" topLeftCell="A4" workbookViewId="0">
      <selection activeCell="A13" sqref="A13:XFD1048576"/>
    </sheetView>
  </sheetViews>
  <sheetFormatPr defaultRowHeight="14" x14ac:dyDescent="0.3"/>
  <cols>
    <col min="5" max="5" width="9.75" bestFit="1" customWidth="1"/>
    <col min="14" max="14" width="9.83203125" bestFit="1" customWidth="1"/>
  </cols>
  <sheetData>
    <row r="1" spans="1:14" ht="28" x14ac:dyDescent="0.3">
      <c r="A1" s="12" t="s">
        <v>909</v>
      </c>
      <c r="B1" s="12" t="s">
        <v>499</v>
      </c>
      <c r="C1" s="12" t="s">
        <v>82</v>
      </c>
      <c r="D1" s="12" t="s">
        <v>83</v>
      </c>
      <c r="E1" s="12" t="s">
        <v>192</v>
      </c>
      <c r="F1" s="12">
        <v>8.25</v>
      </c>
      <c r="G1" s="12">
        <v>9.25</v>
      </c>
      <c r="H1" s="12">
        <v>10.25</v>
      </c>
      <c r="I1" s="12">
        <v>11.25</v>
      </c>
      <c r="J1" s="12">
        <v>12.25</v>
      </c>
      <c r="K1" s="12">
        <v>1.26</v>
      </c>
      <c r="L1" s="12">
        <v>2.2599999999999998</v>
      </c>
      <c r="M1" s="12">
        <v>3.26</v>
      </c>
      <c r="N1" s="12">
        <v>4.26</v>
      </c>
    </row>
    <row r="2" spans="1:14" x14ac:dyDescent="0.3">
      <c r="A2">
        <f>SUMIF('סה"כ כ"ס'!K:K,B2,'סה"כ כ"ס'!J:J)</f>
        <v>653</v>
      </c>
      <c r="B2" s="15">
        <v>65</v>
      </c>
      <c r="C2" s="29" t="s">
        <v>384</v>
      </c>
      <c r="D2" s="29" t="s">
        <v>385</v>
      </c>
      <c r="E2" s="114" t="s">
        <v>491</v>
      </c>
      <c r="F2" s="17"/>
      <c r="G2" s="17"/>
      <c r="H2" s="17">
        <v>12890</v>
      </c>
      <c r="I2" s="17">
        <v>13049</v>
      </c>
      <c r="J2" s="17">
        <v>15878</v>
      </c>
      <c r="K2" s="21">
        <v>11877.46</v>
      </c>
      <c r="L2" s="17">
        <f>VLOOKUP(A2,'סה"כ כ"ס'!$J$3:$W$179,14,FALSE)</f>
        <v>13756.88</v>
      </c>
      <c r="M2">
        <f>VLOOKUP(A2,'סה"כ כ"ס'!$J$3:$X$187,15,FALSE)</f>
        <v>22.97</v>
      </c>
      <c r="N2" s="27">
        <f>VLOOKUP(A2,'סה"כ כ"ס'!$J$3:$Y$188,16,FALSE)</f>
        <v>10819.33</v>
      </c>
    </row>
    <row r="3" spans="1:14" x14ac:dyDescent="0.3">
      <c r="A3">
        <f>SUMIF('סה"כ כ"ס'!K:K,B3,'סה"כ כ"ס'!J:J)</f>
        <v>968</v>
      </c>
      <c r="B3" s="15">
        <v>96</v>
      </c>
      <c r="C3" s="29" t="s">
        <v>386</v>
      </c>
      <c r="D3" s="29" t="s">
        <v>387</v>
      </c>
      <c r="E3" s="114" t="s">
        <v>491</v>
      </c>
      <c r="F3" s="17">
        <v>23077</v>
      </c>
      <c r="G3" s="17">
        <v>26446</v>
      </c>
      <c r="H3" s="17">
        <v>27789</v>
      </c>
      <c r="I3" s="17">
        <v>24361</v>
      </c>
      <c r="J3" s="17">
        <v>25226</v>
      </c>
      <c r="K3" s="21">
        <v>22472.46</v>
      </c>
      <c r="L3" s="17">
        <f>VLOOKUP(A3,'סה"כ כ"ס'!$J$3:$W$179,14,FALSE)</f>
        <v>16504.23</v>
      </c>
      <c r="M3">
        <f>VLOOKUP(A3,'סה"כ כ"ס'!$J$3:$X$187,15,FALSE)</f>
        <v>23984.11</v>
      </c>
      <c r="N3" s="27">
        <f>VLOOKUP(A3,'סה"כ כ"ס'!$J$3:$Y$188,16,FALSE)</f>
        <v>19370.47</v>
      </c>
    </row>
    <row r="4" spans="1:14" x14ac:dyDescent="0.3">
      <c r="A4">
        <f>SUMIF('סה"כ כ"ס'!K:K,B4,'סה"כ כ"ס'!J:J)</f>
        <v>1511</v>
      </c>
      <c r="B4" s="15">
        <v>151</v>
      </c>
      <c r="C4" s="29" t="s">
        <v>388</v>
      </c>
      <c r="D4" s="29" t="s">
        <v>389</v>
      </c>
      <c r="E4" s="114" t="s">
        <v>491</v>
      </c>
      <c r="F4" s="17">
        <v>19601</v>
      </c>
      <c r="G4" s="17">
        <v>8602</v>
      </c>
      <c r="H4" s="17">
        <v>10787</v>
      </c>
      <c r="I4" s="17">
        <v>21805</v>
      </c>
      <c r="J4" s="17">
        <v>12990</v>
      </c>
      <c r="K4" s="21">
        <v>17391.8</v>
      </c>
      <c r="L4" s="17">
        <f>VLOOKUP(A4,'סה"כ כ"ס'!$J$3:$W$179,14,FALSE)</f>
        <v>26206.76</v>
      </c>
      <c r="M4">
        <f>VLOOKUP(A4,'סה"כ כ"ס'!$J$3:$X$187,15,FALSE)</f>
        <v>10792.06</v>
      </c>
      <c r="N4" s="27">
        <f>VLOOKUP(A4,'סה"כ כ"ס'!$J$3:$Y$188,16,FALSE)</f>
        <v>26206.76</v>
      </c>
    </row>
    <row r="5" spans="1:14" ht="14.5" thickBot="1" x14ac:dyDescent="0.35">
      <c r="A5">
        <f>SUMIF('סה"כ כ"ס'!K:K,B5,'סה"כ כ"ס'!J:J)</f>
        <v>1834</v>
      </c>
      <c r="B5" s="15">
        <v>183</v>
      </c>
      <c r="C5" s="15" t="s">
        <v>390</v>
      </c>
      <c r="D5" s="15" t="s">
        <v>135</v>
      </c>
      <c r="E5" s="114" t="s">
        <v>491</v>
      </c>
      <c r="F5" s="17">
        <v>3346</v>
      </c>
      <c r="G5" s="17">
        <v>3454</v>
      </c>
      <c r="H5" s="17">
        <v>2313</v>
      </c>
      <c r="I5" s="17">
        <v>4807</v>
      </c>
      <c r="J5" s="17">
        <v>3773</v>
      </c>
      <c r="K5" s="21">
        <v>5077.47</v>
      </c>
      <c r="L5" s="17">
        <f>VLOOKUP(A5,'סה"כ כ"ס'!$J$3:$W$179,14,FALSE)</f>
        <v>5196.87</v>
      </c>
      <c r="M5">
        <f>VLOOKUP(A5,'סה"כ כ"ס'!$J$3:$X$187,15,FALSE)</f>
        <v>4864.84</v>
      </c>
      <c r="N5" s="27">
        <f>VLOOKUP(A5,'סה"כ כ"ס'!$J$3:$Y$188,16,FALSE)</f>
        <v>6383.31</v>
      </c>
    </row>
    <row r="6" spans="1:14" ht="14.5" thickTop="1" x14ac:dyDescent="0.3">
      <c r="F6" s="115">
        <f>SUM(F2:F5)</f>
        <v>46024</v>
      </c>
      <c r="G6" s="115">
        <f t="shared" ref="G6:M6" si="0">SUM(G2:G5)</f>
        <v>38502</v>
      </c>
      <c r="H6" s="115">
        <f t="shared" si="0"/>
        <v>53779</v>
      </c>
      <c r="I6" s="115">
        <f t="shared" si="0"/>
        <v>64022</v>
      </c>
      <c r="J6" s="115">
        <f t="shared" si="0"/>
        <v>57867</v>
      </c>
      <c r="K6" s="115">
        <f t="shared" si="0"/>
        <v>56819.19</v>
      </c>
      <c r="L6" s="115">
        <f t="shared" si="0"/>
        <v>61664.74</v>
      </c>
      <c r="M6" s="115">
        <f t="shared" si="0"/>
        <v>39663.979999999996</v>
      </c>
      <c r="N6" s="115">
        <f t="shared" ref="N6" si="1">SUM(N2:N5)</f>
        <v>62779.869999999995</v>
      </c>
    </row>
    <row r="9" spans="1:14" x14ac:dyDescent="0.3">
      <c r="E9" t="s">
        <v>440</v>
      </c>
      <c r="F9" s="31">
        <f>+F6-F10</f>
        <v>3346</v>
      </c>
      <c r="G9" s="31">
        <f t="shared" ref="G9:K9" si="2">+G6-G10</f>
        <v>3454</v>
      </c>
      <c r="H9" s="31">
        <f t="shared" si="2"/>
        <v>2313</v>
      </c>
      <c r="I9" s="31">
        <f t="shared" si="2"/>
        <v>4807</v>
      </c>
      <c r="J9" s="31">
        <f t="shared" si="2"/>
        <v>3773</v>
      </c>
      <c r="K9" s="31">
        <f t="shared" si="2"/>
        <v>5077.4700000000012</v>
      </c>
      <c r="L9" s="31">
        <f t="shared" ref="L9:M9" si="3">+L6-L10</f>
        <v>5196.8700000000026</v>
      </c>
      <c r="M9" s="31">
        <f t="shared" si="3"/>
        <v>4864.8399999999965</v>
      </c>
      <c r="N9" s="31">
        <f t="shared" ref="N9" si="4">+N6-N10</f>
        <v>6383.3099999999977</v>
      </c>
    </row>
    <row r="10" spans="1:14" x14ac:dyDescent="0.3">
      <c r="E10" t="s">
        <v>441</v>
      </c>
      <c r="F10" s="41">
        <f>SUM(F2:F4)</f>
        <v>42678</v>
      </c>
      <c r="G10" s="41">
        <f t="shared" ref="G10:K10" si="5">SUM(G2:G4)</f>
        <v>35048</v>
      </c>
      <c r="H10" s="41">
        <f t="shared" si="5"/>
        <v>51466</v>
      </c>
      <c r="I10" s="41">
        <f t="shared" si="5"/>
        <v>59215</v>
      </c>
      <c r="J10" s="41">
        <f t="shared" si="5"/>
        <v>54094</v>
      </c>
      <c r="K10" s="41">
        <f t="shared" si="5"/>
        <v>51741.72</v>
      </c>
      <c r="L10" s="41">
        <f t="shared" ref="L10:M10" si="6">SUM(L2:L4)</f>
        <v>56467.869999999995</v>
      </c>
      <c r="M10" s="41">
        <f t="shared" si="6"/>
        <v>34799.14</v>
      </c>
      <c r="N10" s="41">
        <f t="shared" ref="N10" si="7">SUM(N2:N4)</f>
        <v>56396.56</v>
      </c>
    </row>
  </sheetData>
  <conditionalFormatting sqref="C1:C5">
    <cfRule type="duplicateValues" dxfId="3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7865-D1E2-44E1-8748-D525905246D2}">
  <sheetPr>
    <tabColor rgb="FF00B050"/>
  </sheetPr>
  <dimension ref="A1:N35"/>
  <sheetViews>
    <sheetView rightToLeft="1" topLeftCell="A16" workbookViewId="0">
      <selection activeCell="A43" sqref="A43:XFD1048576"/>
    </sheetView>
  </sheetViews>
  <sheetFormatPr defaultRowHeight="14" x14ac:dyDescent="0.3"/>
  <cols>
    <col min="5" max="5" width="11" customWidth="1"/>
    <col min="11" max="11" width="16.58203125" bestFit="1" customWidth="1"/>
    <col min="13" max="13" width="16.58203125" bestFit="1" customWidth="1"/>
  </cols>
  <sheetData>
    <row r="1" spans="1:14" ht="28" x14ac:dyDescent="0.3">
      <c r="A1" s="12" t="s">
        <v>909</v>
      </c>
      <c r="B1" s="12" t="s">
        <v>499</v>
      </c>
      <c r="C1" s="12" t="s">
        <v>82</v>
      </c>
      <c r="D1" s="12" t="s">
        <v>83</v>
      </c>
      <c r="E1" s="12" t="s">
        <v>192</v>
      </c>
      <c r="F1" s="12">
        <v>8.25</v>
      </c>
      <c r="G1" s="12">
        <v>9.25</v>
      </c>
      <c r="H1" s="12">
        <v>10.25</v>
      </c>
      <c r="I1" s="12">
        <v>11.25</v>
      </c>
      <c r="J1" s="12">
        <v>12.25</v>
      </c>
      <c r="K1" s="12">
        <v>1.26</v>
      </c>
      <c r="L1" s="12">
        <v>2.2599999999999998</v>
      </c>
      <c r="M1" s="12">
        <v>3.26</v>
      </c>
      <c r="N1" s="12">
        <v>4.26</v>
      </c>
    </row>
    <row r="2" spans="1:14" x14ac:dyDescent="0.3">
      <c r="A2">
        <f>SUMIF('סה"כ כ"ס'!K:K,B2,'סה"כ כ"ס'!J:J)</f>
        <v>216</v>
      </c>
      <c r="B2" s="15">
        <v>21</v>
      </c>
      <c r="C2" s="15" t="s">
        <v>367</v>
      </c>
      <c r="D2" s="15" t="s">
        <v>368</v>
      </c>
      <c r="E2" s="113" t="s">
        <v>569</v>
      </c>
      <c r="F2" s="17">
        <v>15044</v>
      </c>
      <c r="G2" s="17">
        <v>15428</v>
      </c>
      <c r="H2" s="17">
        <v>13492</v>
      </c>
      <c r="I2" s="17">
        <v>15760</v>
      </c>
      <c r="J2" s="17">
        <v>14306</v>
      </c>
      <c r="K2" s="21">
        <v>15068.11</v>
      </c>
      <c r="L2" s="17">
        <f>VLOOKUP(A2,'סה"כ כ"ס'!$J$3:$W$179,14,FALSE)</f>
        <v>14363.25</v>
      </c>
      <c r="M2" s="21">
        <f>VLOOKUP(A2,'סה"כ כ"ס'!$J$3:$X$187,15,FALSE)</f>
        <v>13836.55</v>
      </c>
      <c r="N2" s="21">
        <f>VLOOKUP(A2,'סה"כ כ"ס'!$J$3:$Y$188,16,FALSE)</f>
        <v>14226.56</v>
      </c>
    </row>
    <row r="3" spans="1:14" x14ac:dyDescent="0.3">
      <c r="A3">
        <f>SUMIF('סה"כ כ"ס'!K:K,B3,'סה"כ כ"ס'!J:J)</f>
        <v>224</v>
      </c>
      <c r="B3" s="15">
        <v>22</v>
      </c>
      <c r="C3" s="15" t="s">
        <v>370</v>
      </c>
      <c r="D3" s="15" t="s">
        <v>371</v>
      </c>
      <c r="E3" s="113" t="s">
        <v>569</v>
      </c>
      <c r="F3" s="17">
        <v>15636</v>
      </c>
      <c r="G3" s="17">
        <v>15124</v>
      </c>
      <c r="H3" s="17">
        <v>15852</v>
      </c>
      <c r="I3" s="17">
        <v>15922</v>
      </c>
      <c r="J3" s="17">
        <v>19233</v>
      </c>
      <c r="K3" s="21">
        <v>17091.72</v>
      </c>
      <c r="L3" s="17">
        <f>VLOOKUP(A3,'סה"כ כ"ס'!$J$3:$W$179,14,FALSE)</f>
        <v>16365.46</v>
      </c>
      <c r="M3" s="21">
        <f>VLOOKUP(A3,'סה"כ כ"ס'!$J$3:$X$187,15,FALSE)</f>
        <v>17983.240000000002</v>
      </c>
      <c r="N3" s="21">
        <f>VLOOKUP(A3,'סה"כ כ"ס'!$J$3:$Y$188,16,FALSE)</f>
        <v>15734.72</v>
      </c>
    </row>
    <row r="4" spans="1:14" x14ac:dyDescent="0.3">
      <c r="A4">
        <f>SUMIF('סה"כ כ"ס'!K:K,B4,'סה"כ כ"ס'!J:J)</f>
        <v>695</v>
      </c>
      <c r="B4" s="15">
        <v>69</v>
      </c>
      <c r="C4" s="15" t="s">
        <v>372</v>
      </c>
      <c r="D4" s="15" t="s">
        <v>91</v>
      </c>
      <c r="E4" s="113" t="s">
        <v>569</v>
      </c>
      <c r="F4" s="17">
        <v>9270</v>
      </c>
      <c r="G4" s="17">
        <v>8536</v>
      </c>
      <c r="H4" s="17">
        <v>8778</v>
      </c>
      <c r="I4" s="17">
        <v>3558</v>
      </c>
      <c r="J4" s="17">
        <v>4997</v>
      </c>
      <c r="K4" s="21">
        <v>3270.49</v>
      </c>
      <c r="L4" s="17">
        <f>VLOOKUP(A4,'סה"כ כ"ס'!$J$3:$W$179,14,FALSE)</f>
        <v>7342.73</v>
      </c>
      <c r="M4" s="21">
        <f>VLOOKUP(A4,'סה"כ כ"ס'!$J$3:$X$187,15,FALSE)</f>
        <v>7122.96</v>
      </c>
      <c r="N4" s="21">
        <f>VLOOKUP(A4,'סה"כ כ"ס'!$J$3:$Y$188,16,FALSE)</f>
        <v>5794.43</v>
      </c>
    </row>
    <row r="5" spans="1:14" x14ac:dyDescent="0.3">
      <c r="A5">
        <f>SUMIF('סה"כ כ"ס'!K:K,B5,'סה"כ כ"ס'!J:J)</f>
        <v>851</v>
      </c>
      <c r="B5" s="15">
        <v>85</v>
      </c>
      <c r="C5" s="15" t="s">
        <v>373</v>
      </c>
      <c r="D5" s="15" t="s">
        <v>374</v>
      </c>
      <c r="E5" s="113" t="s">
        <v>569</v>
      </c>
      <c r="F5" s="17">
        <v>11280</v>
      </c>
      <c r="G5" s="17">
        <v>9915</v>
      </c>
      <c r="H5" s="17">
        <v>10738</v>
      </c>
      <c r="I5" s="17">
        <v>9461</v>
      </c>
      <c r="J5" s="17">
        <v>11957</v>
      </c>
      <c r="K5" s="21">
        <v>10166.23</v>
      </c>
      <c r="L5" s="17">
        <f>VLOOKUP(A5,'סה"כ כ"ס'!$J$3:$W$179,14,FALSE)</f>
        <v>10275.84</v>
      </c>
      <c r="M5" s="21">
        <f>VLOOKUP(A5,'סה"כ כ"ס'!$J$3:$X$187,15,FALSE)</f>
        <v>8622.7000000000007</v>
      </c>
      <c r="N5" s="21">
        <f>VLOOKUP(A5,'סה"כ כ"ס'!$J$3:$Y$188,16,FALSE)</f>
        <v>10711.91</v>
      </c>
    </row>
    <row r="6" spans="1:14" x14ac:dyDescent="0.3">
      <c r="A6">
        <f>SUMIF('סה"כ כ"ס'!K:K,B6,'סה"כ כ"ס'!J:J)</f>
        <v>877</v>
      </c>
      <c r="B6" s="15">
        <v>87</v>
      </c>
      <c r="C6" s="15" t="s">
        <v>375</v>
      </c>
      <c r="D6" s="15" t="s">
        <v>142</v>
      </c>
      <c r="E6" s="113" t="s">
        <v>569</v>
      </c>
      <c r="F6" s="17">
        <v>9100</v>
      </c>
      <c r="G6" s="17">
        <v>9229</v>
      </c>
      <c r="H6" s="17">
        <v>9723</v>
      </c>
      <c r="I6" s="17">
        <v>10367</v>
      </c>
      <c r="J6" s="17">
        <v>10747</v>
      </c>
      <c r="K6" s="21">
        <v>10248.379999999999</v>
      </c>
      <c r="L6" s="17">
        <f>VLOOKUP(A6,'סה"כ כ"ס'!$J$3:$W$179,14,FALSE)</f>
        <v>8825.35</v>
      </c>
      <c r="M6" s="21">
        <f>VLOOKUP(A6,'סה"כ כ"ס'!$J$3:$X$187,15,FALSE)</f>
        <v>9146.5499999999993</v>
      </c>
      <c r="N6" s="21">
        <f>VLOOKUP(A6,'סה"כ כ"ס'!$J$3:$Y$188,16,FALSE)</f>
        <v>9885.23</v>
      </c>
    </row>
    <row r="7" spans="1:14" x14ac:dyDescent="0.3">
      <c r="A7">
        <v>885</v>
      </c>
      <c r="B7" s="15">
        <v>88</v>
      </c>
      <c r="C7" s="15" t="s">
        <v>376</v>
      </c>
      <c r="D7" s="15" t="s">
        <v>377</v>
      </c>
      <c r="E7" s="113" t="s">
        <v>569</v>
      </c>
      <c r="F7" s="17">
        <v>4457</v>
      </c>
      <c r="G7" s="17">
        <v>6091</v>
      </c>
      <c r="H7" s="17">
        <v>7070</v>
      </c>
      <c r="I7" s="17">
        <v>4872</v>
      </c>
      <c r="J7" s="17">
        <v>5239</v>
      </c>
      <c r="K7" s="17"/>
      <c r="L7">
        <v>4141.38</v>
      </c>
      <c r="M7" s="17">
        <f>VLOOKUP(A7,'סה"כ כ"ס'!$J$3:$X$187,15,FALSE)</f>
        <v>3212.6</v>
      </c>
      <c r="N7" s="17">
        <f>VLOOKUP(A7,'סה"כ כ"ס'!$J$3:$Y$188,16,FALSE)</f>
        <v>4549.33</v>
      </c>
    </row>
    <row r="8" spans="1:14" x14ac:dyDescent="0.3">
      <c r="A8">
        <f>SUMIF('סה"כ כ"ס'!K:K,B8,'סה"כ כ"ס'!J:J)</f>
        <v>1180</v>
      </c>
      <c r="B8" s="15">
        <v>118</v>
      </c>
      <c r="C8" s="15" t="s">
        <v>378</v>
      </c>
      <c r="D8" s="15" t="s">
        <v>379</v>
      </c>
      <c r="E8" s="113" t="s">
        <v>569</v>
      </c>
      <c r="F8" s="17">
        <v>12382</v>
      </c>
      <c r="G8" s="17">
        <v>12362</v>
      </c>
      <c r="H8" s="17">
        <v>11448</v>
      </c>
      <c r="I8" s="17">
        <v>10896</v>
      </c>
      <c r="J8" s="17">
        <v>9916</v>
      </c>
      <c r="K8" s="21">
        <v>10370.66</v>
      </c>
      <c r="L8" s="17">
        <f>VLOOKUP(A8,'סה"כ כ"ס'!$J$3:$W$179,14,FALSE)</f>
        <v>8624.84</v>
      </c>
      <c r="M8" s="21">
        <f>VLOOKUP(A8,'סה"כ כ"ס'!$J$3:$X$187,15,FALSE)</f>
        <v>14122.32</v>
      </c>
      <c r="N8" s="21">
        <f>VLOOKUP(A8,'סה"כ כ"ס'!$J$3:$Y$188,16,FALSE)</f>
        <v>13485.18</v>
      </c>
    </row>
    <row r="9" spans="1:14" x14ac:dyDescent="0.3">
      <c r="A9">
        <f>SUMIF('סה"כ כ"ס'!K:K,B9,'סה"כ כ"ס'!J:J)</f>
        <v>1321</v>
      </c>
      <c r="B9" s="15">
        <v>132</v>
      </c>
      <c r="C9" s="15" t="s">
        <v>380</v>
      </c>
      <c r="D9" s="15" t="s">
        <v>322</v>
      </c>
      <c r="E9" s="113" t="s">
        <v>569</v>
      </c>
      <c r="F9" s="17">
        <v>7157</v>
      </c>
      <c r="G9" s="17">
        <v>4359</v>
      </c>
      <c r="H9" s="17">
        <v>7236</v>
      </c>
      <c r="I9" s="17">
        <v>8005</v>
      </c>
      <c r="J9" s="17">
        <v>7295</v>
      </c>
      <c r="K9" s="21">
        <v>7388.15</v>
      </c>
      <c r="L9" s="17">
        <f>VLOOKUP(A9,'סה"כ כ"ס'!$J$3:$W$179,14,FALSE)</f>
        <v>6860.42</v>
      </c>
      <c r="M9" s="21">
        <f>VLOOKUP(A9,'סה"כ כ"ס'!$J$3:$X$187,15,FALSE)</f>
        <v>6476.84</v>
      </c>
      <c r="N9" s="21">
        <f>VLOOKUP(A9,'סה"כ כ"ס'!$J$3:$Y$188,16,FALSE)</f>
        <v>7429.75</v>
      </c>
    </row>
    <row r="10" spans="1:14" x14ac:dyDescent="0.3">
      <c r="A10">
        <f>SUMIF('סה"כ כ"ס'!K:K,B10,'סה"כ כ"ס'!J:J)</f>
        <v>0</v>
      </c>
      <c r="B10" s="15"/>
      <c r="C10" s="15" t="s">
        <v>563</v>
      </c>
      <c r="D10" s="15" t="s">
        <v>377</v>
      </c>
      <c r="E10" s="113" t="s">
        <v>569</v>
      </c>
      <c r="F10" s="17"/>
      <c r="G10" s="17"/>
      <c r="H10" s="17"/>
      <c r="I10" s="17"/>
      <c r="J10" s="17"/>
      <c r="K10" s="21">
        <v>5494.14</v>
      </c>
      <c r="L10" s="17">
        <f>VLOOKUP(A10,'סה"כ כ"ס'!$J$3:$W$179,14,FALSE)</f>
        <v>0</v>
      </c>
      <c r="M10" s="21">
        <f>VLOOKUP(A10,'סה"כ כ"ס'!$J$3:$X$187,15,FALSE)</f>
        <v>0</v>
      </c>
      <c r="N10" s="21">
        <f>VLOOKUP(A10,'סה"כ כ"ס'!$J$3:$Y$188,16,FALSE)</f>
        <v>0</v>
      </c>
    </row>
    <row r="11" spans="1:14" x14ac:dyDescent="0.3">
      <c r="A11">
        <f>SUMIF('סה"כ כ"ס'!K:K,B11,'סה"כ כ"ס'!J:J)</f>
        <v>1917</v>
      </c>
      <c r="B11" s="15">
        <v>191</v>
      </c>
      <c r="C11" s="15" t="s">
        <v>381</v>
      </c>
      <c r="D11" s="15" t="s">
        <v>382</v>
      </c>
      <c r="E11" s="113" t="s">
        <v>569</v>
      </c>
      <c r="F11" s="17">
        <v>8343</v>
      </c>
      <c r="G11" s="17">
        <v>6494</v>
      </c>
      <c r="H11" s="17">
        <v>9452</v>
      </c>
      <c r="I11" s="17">
        <v>8007</v>
      </c>
      <c r="J11" s="17">
        <v>8200</v>
      </c>
      <c r="K11" s="21">
        <v>6705.97</v>
      </c>
      <c r="L11" s="17">
        <f>VLOOKUP(A11,'סה"כ כ"ס'!$J$3:$W$179,14,FALSE)</f>
        <v>8936.2900000000009</v>
      </c>
      <c r="M11" s="21">
        <f>VLOOKUP(A11,'סה"כ כ"ס'!$J$3:$X$187,15,FALSE)</f>
        <v>9121.23</v>
      </c>
      <c r="N11" s="21">
        <f>VLOOKUP(A11,'סה"כ כ"ס'!$J$3:$Y$188,16,FALSE)</f>
        <v>7370.11</v>
      </c>
    </row>
    <row r="12" spans="1:14" x14ac:dyDescent="0.3">
      <c r="A12">
        <f>SUMIF('סה"כ כ"ס'!K:K,B12,'סה"כ כ"ס'!J:J)</f>
        <v>414</v>
      </c>
      <c r="B12" s="15">
        <v>41</v>
      </c>
      <c r="C12" s="15" t="s">
        <v>194</v>
      </c>
      <c r="D12" s="15" t="s">
        <v>383</v>
      </c>
      <c r="E12" s="113" t="s">
        <v>569</v>
      </c>
      <c r="F12" s="17">
        <v>27882</v>
      </c>
      <c r="G12" s="17">
        <v>27795</v>
      </c>
      <c r="H12" s="17">
        <v>27656</v>
      </c>
      <c r="I12" s="17">
        <v>27914</v>
      </c>
      <c r="J12" s="17">
        <v>27882</v>
      </c>
      <c r="K12" s="21">
        <v>25932.33</v>
      </c>
      <c r="L12" s="17">
        <f>VLOOKUP(A12,'סה"כ כ"ס'!$J$3:$W$179,14,FALSE)</f>
        <v>28848.26</v>
      </c>
      <c r="M12" s="21">
        <f>VLOOKUP(A12,'סה"כ כ"ס'!$J$3:$X$187,15,FALSE)</f>
        <v>27867.54</v>
      </c>
      <c r="N12" s="21">
        <f>VLOOKUP(A12,'סה"כ כ"ס'!$J$3:$Y$188,16,FALSE)</f>
        <v>27262.73</v>
      </c>
    </row>
    <row r="13" spans="1:14" x14ac:dyDescent="0.3">
      <c r="A13">
        <f>SUMIF('סה"כ כ"ס'!K:K,B13,'סה"כ כ"ס'!J:J)</f>
        <v>976</v>
      </c>
      <c r="B13" s="15">
        <v>97</v>
      </c>
      <c r="C13" s="15" t="s">
        <v>395</v>
      </c>
      <c r="D13" s="15" t="s">
        <v>236</v>
      </c>
      <c r="E13" s="79" t="s">
        <v>924</v>
      </c>
      <c r="F13" s="79">
        <v>3017</v>
      </c>
      <c r="G13" s="79">
        <v>2144</v>
      </c>
      <c r="H13" s="79">
        <v>7056</v>
      </c>
      <c r="I13" s="79">
        <v>3471</v>
      </c>
      <c r="J13" s="79">
        <v>3625</v>
      </c>
      <c r="K13" s="79">
        <v>5327.37</v>
      </c>
      <c r="L13" s="79">
        <f>VLOOKUP(A13,'סה"כ כ"ס'!$J$3:$W$179,14,FALSE)</f>
        <v>3898.02</v>
      </c>
      <c r="M13" s="79">
        <f>VLOOKUP(A13,'סה"כ כ"ס'!$J$3:$X$187,15,FALSE)</f>
        <v>5986.81</v>
      </c>
      <c r="N13" s="79">
        <f>VLOOKUP(A13,'סה"כ כ"ס'!$J$3:$Y$188,16,FALSE)</f>
        <v>11355.31</v>
      </c>
    </row>
    <row r="14" spans="1:14" x14ac:dyDescent="0.3">
      <c r="A14">
        <f>SUMIF('סה"כ כ"ס'!K:K,B14,'סה"כ כ"ס'!J:J)</f>
        <v>0</v>
      </c>
      <c r="B14" s="15">
        <v>168</v>
      </c>
      <c r="C14" s="15" t="s">
        <v>175</v>
      </c>
      <c r="D14" s="15" t="s">
        <v>567</v>
      </c>
      <c r="E14" s="22" t="s">
        <v>399</v>
      </c>
      <c r="F14" s="17">
        <v>29374</v>
      </c>
      <c r="G14" s="17">
        <v>32816</v>
      </c>
      <c r="H14" s="17">
        <v>0</v>
      </c>
      <c r="I14" s="17">
        <v>0</v>
      </c>
      <c r="J14" s="17">
        <v>0</v>
      </c>
      <c r="K14" s="17"/>
      <c r="L14" s="17">
        <f>VLOOKUP(A14,'סה"כ כ"ס'!$J$3:$W$179,14,FALSE)</f>
        <v>0</v>
      </c>
      <c r="M14" s="17">
        <f>VLOOKUP(A14,'סה"כ כ"ס'!$J$3:$X$187,15,FALSE)</f>
        <v>0</v>
      </c>
      <c r="N14" s="17">
        <f>VLOOKUP(A14,'סה"כ כ"ס'!$J$3:$Y$188,16,FALSE)</f>
        <v>0</v>
      </c>
    </row>
    <row r="15" spans="1:14" x14ac:dyDescent="0.3">
      <c r="A15">
        <f>SUMIF('סה"כ כ"ס'!K:K,B15,'סה"כ כ"ס'!J:J)</f>
        <v>1982</v>
      </c>
      <c r="B15" s="15">
        <v>198</v>
      </c>
      <c r="C15" s="15" t="s">
        <v>398</v>
      </c>
      <c r="D15" s="15" t="s">
        <v>303</v>
      </c>
      <c r="E15" s="22" t="s">
        <v>399</v>
      </c>
      <c r="F15" s="17"/>
      <c r="G15" s="17"/>
      <c r="H15" s="17">
        <v>16123</v>
      </c>
      <c r="I15" s="17">
        <v>38014</v>
      </c>
      <c r="J15" s="17">
        <v>38014</v>
      </c>
      <c r="K15" s="22">
        <v>38008.269999999997</v>
      </c>
      <c r="L15" s="17">
        <f>VLOOKUP(A15,'סה"כ כ"ס'!$J$3:$W$179,14,FALSE)</f>
        <v>38008.269999999997</v>
      </c>
      <c r="M15" s="22">
        <f>VLOOKUP(A15,'סה"כ כ"ס'!$J$3:$X$187,15,FALSE)</f>
        <v>38031.24</v>
      </c>
      <c r="N15" s="22">
        <f>VLOOKUP(A15,'סה"כ כ"ס'!$J$3:$Y$188,16,FALSE)</f>
        <v>38008.269999999997</v>
      </c>
    </row>
    <row r="16" spans="1:14" x14ac:dyDescent="0.3">
      <c r="A16">
        <f>SUMIF('סה"כ כ"ס'!K:K,B16,'סה"כ כ"ס'!J:J)</f>
        <v>2105</v>
      </c>
      <c r="B16" s="15">
        <v>210</v>
      </c>
      <c r="C16" s="15" t="s">
        <v>400</v>
      </c>
      <c r="D16" s="15" t="s">
        <v>401</v>
      </c>
      <c r="E16" s="22" t="s">
        <v>399</v>
      </c>
      <c r="F16" s="17"/>
      <c r="G16" s="17"/>
      <c r="H16" s="17"/>
      <c r="I16" s="17">
        <v>0</v>
      </c>
      <c r="J16" s="17">
        <v>4389</v>
      </c>
      <c r="K16" s="22">
        <v>25765.27</v>
      </c>
      <c r="L16" s="17">
        <f>VLOOKUP(A16,'סה"כ כ"ס'!$J$3:$W$179,14,FALSE)</f>
        <v>25765.27</v>
      </c>
      <c r="M16" s="22">
        <f>VLOOKUP(A16,'סה"כ כ"ס'!$J$3:$X$187,15,FALSE)</f>
        <v>25788.240000000002</v>
      </c>
      <c r="N16" s="22">
        <f>VLOOKUP(A16,'סה"כ כ"ס'!$J$3:$Y$188,16,FALSE)</f>
        <v>25765.27</v>
      </c>
    </row>
    <row r="17" spans="1:14" x14ac:dyDescent="0.3">
      <c r="A17">
        <f>SUMIF('סה"כ כ"ס'!K:K,B17,'סה"כ כ"ס'!J:J)</f>
        <v>2113</v>
      </c>
      <c r="B17" s="15">
        <v>211</v>
      </c>
      <c r="C17" s="15" t="s">
        <v>187</v>
      </c>
      <c r="D17" s="15" t="s">
        <v>402</v>
      </c>
      <c r="E17" s="22" t="s">
        <v>399</v>
      </c>
      <c r="F17" s="17"/>
      <c r="G17" s="17"/>
      <c r="H17" s="17"/>
      <c r="I17" s="17">
        <v>0</v>
      </c>
      <c r="J17" s="17">
        <v>4158</v>
      </c>
      <c r="K17" s="22">
        <v>24848.87</v>
      </c>
      <c r="L17" s="17">
        <f>VLOOKUP(A17,'סה"כ כ"ס'!$J$3:$W$179,14,FALSE)</f>
        <v>34851.839999999997</v>
      </c>
      <c r="M17" s="22">
        <f>VLOOKUP(A17,'סה"כ כ"ס'!$J$3:$X$187,15,FALSE)</f>
        <v>29461.14</v>
      </c>
      <c r="N17" s="22">
        <f>VLOOKUP(A17,'סה"כ כ"ס'!$J$3:$Y$188,16,FALSE)</f>
        <v>29438.17</v>
      </c>
    </row>
    <row r="18" spans="1:14" x14ac:dyDescent="0.3">
      <c r="A18">
        <v>2147</v>
      </c>
      <c r="B18" s="15"/>
      <c r="C18" s="15" t="s">
        <v>915</v>
      </c>
      <c r="D18" s="15" t="s">
        <v>303</v>
      </c>
      <c r="F18" s="17"/>
      <c r="G18" s="17"/>
      <c r="H18" s="17"/>
      <c r="I18" s="17"/>
      <c r="J18" s="17"/>
      <c r="K18" s="22"/>
      <c r="L18" s="22">
        <v>48458.28</v>
      </c>
      <c r="M18" s="22">
        <f>VLOOKUP(A18,'סה"כ כ"ס'!$J$3:$X$187,15,FALSE)</f>
        <v>48482.25</v>
      </c>
      <c r="N18" s="22">
        <f>VLOOKUP(A18,'סה"כ כ"ס'!$J$3:$Y$188,16,FALSE)</f>
        <v>48458.28</v>
      </c>
    </row>
    <row r="19" spans="1:14" x14ac:dyDescent="0.3">
      <c r="A19">
        <f>SUMIF('סה"כ כ"ס'!K:K,B19,'סה"כ כ"ס'!J:J)</f>
        <v>18</v>
      </c>
      <c r="B19" s="15">
        <v>1</v>
      </c>
      <c r="C19" s="117" t="s">
        <v>396</v>
      </c>
      <c r="D19" s="117" t="s">
        <v>397</v>
      </c>
      <c r="E19" s="120">
        <v>0.8</v>
      </c>
      <c r="F19" s="119">
        <f>42645*0.8</f>
        <v>34116</v>
      </c>
      <c r="G19" s="119">
        <f>43584*0.8</f>
        <v>34867.200000000004</v>
      </c>
      <c r="H19" s="119">
        <f>39530*0.8</f>
        <v>31624</v>
      </c>
      <c r="I19" s="119">
        <f>39530*0.8</f>
        <v>31624</v>
      </c>
      <c r="J19" s="119">
        <f>39530*0.8</f>
        <v>31624</v>
      </c>
      <c r="K19" s="118">
        <f>39524.68*0.8</f>
        <v>31619.744000000002</v>
      </c>
      <c r="L19" s="17">
        <f>VLOOKUP(A19,'סה"כ כ"ס'!$J$3:$W$179,14,FALSE)*0.8</f>
        <v>31619.744000000002</v>
      </c>
      <c r="M19" s="118">
        <f>(VLOOKUP(A19,'סה"כ כ"ס'!$J$3:$X$187,15,FALSE))*E19</f>
        <v>33133.976000000002</v>
      </c>
      <c r="N19" s="118">
        <f>VLOOKUP(A19,'סה"כ כ"ס'!$J$3:$Y$188,16,FALSE)*E19</f>
        <v>32127.928000000004</v>
      </c>
    </row>
    <row r="20" spans="1:14" x14ac:dyDescent="0.3">
      <c r="A20">
        <v>281</v>
      </c>
      <c r="B20" s="15">
        <v>28</v>
      </c>
      <c r="C20" s="15" t="s">
        <v>114</v>
      </c>
      <c r="D20" s="15" t="s">
        <v>240</v>
      </c>
      <c r="E20" s="318">
        <v>0.9</v>
      </c>
      <c r="H20" s="119"/>
      <c r="I20" s="119"/>
      <c r="J20" s="119"/>
      <c r="K20" s="16">
        <f>2309.295/0.1*E20</f>
        <v>20783.655000000002</v>
      </c>
      <c r="L20" s="27">
        <f>1756.242/0.1*E20</f>
        <v>15806.177999999998</v>
      </c>
      <c r="M20" s="16">
        <f>1855.845/0.1*E20</f>
        <v>16702.605</v>
      </c>
      <c r="N20" s="118">
        <f>VLOOKUP(A20,'סה"כ כ"ס'!$J$3:$Y$188,16,FALSE)*E20</f>
        <v>18125.955000000002</v>
      </c>
    </row>
    <row r="21" spans="1:14" x14ac:dyDescent="0.3">
      <c r="A21">
        <v>919</v>
      </c>
      <c r="B21" s="15">
        <v>91</v>
      </c>
      <c r="C21" s="15" t="s">
        <v>114</v>
      </c>
      <c r="D21" s="15" t="s">
        <v>261</v>
      </c>
      <c r="E21" s="120">
        <v>0.8</v>
      </c>
      <c r="H21" s="119"/>
      <c r="I21" s="119"/>
      <c r="J21" s="119"/>
      <c r="K21" s="16">
        <f>3001.436/0.2*E21</f>
        <v>12005.744000000001</v>
      </c>
      <c r="L21" s="27">
        <f>2951.224/0.2*E21</f>
        <v>11804.896000000001</v>
      </c>
      <c r="M21" s="16">
        <f>3974.868/0.2*E21</f>
        <v>15899.472000000002</v>
      </c>
      <c r="N21" s="118">
        <f>VLOOKUP(A21,'סה"כ כ"ס'!$J$3:$Y$188,16,FALSE)*E21</f>
        <v>13839.24</v>
      </c>
    </row>
    <row r="22" spans="1:14" ht="14.5" thickBot="1" x14ac:dyDescent="0.35"/>
    <row r="23" spans="1:14" ht="14.5" thickTop="1" x14ac:dyDescent="0.3">
      <c r="F23" s="115">
        <f>SUM(F2:F19)</f>
        <v>187058</v>
      </c>
      <c r="G23" s="115">
        <f>SUM(G2:G19)</f>
        <v>185160.2</v>
      </c>
      <c r="H23" s="115">
        <f>SUM(H2:H19)</f>
        <v>176248</v>
      </c>
      <c r="I23" s="115">
        <f>SUM(I2:I19)</f>
        <v>187871</v>
      </c>
      <c r="J23" s="115">
        <f t="shared" ref="J23:L23" si="0">SUM(J2:J22)</f>
        <v>201582</v>
      </c>
      <c r="K23" s="115">
        <f t="shared" si="0"/>
        <v>270095.10299999994</v>
      </c>
      <c r="L23" s="115">
        <f t="shared" si="0"/>
        <v>324796.31800000003</v>
      </c>
      <c r="M23" s="115">
        <f>SUM(M2:M22)</f>
        <v>330998.26299999998</v>
      </c>
      <c r="N23" s="115">
        <f>SUM(N2:N22)</f>
        <v>333568.37300000002</v>
      </c>
    </row>
    <row r="24" spans="1:14" x14ac:dyDescent="0.3">
      <c r="L24" s="15"/>
    </row>
    <row r="26" spans="1:14" x14ac:dyDescent="0.3">
      <c r="D26" t="s">
        <v>916</v>
      </c>
      <c r="K26" s="4">
        <f>SUM(K2:K12)</f>
        <v>111736.18</v>
      </c>
      <c r="L26" s="4">
        <f t="shared" ref="L26:M26" si="1">SUM(L2:L12)</f>
        <v>114583.81999999999</v>
      </c>
      <c r="M26" s="4">
        <f t="shared" si="1"/>
        <v>117512.53</v>
      </c>
      <c r="N26" s="4">
        <f t="shared" ref="N26" si="2">SUM(N2:N12)</f>
        <v>116449.94999999998</v>
      </c>
    </row>
    <row r="27" spans="1:14" x14ac:dyDescent="0.3">
      <c r="D27" t="s">
        <v>917</v>
      </c>
      <c r="K27" s="4">
        <f>SUM(K15:K21)</f>
        <v>153031.55300000001</v>
      </c>
      <c r="L27" s="4">
        <f t="shared" ref="L27:M27" si="3">SUM(L15:L21)</f>
        <v>206314.47799999997</v>
      </c>
      <c r="M27" s="4">
        <f t="shared" si="3"/>
        <v>207498.92300000001</v>
      </c>
      <c r="N27" s="4">
        <f t="shared" ref="N27" si="4">SUM(N15:N21)</f>
        <v>205763.11300000001</v>
      </c>
    </row>
    <row r="31" spans="1:14" x14ac:dyDescent="0.3">
      <c r="D31" t="s">
        <v>918</v>
      </c>
      <c r="F31" t="s">
        <v>919</v>
      </c>
      <c r="H31" t="s">
        <v>920</v>
      </c>
    </row>
    <row r="32" spans="1:14" x14ac:dyDescent="0.3">
      <c r="D32">
        <v>1.2025999999999999</v>
      </c>
      <c r="E32">
        <v>2.2025999999999999</v>
      </c>
      <c r="F32">
        <v>1.2025999999999999</v>
      </c>
      <c r="G32">
        <v>2.2025999999999999</v>
      </c>
      <c r="H32">
        <v>1.2025999999999999</v>
      </c>
      <c r="I32">
        <v>2.2025999999999999</v>
      </c>
    </row>
    <row r="33" spans="3:9" x14ac:dyDescent="0.3">
      <c r="C33" t="s">
        <v>921</v>
      </c>
      <c r="D33">
        <v>23092.95</v>
      </c>
      <c r="E33">
        <v>17562.419999999998</v>
      </c>
      <c r="F33">
        <v>15007.18</v>
      </c>
      <c r="G33">
        <v>14756.12</v>
      </c>
      <c r="H33">
        <v>39524.68</v>
      </c>
      <c r="I33">
        <v>39524.68</v>
      </c>
    </row>
    <row r="34" spans="3:9" x14ac:dyDescent="0.3">
      <c r="C34" t="s">
        <v>922</v>
      </c>
      <c r="D34">
        <v>0</v>
      </c>
      <c r="E34">
        <v>0</v>
      </c>
      <c r="F34">
        <v>0</v>
      </c>
      <c r="G34">
        <v>0</v>
      </c>
      <c r="H34">
        <v>7904.9360000000006</v>
      </c>
      <c r="I34">
        <v>7904.9360000000006</v>
      </c>
    </row>
    <row r="35" spans="3:9" x14ac:dyDescent="0.3">
      <c r="C35" t="s">
        <v>923</v>
      </c>
      <c r="D35">
        <v>20783.655000000002</v>
      </c>
      <c r="E35">
        <v>15806.177999999998</v>
      </c>
      <c r="F35">
        <v>12005.744000000001</v>
      </c>
      <c r="G35">
        <v>11804.896000000001</v>
      </c>
      <c r="H35">
        <v>0</v>
      </c>
      <c r="I35">
        <v>0</v>
      </c>
    </row>
  </sheetData>
  <conditionalFormatting sqref="C1:C18">
    <cfRule type="duplicateValues" dxfId="2" priority="3"/>
  </conditionalFormatting>
  <conditionalFormatting sqref="C19">
    <cfRule type="duplicateValues" dxfId="1" priority="2"/>
  </conditionalFormatting>
  <conditionalFormatting sqref="C20:C21">
    <cfRule type="duplicateValues" dxfId="0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3603-E9F7-4F1A-ACB3-7F8D39C10779}">
  <dimension ref="A3:G15"/>
  <sheetViews>
    <sheetView rightToLeft="1" topLeftCell="A9" workbookViewId="0">
      <selection activeCell="A18" sqref="A18:XFD1048576"/>
    </sheetView>
  </sheetViews>
  <sheetFormatPr defaultRowHeight="14" x14ac:dyDescent="0.3"/>
  <cols>
    <col min="1" max="1" width="18.08203125" bestFit="1" customWidth="1"/>
    <col min="2" max="3" width="12.33203125" bestFit="1" customWidth="1"/>
    <col min="4" max="6" width="12.5" bestFit="1" customWidth="1"/>
    <col min="7" max="7" width="12.33203125" bestFit="1" customWidth="1"/>
  </cols>
  <sheetData>
    <row r="3" spans="1:7" x14ac:dyDescent="0.3">
      <c r="A3" s="116" t="s">
        <v>627</v>
      </c>
      <c r="B3" t="s">
        <v>631</v>
      </c>
      <c r="C3" t="s">
        <v>632</v>
      </c>
      <c r="D3" t="s">
        <v>633</v>
      </c>
      <c r="E3" t="s">
        <v>634</v>
      </c>
      <c r="F3" t="s">
        <v>635</v>
      </c>
      <c r="G3" t="s">
        <v>636</v>
      </c>
    </row>
    <row r="4" spans="1:7" x14ac:dyDescent="0.3">
      <c r="A4" s="36" t="s">
        <v>293</v>
      </c>
      <c r="B4" s="31">
        <v>253079</v>
      </c>
      <c r="C4" s="31">
        <v>209310</v>
      </c>
      <c r="D4" s="31">
        <v>236983</v>
      </c>
      <c r="E4" s="31">
        <v>239853</v>
      </c>
      <c r="F4" s="31">
        <v>222468</v>
      </c>
      <c r="G4" s="31">
        <v>192340.7</v>
      </c>
    </row>
    <row r="5" spans="1:7" x14ac:dyDescent="0.3">
      <c r="A5" s="36" t="s">
        <v>626</v>
      </c>
      <c r="B5" s="31">
        <v>3017</v>
      </c>
      <c r="C5" s="31">
        <v>2144</v>
      </c>
      <c r="D5" s="31">
        <v>7056</v>
      </c>
      <c r="E5" s="31">
        <v>3471</v>
      </c>
      <c r="F5" s="31">
        <v>3625</v>
      </c>
      <c r="G5" s="31">
        <v>5327.37</v>
      </c>
    </row>
    <row r="6" spans="1:7" x14ac:dyDescent="0.3">
      <c r="A6" s="36" t="s">
        <v>491</v>
      </c>
      <c r="B6" s="31">
        <v>46024</v>
      </c>
      <c r="C6" s="31">
        <v>38502</v>
      </c>
      <c r="D6" s="31">
        <v>53779</v>
      </c>
      <c r="E6" s="31">
        <v>64022</v>
      </c>
      <c r="F6" s="31">
        <v>57867</v>
      </c>
      <c r="G6" s="31">
        <v>56819.19</v>
      </c>
    </row>
    <row r="7" spans="1:7" x14ac:dyDescent="0.3">
      <c r="A7" s="36" t="s">
        <v>321</v>
      </c>
      <c r="B7" s="31">
        <v>192784</v>
      </c>
      <c r="C7" s="31">
        <v>193658</v>
      </c>
      <c r="D7" s="31">
        <v>167713</v>
      </c>
      <c r="E7" s="31">
        <v>186610</v>
      </c>
      <c r="F7" s="31">
        <v>198579</v>
      </c>
      <c r="G7" s="31">
        <v>207638.96</v>
      </c>
    </row>
    <row r="8" spans="1:7" x14ac:dyDescent="0.3">
      <c r="A8" s="36" t="s">
        <v>196</v>
      </c>
      <c r="B8" s="31">
        <v>876993</v>
      </c>
      <c r="C8" s="31">
        <v>915349</v>
      </c>
      <c r="D8" s="31">
        <v>997064</v>
      </c>
      <c r="E8" s="31">
        <v>872189</v>
      </c>
      <c r="F8" s="31">
        <v>1051231</v>
      </c>
      <c r="G8" s="31">
        <v>912861.36999999988</v>
      </c>
    </row>
    <row r="9" spans="1:7" x14ac:dyDescent="0.3">
      <c r="A9" s="36" t="s">
        <v>399</v>
      </c>
      <c r="B9" s="31">
        <v>29374</v>
      </c>
      <c r="C9" s="31">
        <v>32816</v>
      </c>
      <c r="D9" s="31">
        <v>16123</v>
      </c>
      <c r="E9" s="31">
        <v>38014</v>
      </c>
      <c r="F9" s="31">
        <v>46561</v>
      </c>
      <c r="G9" s="31">
        <v>88622.409999999989</v>
      </c>
    </row>
    <row r="10" spans="1:7" x14ac:dyDescent="0.3">
      <c r="A10" s="36" t="s">
        <v>569</v>
      </c>
      <c r="B10" s="31">
        <v>120551</v>
      </c>
      <c r="C10" s="31">
        <v>115333</v>
      </c>
      <c r="D10" s="31">
        <v>121445</v>
      </c>
      <c r="E10" s="31">
        <v>114762</v>
      </c>
      <c r="F10" s="31">
        <v>119772</v>
      </c>
      <c r="G10" s="31">
        <v>111736.18</v>
      </c>
    </row>
    <row r="11" spans="1:7" x14ac:dyDescent="0.3">
      <c r="A11" s="36" t="s">
        <v>346</v>
      </c>
      <c r="B11" s="31">
        <v>191000</v>
      </c>
      <c r="C11" s="31">
        <v>184503</v>
      </c>
      <c r="D11" s="31">
        <v>198128</v>
      </c>
      <c r="E11" s="31">
        <v>184835</v>
      </c>
      <c r="F11" s="31">
        <v>208332</v>
      </c>
      <c r="G11" s="31">
        <v>191579.08000000002</v>
      </c>
    </row>
    <row r="12" spans="1:7" x14ac:dyDescent="0.3">
      <c r="A12" s="36" t="s">
        <v>489</v>
      </c>
      <c r="B12" s="31">
        <v>40842</v>
      </c>
      <c r="C12" s="31">
        <v>39517</v>
      </c>
      <c r="D12" s="31">
        <v>39078</v>
      </c>
      <c r="E12" s="31">
        <v>39480</v>
      </c>
      <c r="F12" s="31">
        <v>40311</v>
      </c>
      <c r="G12" s="31">
        <v>38717.910000000003</v>
      </c>
    </row>
    <row r="13" spans="1:7" x14ac:dyDescent="0.3">
      <c r="A13" s="36" t="s">
        <v>628</v>
      </c>
      <c r="B13" s="31">
        <v>0</v>
      </c>
      <c r="C13" s="31">
        <v>4261</v>
      </c>
      <c r="D13" s="31">
        <v>20049</v>
      </c>
      <c r="E13" s="31">
        <v>0</v>
      </c>
      <c r="F13" s="31">
        <v>0</v>
      </c>
      <c r="G13" s="31"/>
    </row>
    <row r="14" spans="1:7" x14ac:dyDescent="0.3">
      <c r="A14" s="36" t="s">
        <v>629</v>
      </c>
      <c r="B14" s="31">
        <v>1753664</v>
      </c>
      <c r="C14" s="31">
        <v>1735393</v>
      </c>
      <c r="D14" s="31">
        <v>1857418</v>
      </c>
      <c r="E14" s="31">
        <v>1743236</v>
      </c>
      <c r="F14" s="31">
        <v>1948746</v>
      </c>
      <c r="G14" s="31">
        <v>1805643.169999999</v>
      </c>
    </row>
    <row r="15" spans="1:7" x14ac:dyDescent="0.3">
      <c r="A15" s="36" t="s">
        <v>630</v>
      </c>
      <c r="B15" s="31">
        <v>3507328</v>
      </c>
      <c r="C15" s="31">
        <v>3470786</v>
      </c>
      <c r="D15" s="31">
        <v>3714836</v>
      </c>
      <c r="E15" s="31">
        <v>3486472</v>
      </c>
      <c r="F15" s="31">
        <v>3897492</v>
      </c>
      <c r="G15" s="31">
        <v>3611286.3399999989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51F7-22D9-42C5-B6A2-AEF354B6C2F7}">
  <dimension ref="A1:O41"/>
  <sheetViews>
    <sheetView rightToLeft="1" tabSelected="1" topLeftCell="A36" workbookViewId="0">
      <selection activeCell="A45" sqref="A45:XFD1048576"/>
    </sheetView>
  </sheetViews>
  <sheetFormatPr defaultRowHeight="14" x14ac:dyDescent="0.3"/>
  <cols>
    <col min="1" max="1" width="16.5" bestFit="1" customWidth="1"/>
    <col min="2" max="2" width="13.58203125" style="238" bestFit="1" customWidth="1"/>
    <col min="3" max="3" width="13.25" style="238" customWidth="1"/>
    <col min="4" max="4" width="20.75" style="244" bestFit="1" customWidth="1"/>
    <col min="5" max="6" width="9" style="238"/>
    <col min="7" max="7" width="13.58203125" style="238" bestFit="1" customWidth="1"/>
    <col min="8" max="8" width="11.25" bestFit="1" customWidth="1"/>
    <col min="9" max="9" width="24.5" customWidth="1"/>
    <col min="10" max="11" width="13.58203125" style="238" bestFit="1" customWidth="1"/>
    <col min="12" max="12" width="11" style="238" bestFit="1" customWidth="1"/>
    <col min="14" max="14" width="13.5" bestFit="1" customWidth="1"/>
  </cols>
  <sheetData>
    <row r="1" spans="1:15" ht="14.5" thickBot="1" x14ac:dyDescent="0.35">
      <c r="D1" s="239" t="s">
        <v>882</v>
      </c>
    </row>
    <row r="3" spans="1:15" x14ac:dyDescent="0.3">
      <c r="B3" s="240" t="s">
        <v>883</v>
      </c>
      <c r="D3" s="241" t="s">
        <v>884</v>
      </c>
      <c r="E3" s="240"/>
      <c r="F3" s="240"/>
    </row>
    <row r="4" spans="1:15" x14ac:dyDescent="0.3">
      <c r="B4" s="240" t="s">
        <v>885</v>
      </c>
      <c r="D4" s="241" t="s">
        <v>886</v>
      </c>
      <c r="E4" s="240"/>
      <c r="F4" s="240"/>
    </row>
    <row r="5" spans="1:15" x14ac:dyDescent="0.3">
      <c r="B5" s="242" t="s">
        <v>887</v>
      </c>
      <c r="D5" s="243" t="s">
        <v>888</v>
      </c>
      <c r="G5" s="242" t="s">
        <v>56</v>
      </c>
    </row>
    <row r="6" spans="1:15" x14ac:dyDescent="0.3">
      <c r="I6" t="s">
        <v>889</v>
      </c>
      <c r="J6" s="238" t="s">
        <v>890</v>
      </c>
      <c r="K6" s="244" t="s">
        <v>877</v>
      </c>
      <c r="L6" s="240" t="s">
        <v>891</v>
      </c>
    </row>
    <row r="7" spans="1:15" x14ac:dyDescent="0.3">
      <c r="A7" s="245" t="s">
        <v>892</v>
      </c>
      <c r="B7" s="246">
        <v>0</v>
      </c>
      <c r="D7" s="247"/>
      <c r="G7" s="248">
        <v>0</v>
      </c>
      <c r="H7" s="238"/>
      <c r="I7" s="37">
        <v>127245.12</v>
      </c>
      <c r="L7" s="240">
        <v>26928.86</v>
      </c>
    </row>
    <row r="8" spans="1:15" ht="14.5" thickBot="1" x14ac:dyDescent="0.35"/>
    <row r="9" spans="1:15" x14ac:dyDescent="0.3">
      <c r="A9" s="249" t="s">
        <v>893</v>
      </c>
      <c r="B9" s="235">
        <f>L9+J9</f>
        <v>1465456.4456</v>
      </c>
      <c r="D9" s="250"/>
      <c r="G9" s="248">
        <f>D9+B9</f>
        <v>1465456.4456</v>
      </c>
      <c r="J9" s="240">
        <v>1453069.17</v>
      </c>
      <c r="K9" s="238">
        <v>0</v>
      </c>
      <c r="L9" s="240">
        <f>L7*0.46</f>
        <v>12387.275600000001</v>
      </c>
      <c r="N9" s="238">
        <f>+L9+J9</f>
        <v>1465456.4456</v>
      </c>
      <c r="O9" t="s">
        <v>429</v>
      </c>
    </row>
    <row r="10" spans="1:15" x14ac:dyDescent="0.3">
      <c r="A10" s="251"/>
      <c r="B10" s="252"/>
      <c r="I10" s="253" t="s">
        <v>491</v>
      </c>
    </row>
    <row r="11" spans="1:15" x14ac:dyDescent="0.3">
      <c r="A11" s="249" t="s">
        <v>444</v>
      </c>
      <c r="B11" s="236">
        <f>L11+J11+I11</f>
        <v>609319.63020000001</v>
      </c>
      <c r="D11" s="246"/>
      <c r="G11" s="248">
        <f>D11+B11</f>
        <v>609319.63020000001</v>
      </c>
      <c r="I11" s="240">
        <f>I7/3</f>
        <v>42415.040000000001</v>
      </c>
      <c r="J11" s="240">
        <v>565019.56999999995</v>
      </c>
      <c r="K11" s="238">
        <v>0</v>
      </c>
      <c r="L11" s="240">
        <f>L7*0.07</f>
        <v>1885.0202000000002</v>
      </c>
      <c r="N11" s="238">
        <f>+L11+J11</f>
        <v>566904.59019999998</v>
      </c>
      <c r="O11" t="s">
        <v>444</v>
      </c>
    </row>
    <row r="12" spans="1:15" ht="14.5" thickBot="1" x14ac:dyDescent="0.35">
      <c r="A12" s="251"/>
      <c r="B12" s="252"/>
    </row>
    <row r="13" spans="1:15" x14ac:dyDescent="0.3">
      <c r="A13" s="249" t="s">
        <v>445</v>
      </c>
      <c r="B13" s="235">
        <f>I13+J13+K13+L13</f>
        <v>645109.77100000007</v>
      </c>
      <c r="D13" s="246"/>
      <c r="G13" s="248">
        <f>D13+B13</f>
        <v>645109.77100000007</v>
      </c>
      <c r="I13" s="240">
        <f>I7/3</f>
        <v>42415.040000000001</v>
      </c>
      <c r="J13" s="240">
        <v>593269.63</v>
      </c>
      <c r="K13" s="238">
        <v>0</v>
      </c>
      <c r="L13" s="240">
        <f>L7*0.35</f>
        <v>9425.1009999999987</v>
      </c>
      <c r="N13" s="238">
        <f>+L13+J13</f>
        <v>602694.73100000003</v>
      </c>
      <c r="O13" t="s">
        <v>445</v>
      </c>
    </row>
    <row r="14" spans="1:15" x14ac:dyDescent="0.3">
      <c r="A14" s="251"/>
    </row>
    <row r="15" spans="1:15" ht="14.5" thickBot="1" x14ac:dyDescent="0.35">
      <c r="A15" s="249" t="s">
        <v>321</v>
      </c>
      <c r="B15" s="236">
        <f>I15+J15+K15+L15</f>
        <v>454606.26319999999</v>
      </c>
      <c r="D15" s="246"/>
      <c r="G15" s="248">
        <f>D15+B15</f>
        <v>454606.26319999999</v>
      </c>
      <c r="I15" s="240">
        <f>I7/3</f>
        <v>42415.040000000001</v>
      </c>
      <c r="J15" s="240">
        <v>408959.76</v>
      </c>
      <c r="K15" s="240">
        <v>0</v>
      </c>
      <c r="L15" s="240">
        <f>L7*0.12</f>
        <v>3231.4632000000001</v>
      </c>
      <c r="N15" s="238">
        <f>+L15+J15</f>
        <v>412191.22320000001</v>
      </c>
      <c r="O15" t="s">
        <v>432</v>
      </c>
    </row>
    <row r="16" spans="1:15" x14ac:dyDescent="0.3">
      <c r="G16" s="240"/>
      <c r="I16" s="254"/>
    </row>
    <row r="17" spans="1:15" x14ac:dyDescent="0.3">
      <c r="A17" s="251"/>
      <c r="B17" s="255">
        <f>B15+B13+B11+B9+B7</f>
        <v>3174492.1100000003</v>
      </c>
      <c r="C17" s="255"/>
      <c r="D17" s="256">
        <f>D15+D13+D11+D9+D7</f>
        <v>0</v>
      </c>
      <c r="E17" s="255"/>
      <c r="F17" s="255"/>
      <c r="G17" s="257">
        <f>D17+B17</f>
        <v>3174492.1100000003</v>
      </c>
      <c r="N17" s="238">
        <f>+I15+I13+I11</f>
        <v>127245.12</v>
      </c>
      <c r="O17" t="s">
        <v>491</v>
      </c>
    </row>
    <row r="19" spans="1:15" x14ac:dyDescent="0.3">
      <c r="B19" s="258" t="s">
        <v>887</v>
      </c>
      <c r="D19" s="259" t="s">
        <v>888</v>
      </c>
      <c r="G19" s="258" t="s">
        <v>56</v>
      </c>
      <c r="N19" s="238">
        <f>+B23</f>
        <v>164691.97</v>
      </c>
      <c r="O19" t="s">
        <v>489</v>
      </c>
    </row>
    <row r="21" spans="1:15" x14ac:dyDescent="0.3">
      <c r="A21" s="260" t="s">
        <v>894</v>
      </c>
      <c r="B21" s="236"/>
      <c r="D21" s="246">
        <v>0</v>
      </c>
      <c r="G21" s="248">
        <f>D21+B21</f>
        <v>0</v>
      </c>
      <c r="N21" s="238">
        <f>+B25</f>
        <v>196056.2</v>
      </c>
      <c r="O21" t="s">
        <v>490</v>
      </c>
    </row>
    <row r="22" spans="1:15" x14ac:dyDescent="0.3">
      <c r="B22" s="240"/>
      <c r="G22" s="261"/>
      <c r="I22" s="262"/>
    </row>
    <row r="23" spans="1:15" x14ac:dyDescent="0.3">
      <c r="A23" s="263" t="s">
        <v>895</v>
      </c>
      <c r="B23" s="264">
        <v>164691.97</v>
      </c>
      <c r="D23" s="246"/>
      <c r="G23" s="248">
        <f>D23+B23</f>
        <v>164691.97</v>
      </c>
      <c r="I23" s="262"/>
      <c r="N23" s="238">
        <f>+B27+B29+B31+B21</f>
        <v>29542.43</v>
      </c>
      <c r="O23" t="s">
        <v>488</v>
      </c>
    </row>
    <row r="24" spans="1:15" x14ac:dyDescent="0.3">
      <c r="B24" s="240"/>
      <c r="G24" s="261"/>
    </row>
    <row r="25" spans="1:15" x14ac:dyDescent="0.3">
      <c r="A25" s="263" t="s">
        <v>896</v>
      </c>
      <c r="B25" s="265">
        <v>196056.2</v>
      </c>
      <c r="D25" s="246"/>
      <c r="G25" s="248">
        <f>D25+B25</f>
        <v>196056.2</v>
      </c>
      <c r="N25" s="240">
        <f>SUM(N9:N23)</f>
        <v>3564782.7100000004</v>
      </c>
    </row>
    <row r="26" spans="1:15" x14ac:dyDescent="0.3">
      <c r="B26" s="240"/>
      <c r="G26" s="261"/>
    </row>
    <row r="27" spans="1:15" x14ac:dyDescent="0.3">
      <c r="A27" s="263" t="s">
        <v>897</v>
      </c>
      <c r="B27" s="264">
        <v>16279.69</v>
      </c>
      <c r="D27" s="246"/>
      <c r="G27" s="248">
        <f>D27+B27</f>
        <v>16279.69</v>
      </c>
      <c r="N27" s="238">
        <f>+N25-B39</f>
        <v>0</v>
      </c>
    </row>
    <row r="28" spans="1:15" x14ac:dyDescent="0.3">
      <c r="B28" s="240"/>
      <c r="G28" s="261"/>
    </row>
    <row r="29" spans="1:15" x14ac:dyDescent="0.3">
      <c r="A29" s="263" t="s">
        <v>898</v>
      </c>
      <c r="B29" s="264">
        <v>13262.74</v>
      </c>
      <c r="D29" s="246">
        <v>0</v>
      </c>
      <c r="G29" s="248">
        <f>D29+B29</f>
        <v>13262.74</v>
      </c>
    </row>
    <row r="30" spans="1:15" x14ac:dyDescent="0.3">
      <c r="B30" s="240"/>
      <c r="G30" s="261"/>
      <c r="K30"/>
    </row>
    <row r="31" spans="1:15" x14ac:dyDescent="0.3">
      <c r="A31" s="260" t="s">
        <v>899</v>
      </c>
      <c r="B31" s="236">
        <v>0</v>
      </c>
      <c r="D31" s="246">
        <v>0</v>
      </c>
      <c r="G31" s="248">
        <f>D31+B31</f>
        <v>0</v>
      </c>
    </row>
    <row r="32" spans="1:15" x14ac:dyDescent="0.3">
      <c r="B32" s="240"/>
    </row>
    <row r="33" spans="1:9" x14ac:dyDescent="0.3">
      <c r="A33" s="251"/>
      <c r="B33" s="266"/>
    </row>
    <row r="34" spans="1:9" x14ac:dyDescent="0.3">
      <c r="B34" s="267">
        <f>B31+B29+B27+B25+B23+B21</f>
        <v>390290.6</v>
      </c>
      <c r="C34" s="238">
        <f>C31+C29+C27+C25+C23+C21</f>
        <v>0</v>
      </c>
      <c r="D34" s="244">
        <f>D31+D25+D27+D29+D23+D21</f>
        <v>0</v>
      </c>
      <c r="G34" s="238">
        <f>G31+G25+G27+G29+G23+G21</f>
        <v>390290.6</v>
      </c>
    </row>
    <row r="36" spans="1:9" x14ac:dyDescent="0.3">
      <c r="A36" s="251"/>
      <c r="B36" s="268">
        <f>B17</f>
        <v>3174492.1100000003</v>
      </c>
      <c r="D36" s="269">
        <f>D17</f>
        <v>0</v>
      </c>
      <c r="E36" s="268"/>
      <c r="F36" s="268"/>
      <c r="G36" s="268">
        <f>G17</f>
        <v>3174492.1100000003</v>
      </c>
    </row>
    <row r="38" spans="1:9" x14ac:dyDescent="0.3">
      <c r="A38" t="s">
        <v>900</v>
      </c>
      <c r="B38" s="238">
        <f>B34+B36</f>
        <v>3564782.7100000004</v>
      </c>
      <c r="D38" s="270">
        <f>D34+D36</f>
        <v>0</v>
      </c>
      <c r="G38" s="238">
        <f>G34+G36</f>
        <v>3564782.7100000004</v>
      </c>
      <c r="I38" s="238"/>
    </row>
    <row r="39" spans="1:9" x14ac:dyDescent="0.3">
      <c r="A39" t="s">
        <v>901</v>
      </c>
      <c r="B39" s="240">
        <v>3564782.71</v>
      </c>
      <c r="I39" s="238"/>
    </row>
    <row r="40" spans="1:9" x14ac:dyDescent="0.3">
      <c r="A40" s="36" t="s">
        <v>877</v>
      </c>
      <c r="B40" s="271">
        <f>K11+K13+K15</f>
        <v>0</v>
      </c>
      <c r="I40" s="238"/>
    </row>
    <row r="41" spans="1:9" x14ac:dyDescent="0.3">
      <c r="A41" t="s">
        <v>493</v>
      </c>
      <c r="B41" s="238">
        <f>B38-B39-B40</f>
        <v>4.6566128730773926E-10</v>
      </c>
      <c r="I41" s="238"/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78CA-8CC5-4D38-8573-2B03DE8A7F3A}">
  <dimension ref="A1:O326"/>
  <sheetViews>
    <sheetView rightToLeft="1" topLeftCell="A281" workbookViewId="0">
      <selection activeCell="K325" sqref="K325"/>
    </sheetView>
  </sheetViews>
  <sheetFormatPr defaultRowHeight="14" x14ac:dyDescent="0.3"/>
  <cols>
    <col min="2" max="2" width="10.58203125" customWidth="1"/>
    <col min="4" max="10" width="9" customWidth="1"/>
    <col min="11" max="12" width="10" bestFit="1" customWidth="1"/>
    <col min="13" max="13" width="11" bestFit="1" customWidth="1"/>
  </cols>
  <sheetData>
    <row r="1" spans="1:15" x14ac:dyDescent="0.3">
      <c r="A1" s="67" t="s">
        <v>570</v>
      </c>
    </row>
    <row r="2" spans="1:15" ht="15.5" x14ac:dyDescent="0.35">
      <c r="A2" s="68" t="s">
        <v>571</v>
      </c>
    </row>
    <row r="3" spans="1:15" x14ac:dyDescent="0.3">
      <c r="A3" s="69" t="s">
        <v>572</v>
      </c>
    </row>
    <row r="4" spans="1:15" x14ac:dyDescent="0.3">
      <c r="A4" s="69" t="s">
        <v>573</v>
      </c>
    </row>
    <row r="5" spans="1:15" x14ac:dyDescent="0.3">
      <c r="A5" s="70" t="s">
        <v>574</v>
      </c>
    </row>
    <row r="7" spans="1:15" x14ac:dyDescent="0.3">
      <c r="A7" t="s">
        <v>575</v>
      </c>
    </row>
    <row r="9" spans="1:15" x14ac:dyDescent="0.3">
      <c r="A9" t="s">
        <v>576</v>
      </c>
      <c r="B9" t="s">
        <v>577</v>
      </c>
      <c r="C9" s="71" t="s">
        <v>191</v>
      </c>
      <c r="D9">
        <v>1</v>
      </c>
      <c r="E9">
        <v>2</v>
      </c>
      <c r="F9">
        <v>3</v>
      </c>
      <c r="G9">
        <v>4</v>
      </c>
      <c r="H9">
        <v>5</v>
      </c>
      <c r="I9">
        <v>6</v>
      </c>
      <c r="J9">
        <v>7</v>
      </c>
      <c r="K9" s="1">
        <v>8</v>
      </c>
      <c r="L9" s="1">
        <v>9</v>
      </c>
      <c r="M9" s="37"/>
      <c r="N9" s="1" t="s">
        <v>578</v>
      </c>
      <c r="O9" s="1" t="s">
        <v>579</v>
      </c>
    </row>
    <row r="10" spans="1:15" s="72" customFormat="1" ht="28" customHeight="1" x14ac:dyDescent="0.3">
      <c r="A10" s="72" t="s">
        <v>499</v>
      </c>
      <c r="B10" s="72" t="s">
        <v>82</v>
      </c>
      <c r="C10" s="72" t="s">
        <v>83</v>
      </c>
      <c r="D10" s="72" t="s">
        <v>580</v>
      </c>
      <c r="E10" s="72" t="s">
        <v>581</v>
      </c>
      <c r="F10" s="72" t="s">
        <v>581</v>
      </c>
      <c r="G10" s="72" t="s">
        <v>581</v>
      </c>
      <c r="H10" s="72" t="s">
        <v>581</v>
      </c>
      <c r="I10" s="72" t="s">
        <v>581</v>
      </c>
      <c r="J10" s="72" t="s">
        <v>581</v>
      </c>
      <c r="K10" s="72" t="s">
        <v>581</v>
      </c>
      <c r="L10" s="72" t="s">
        <v>581</v>
      </c>
      <c r="M10" s="72" t="s">
        <v>56</v>
      </c>
    </row>
    <row r="11" spans="1:15" s="8" customFormat="1" ht="12.5" x14ac:dyDescent="0.25">
      <c r="A11" s="8">
        <v>1</v>
      </c>
      <c r="B11" s="8" t="s">
        <v>396</v>
      </c>
      <c r="C11" s="8" t="s">
        <v>397</v>
      </c>
      <c r="D11" s="8">
        <v>34781</v>
      </c>
      <c r="E11" s="8">
        <v>34781</v>
      </c>
      <c r="F11" s="8">
        <v>51997</v>
      </c>
      <c r="G11" s="8">
        <v>39115</v>
      </c>
      <c r="H11" s="8">
        <v>39085</v>
      </c>
      <c r="I11" s="8">
        <v>39085</v>
      </c>
      <c r="J11" s="8">
        <v>39085</v>
      </c>
      <c r="K11" s="73">
        <v>42645</v>
      </c>
      <c r="L11" s="73">
        <v>43584</v>
      </c>
      <c r="M11" s="73">
        <v>364158</v>
      </c>
      <c r="N11" s="73">
        <f>L11-K11</f>
        <v>939</v>
      </c>
    </row>
    <row r="12" spans="1:15" s="74" customFormat="1" ht="10" x14ac:dyDescent="0.2">
      <c r="E12" s="74">
        <v>0</v>
      </c>
      <c r="F12" s="74">
        <v>49</v>
      </c>
      <c r="G12" s="74">
        <v>-25</v>
      </c>
      <c r="H12" s="74">
        <v>0</v>
      </c>
      <c r="I12" s="74">
        <v>0</v>
      </c>
      <c r="J12" s="74">
        <v>0</v>
      </c>
      <c r="K12" s="75">
        <v>9</v>
      </c>
      <c r="L12" s="75">
        <v>2</v>
      </c>
      <c r="M12" s="75"/>
      <c r="N12" s="75"/>
    </row>
    <row r="13" spans="1:15" s="8" customFormat="1" ht="12.5" x14ac:dyDescent="0.25">
      <c r="A13" s="8">
        <v>2</v>
      </c>
      <c r="B13" s="8" t="s">
        <v>194</v>
      </c>
      <c r="C13" s="8" t="s">
        <v>195</v>
      </c>
      <c r="D13" s="8">
        <v>31995</v>
      </c>
      <c r="E13" s="8">
        <v>31132</v>
      </c>
      <c r="F13" s="8">
        <v>32734</v>
      </c>
      <c r="G13" s="8">
        <v>36716</v>
      </c>
      <c r="H13" s="8">
        <v>31940</v>
      </c>
      <c r="I13" s="8">
        <v>37090</v>
      </c>
      <c r="J13" s="8">
        <v>40558</v>
      </c>
      <c r="K13" s="73">
        <v>35587</v>
      </c>
      <c r="L13" s="73">
        <v>41302</v>
      </c>
      <c r="M13" s="73">
        <v>319054</v>
      </c>
      <c r="N13" s="76">
        <f>L13-K13</f>
        <v>5715</v>
      </c>
    </row>
    <row r="14" spans="1:15" s="74" customFormat="1" ht="10" x14ac:dyDescent="0.2">
      <c r="E14" s="74">
        <v>-3</v>
      </c>
      <c r="F14" s="74">
        <v>5</v>
      </c>
      <c r="G14" s="74">
        <v>12</v>
      </c>
      <c r="H14" s="74">
        <v>-13</v>
      </c>
      <c r="I14" s="74">
        <v>16</v>
      </c>
      <c r="J14" s="74">
        <v>9</v>
      </c>
      <c r="K14" s="75">
        <v>-12</v>
      </c>
      <c r="L14" s="75">
        <v>16</v>
      </c>
      <c r="M14" s="75"/>
      <c r="N14" s="75"/>
    </row>
    <row r="15" spans="1:15" s="8" customFormat="1" ht="12.5" x14ac:dyDescent="0.25">
      <c r="A15" s="8">
        <v>3</v>
      </c>
      <c r="B15" s="8" t="s">
        <v>197</v>
      </c>
      <c r="C15" s="8" t="s">
        <v>198</v>
      </c>
      <c r="D15" s="8">
        <v>34039</v>
      </c>
      <c r="E15" s="8">
        <v>33012</v>
      </c>
      <c r="F15" s="8">
        <v>42888</v>
      </c>
      <c r="G15" s="8">
        <v>30226</v>
      </c>
      <c r="H15" s="8">
        <v>33829</v>
      </c>
      <c r="I15" s="8">
        <v>30331</v>
      </c>
      <c r="J15" s="8">
        <v>43858</v>
      </c>
      <c r="K15" s="73">
        <v>39476</v>
      </c>
      <c r="L15" s="73">
        <v>44610</v>
      </c>
      <c r="M15" s="73">
        <v>332269</v>
      </c>
      <c r="N15" s="76">
        <f>L15-K15</f>
        <v>5134</v>
      </c>
    </row>
    <row r="16" spans="1:15" s="74" customFormat="1" ht="10" x14ac:dyDescent="0.2">
      <c r="E16" s="74">
        <v>-3</v>
      </c>
      <c r="F16" s="74">
        <v>30</v>
      </c>
      <c r="G16" s="74">
        <v>-30</v>
      </c>
      <c r="H16" s="74">
        <v>12</v>
      </c>
      <c r="I16" s="74">
        <v>-10</v>
      </c>
      <c r="J16" s="74">
        <v>45</v>
      </c>
      <c r="K16" s="75">
        <v>-10</v>
      </c>
      <c r="L16" s="75">
        <v>13</v>
      </c>
      <c r="M16" s="75"/>
      <c r="N16" s="75"/>
    </row>
    <row r="17" spans="1:14" s="8" customFormat="1" ht="12.5" x14ac:dyDescent="0.25">
      <c r="A17" s="8">
        <v>4</v>
      </c>
      <c r="B17" s="8" t="s">
        <v>291</v>
      </c>
      <c r="C17" s="8" t="s">
        <v>292</v>
      </c>
      <c r="D17" s="8">
        <v>33969</v>
      </c>
      <c r="E17" s="8">
        <v>35056</v>
      </c>
      <c r="F17" s="8">
        <v>32484</v>
      </c>
      <c r="G17" s="8">
        <v>36982</v>
      </c>
      <c r="H17" s="8">
        <v>32140</v>
      </c>
      <c r="I17" s="8">
        <v>33227</v>
      </c>
      <c r="J17" s="8">
        <v>36132</v>
      </c>
      <c r="K17" s="73">
        <v>35815</v>
      </c>
      <c r="L17" s="73">
        <v>42225</v>
      </c>
      <c r="M17" s="73">
        <v>318030</v>
      </c>
      <c r="N17" s="76">
        <f>L17-K17</f>
        <v>6410</v>
      </c>
    </row>
    <row r="18" spans="1:14" s="74" customFormat="1" ht="10" x14ac:dyDescent="0.2">
      <c r="E18" s="74">
        <v>3</v>
      </c>
      <c r="F18" s="74">
        <v>-7</v>
      </c>
      <c r="G18" s="74">
        <v>14</v>
      </c>
      <c r="H18" s="74">
        <v>-13</v>
      </c>
      <c r="I18" s="74">
        <v>3</v>
      </c>
      <c r="J18" s="74">
        <v>9</v>
      </c>
      <c r="K18" s="75">
        <v>-1</v>
      </c>
      <c r="L18" s="75">
        <v>18</v>
      </c>
      <c r="M18" s="75"/>
      <c r="N18" s="75"/>
    </row>
    <row r="19" spans="1:14" s="8" customFormat="1" ht="12.5" x14ac:dyDescent="0.25">
      <c r="A19" s="8">
        <v>5</v>
      </c>
      <c r="B19" s="8" t="s">
        <v>294</v>
      </c>
      <c r="C19" s="8" t="s">
        <v>295</v>
      </c>
      <c r="D19" s="8">
        <v>38849</v>
      </c>
      <c r="E19" s="8">
        <v>37623</v>
      </c>
      <c r="F19" s="8">
        <v>40539</v>
      </c>
      <c r="G19" s="8">
        <v>35177</v>
      </c>
      <c r="H19" s="8">
        <v>40931</v>
      </c>
      <c r="I19" s="8">
        <v>40867</v>
      </c>
      <c r="J19" s="8">
        <v>43528</v>
      </c>
      <c r="K19" s="73">
        <v>44129</v>
      </c>
      <c r="L19" s="73">
        <v>36836</v>
      </c>
      <c r="M19" s="73">
        <v>358479</v>
      </c>
      <c r="N19" s="76">
        <f>L19-K19</f>
        <v>-7293</v>
      </c>
    </row>
    <row r="20" spans="1:14" s="74" customFormat="1" ht="10" x14ac:dyDescent="0.2">
      <c r="E20" s="74">
        <v>-3</v>
      </c>
      <c r="F20" s="74">
        <v>8</v>
      </c>
      <c r="G20" s="74">
        <v>-13</v>
      </c>
      <c r="H20" s="74">
        <v>16</v>
      </c>
      <c r="I20" s="74">
        <v>0</v>
      </c>
      <c r="J20" s="74">
        <v>7</v>
      </c>
      <c r="K20" s="75">
        <v>1</v>
      </c>
      <c r="L20" s="75">
        <v>-17</v>
      </c>
      <c r="M20" s="75"/>
      <c r="N20" s="75"/>
    </row>
    <row r="21" spans="1:14" s="8" customFormat="1" ht="12.5" x14ac:dyDescent="0.25">
      <c r="A21" s="8">
        <v>6</v>
      </c>
      <c r="B21" s="8" t="s">
        <v>298</v>
      </c>
      <c r="C21" s="8" t="s">
        <v>127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332</v>
      </c>
      <c r="K21" s="73">
        <v>579</v>
      </c>
      <c r="L21" s="73">
        <v>0</v>
      </c>
      <c r="M21" s="73">
        <v>911</v>
      </c>
      <c r="N21" s="73">
        <f>L21-K21</f>
        <v>-579</v>
      </c>
    </row>
    <row r="22" spans="1:14" s="74" customFormat="1" ht="10" x14ac:dyDescent="0.2">
      <c r="K22" s="75">
        <v>74</v>
      </c>
      <c r="L22" s="75"/>
      <c r="M22" s="75"/>
      <c r="N22" s="75"/>
    </row>
    <row r="23" spans="1:14" s="8" customFormat="1" ht="12.5" x14ac:dyDescent="0.25">
      <c r="A23" s="8">
        <v>7</v>
      </c>
      <c r="B23" s="8" t="s">
        <v>199</v>
      </c>
      <c r="C23" s="8" t="s">
        <v>165</v>
      </c>
      <c r="D23" s="8">
        <v>26268</v>
      </c>
      <c r="E23" s="8">
        <v>25373</v>
      </c>
      <c r="F23" s="8">
        <v>28120</v>
      </c>
      <c r="G23" s="8">
        <v>27503</v>
      </c>
      <c r="H23" s="8">
        <v>25064</v>
      </c>
      <c r="I23" s="8">
        <v>32243</v>
      </c>
      <c r="J23" s="8">
        <v>22668</v>
      </c>
      <c r="K23" s="73">
        <v>24411</v>
      </c>
      <c r="L23" s="73">
        <v>32909</v>
      </c>
      <c r="M23" s="73">
        <v>244559</v>
      </c>
      <c r="N23" s="76">
        <f>L23-K23</f>
        <v>8498</v>
      </c>
    </row>
    <row r="24" spans="1:14" s="74" customFormat="1" ht="10" x14ac:dyDescent="0.2">
      <c r="E24" s="74">
        <v>-3</v>
      </c>
      <c r="F24" s="74">
        <v>11</v>
      </c>
      <c r="G24" s="74">
        <v>-2</v>
      </c>
      <c r="H24" s="74">
        <v>-9</v>
      </c>
      <c r="I24" s="74">
        <v>29</v>
      </c>
      <c r="J24" s="74">
        <v>-30</v>
      </c>
      <c r="K24" s="75">
        <v>8</v>
      </c>
      <c r="L24" s="75">
        <v>35</v>
      </c>
      <c r="M24" s="75"/>
      <c r="N24" s="75"/>
    </row>
    <row r="25" spans="1:14" s="8" customFormat="1" ht="12.5" x14ac:dyDescent="0.25">
      <c r="A25" s="8">
        <v>8</v>
      </c>
      <c r="B25" s="8" t="s">
        <v>336</v>
      </c>
      <c r="C25" s="8" t="s">
        <v>337</v>
      </c>
      <c r="D25" s="8">
        <v>11485</v>
      </c>
      <c r="E25" s="8">
        <v>11485</v>
      </c>
      <c r="F25" s="8">
        <v>10892</v>
      </c>
      <c r="G25" s="8">
        <v>10892</v>
      </c>
      <c r="H25" s="8">
        <v>6648</v>
      </c>
      <c r="I25" s="8">
        <v>2468</v>
      </c>
      <c r="J25" s="8">
        <v>2468</v>
      </c>
      <c r="K25" s="73">
        <v>6648</v>
      </c>
      <c r="L25" s="73">
        <v>6648</v>
      </c>
      <c r="M25" s="73">
        <v>69634</v>
      </c>
      <c r="N25" s="73">
        <f>L25-K25</f>
        <v>0</v>
      </c>
    </row>
    <row r="26" spans="1:14" s="74" customFormat="1" ht="10" x14ac:dyDescent="0.2">
      <c r="E26" s="74">
        <v>0</v>
      </c>
      <c r="F26" s="74">
        <v>-5</v>
      </c>
      <c r="G26" s="74">
        <v>0</v>
      </c>
      <c r="H26" s="74">
        <v>-39</v>
      </c>
      <c r="I26" s="74">
        <v>-63</v>
      </c>
      <c r="J26" s="74">
        <v>0</v>
      </c>
      <c r="K26" s="75">
        <v>169</v>
      </c>
      <c r="L26" s="75">
        <v>0</v>
      </c>
      <c r="M26" s="75"/>
      <c r="N26" s="75"/>
    </row>
    <row r="27" spans="1:14" s="8" customFormat="1" ht="12.5" x14ac:dyDescent="0.25">
      <c r="A27" s="8">
        <v>9</v>
      </c>
      <c r="B27" s="8" t="s">
        <v>338</v>
      </c>
      <c r="C27" s="8" t="s">
        <v>337</v>
      </c>
      <c r="D27" s="8">
        <v>39675</v>
      </c>
      <c r="E27" s="8">
        <v>39675</v>
      </c>
      <c r="F27" s="8">
        <v>37812</v>
      </c>
      <c r="G27" s="8">
        <v>37812</v>
      </c>
      <c r="H27" s="8">
        <v>37812</v>
      </c>
      <c r="I27" s="8">
        <v>40252</v>
      </c>
      <c r="J27" s="8">
        <v>38632</v>
      </c>
      <c r="K27" s="73">
        <v>38632</v>
      </c>
      <c r="L27" s="73">
        <v>38632</v>
      </c>
      <c r="M27" s="73">
        <v>348934</v>
      </c>
      <c r="N27" s="73">
        <f>L27-K27</f>
        <v>0</v>
      </c>
    </row>
    <row r="28" spans="1:14" s="74" customFormat="1" ht="10" x14ac:dyDescent="0.2">
      <c r="E28" s="74">
        <v>0</v>
      </c>
      <c r="F28" s="74">
        <v>-5</v>
      </c>
      <c r="G28" s="74">
        <v>0</v>
      </c>
      <c r="H28" s="74">
        <v>0</v>
      </c>
      <c r="I28" s="74">
        <v>6</v>
      </c>
      <c r="J28" s="74">
        <v>-4</v>
      </c>
      <c r="K28" s="75">
        <v>0</v>
      </c>
      <c r="L28" s="75">
        <v>0</v>
      </c>
      <c r="M28" s="75"/>
      <c r="N28" s="75"/>
    </row>
    <row r="29" spans="1:14" s="8" customFormat="1" ht="12.5" x14ac:dyDescent="0.25">
      <c r="A29" s="8">
        <v>10</v>
      </c>
      <c r="B29" s="8" t="s">
        <v>320</v>
      </c>
      <c r="C29" s="8" t="s">
        <v>165</v>
      </c>
      <c r="D29" s="8">
        <v>15061</v>
      </c>
      <c r="E29" s="8">
        <v>15276</v>
      </c>
      <c r="F29" s="8">
        <v>15341</v>
      </c>
      <c r="G29" s="8">
        <v>16399</v>
      </c>
      <c r="H29" s="8">
        <v>15242</v>
      </c>
      <c r="I29" s="8">
        <v>14804</v>
      </c>
      <c r="J29" s="8">
        <v>16565</v>
      </c>
      <c r="K29" s="73">
        <v>16047</v>
      </c>
      <c r="L29" s="73">
        <v>16208</v>
      </c>
      <c r="M29" s="73">
        <v>140943</v>
      </c>
      <c r="N29" s="73">
        <f>L29-K29</f>
        <v>161</v>
      </c>
    </row>
    <row r="30" spans="1:14" s="74" customFormat="1" ht="10" x14ac:dyDescent="0.2">
      <c r="E30" s="74">
        <v>1</v>
      </c>
      <c r="F30" s="74">
        <v>0</v>
      </c>
      <c r="G30" s="74">
        <v>7</v>
      </c>
      <c r="H30" s="74">
        <v>-7</v>
      </c>
      <c r="I30" s="74">
        <v>-3</v>
      </c>
      <c r="J30" s="74">
        <v>12</v>
      </c>
      <c r="K30" s="75">
        <v>-3</v>
      </c>
      <c r="L30" s="75">
        <v>1</v>
      </c>
      <c r="M30" s="75"/>
      <c r="N30" s="75"/>
    </row>
    <row r="31" spans="1:14" s="8" customFormat="1" ht="12.5" x14ac:dyDescent="0.25">
      <c r="A31" s="8">
        <v>11</v>
      </c>
      <c r="B31" s="8" t="s">
        <v>322</v>
      </c>
      <c r="C31" s="8" t="s">
        <v>323</v>
      </c>
      <c r="D31" s="8">
        <v>20406</v>
      </c>
      <c r="E31" s="8">
        <v>20438</v>
      </c>
      <c r="F31" s="8">
        <v>20406</v>
      </c>
      <c r="G31" s="8">
        <v>20974</v>
      </c>
      <c r="H31" s="8">
        <v>20578</v>
      </c>
      <c r="I31" s="8">
        <v>20406</v>
      </c>
      <c r="J31" s="8">
        <v>21630</v>
      </c>
      <c r="K31" s="73">
        <v>21662</v>
      </c>
      <c r="L31" s="73">
        <v>21660</v>
      </c>
      <c r="M31" s="73">
        <v>188160</v>
      </c>
      <c r="N31" s="73">
        <f>L31-K31</f>
        <v>-2</v>
      </c>
    </row>
    <row r="32" spans="1:14" s="74" customFormat="1" ht="10" x14ac:dyDescent="0.2">
      <c r="E32" s="74">
        <v>0</v>
      </c>
      <c r="F32" s="74">
        <v>0</v>
      </c>
      <c r="G32" s="74">
        <v>3</v>
      </c>
      <c r="H32" s="74">
        <v>-2</v>
      </c>
      <c r="I32" s="74">
        <v>-1</v>
      </c>
      <c r="J32" s="74">
        <v>6</v>
      </c>
      <c r="K32" s="75">
        <v>0</v>
      </c>
      <c r="L32" s="75">
        <v>0</v>
      </c>
      <c r="M32" s="75"/>
      <c r="N32" s="75"/>
    </row>
    <row r="33" spans="1:14" s="8" customFormat="1" ht="12.5" x14ac:dyDescent="0.25">
      <c r="A33" s="8">
        <v>12</v>
      </c>
      <c r="B33" s="8" t="s">
        <v>324</v>
      </c>
      <c r="C33" s="8" t="s">
        <v>325</v>
      </c>
      <c r="D33" s="8">
        <v>13454</v>
      </c>
      <c r="E33" s="8">
        <v>13347</v>
      </c>
      <c r="F33" s="8">
        <v>13702</v>
      </c>
      <c r="G33" s="8">
        <v>15476</v>
      </c>
      <c r="H33" s="8">
        <v>15718</v>
      </c>
      <c r="I33" s="8">
        <v>13175</v>
      </c>
      <c r="J33" s="8">
        <v>15001</v>
      </c>
      <c r="K33" s="73">
        <v>16297</v>
      </c>
      <c r="L33" s="73">
        <v>15357</v>
      </c>
      <c r="M33" s="73">
        <v>131527</v>
      </c>
      <c r="N33" s="73">
        <f>L33-K33</f>
        <v>-940</v>
      </c>
    </row>
    <row r="34" spans="1:14" s="74" customFormat="1" ht="10" x14ac:dyDescent="0.2">
      <c r="E34" s="74">
        <v>-1</v>
      </c>
      <c r="F34" s="74">
        <v>3</v>
      </c>
      <c r="G34" s="74">
        <v>13</v>
      </c>
      <c r="H34" s="74">
        <v>2</v>
      </c>
      <c r="I34" s="74">
        <v>-16</v>
      </c>
      <c r="J34" s="74">
        <v>14</v>
      </c>
      <c r="K34" s="75">
        <v>9</v>
      </c>
      <c r="L34" s="75">
        <v>-6</v>
      </c>
      <c r="M34" s="75"/>
      <c r="N34" s="75"/>
    </row>
    <row r="35" spans="1:14" s="8" customFormat="1" ht="12.5" x14ac:dyDescent="0.25">
      <c r="A35" s="8">
        <v>14</v>
      </c>
      <c r="B35" s="8" t="s">
        <v>506</v>
      </c>
      <c r="C35" s="8" t="s">
        <v>507</v>
      </c>
      <c r="D35" s="8">
        <v>1640</v>
      </c>
      <c r="E35" s="8">
        <v>1625</v>
      </c>
      <c r="F35" s="8">
        <v>1703</v>
      </c>
      <c r="G35" s="8">
        <v>1721</v>
      </c>
      <c r="H35" s="8">
        <v>2641</v>
      </c>
      <c r="I35" s="8">
        <v>2697</v>
      </c>
      <c r="J35" s="8">
        <v>898</v>
      </c>
      <c r="K35" s="73">
        <v>11821</v>
      </c>
      <c r="L35" s="73">
        <v>0</v>
      </c>
      <c r="M35" s="73">
        <v>24746</v>
      </c>
      <c r="N35" s="76">
        <f>L35-K35</f>
        <v>-11821</v>
      </c>
    </row>
    <row r="36" spans="1:14" s="74" customFormat="1" ht="10" x14ac:dyDescent="0.2">
      <c r="E36" s="74">
        <v>-1</v>
      </c>
      <c r="F36" s="74">
        <v>5</v>
      </c>
      <c r="G36" s="74">
        <v>1</v>
      </c>
      <c r="H36" s="74">
        <v>53</v>
      </c>
      <c r="I36" s="74">
        <v>2</v>
      </c>
      <c r="J36" s="74">
        <v>-67</v>
      </c>
      <c r="K36" s="75">
        <v>1216</v>
      </c>
      <c r="L36" s="75"/>
      <c r="M36" s="75"/>
      <c r="N36" s="75"/>
    </row>
    <row r="37" spans="1:14" s="8" customFormat="1" ht="12.5" x14ac:dyDescent="0.25">
      <c r="A37" s="8">
        <v>15</v>
      </c>
      <c r="B37" s="8" t="s">
        <v>326</v>
      </c>
      <c r="C37" s="8" t="s">
        <v>327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7187</v>
      </c>
      <c r="J37" s="8">
        <v>4728</v>
      </c>
      <c r="K37" s="73">
        <v>6105</v>
      </c>
      <c r="L37" s="73">
        <v>13942</v>
      </c>
      <c r="M37" s="73">
        <v>31962</v>
      </c>
      <c r="N37" s="76">
        <f>L37-K37</f>
        <v>7837</v>
      </c>
    </row>
    <row r="38" spans="1:14" s="74" customFormat="1" ht="10" x14ac:dyDescent="0.2">
      <c r="J38" s="74">
        <v>-34</v>
      </c>
      <c r="K38" s="75">
        <v>29</v>
      </c>
      <c r="L38" s="75">
        <v>128</v>
      </c>
      <c r="M38" s="75"/>
      <c r="N38" s="75"/>
    </row>
    <row r="39" spans="1:14" s="8" customFormat="1" ht="12.5" x14ac:dyDescent="0.25">
      <c r="A39" s="8">
        <v>16</v>
      </c>
      <c r="B39" s="8" t="s">
        <v>200</v>
      </c>
      <c r="C39" s="8" t="s">
        <v>201</v>
      </c>
      <c r="D39" s="8">
        <v>23400</v>
      </c>
      <c r="E39" s="8">
        <v>19416</v>
      </c>
      <c r="F39" s="8">
        <v>24150</v>
      </c>
      <c r="G39" s="8">
        <v>24110</v>
      </c>
      <c r="H39" s="8">
        <v>19874</v>
      </c>
      <c r="I39" s="8">
        <v>20529</v>
      </c>
      <c r="J39" s="8">
        <v>17094</v>
      </c>
      <c r="K39" s="73">
        <v>4718</v>
      </c>
      <c r="L39" s="73">
        <v>7413</v>
      </c>
      <c r="M39" s="73">
        <v>160704</v>
      </c>
      <c r="N39" s="73">
        <f>L39-K39</f>
        <v>2695</v>
      </c>
    </row>
    <row r="40" spans="1:14" s="74" customFormat="1" ht="10" x14ac:dyDescent="0.2">
      <c r="E40" s="74">
        <v>-17</v>
      </c>
      <c r="F40" s="74">
        <v>24</v>
      </c>
      <c r="G40" s="74">
        <v>0</v>
      </c>
      <c r="H40" s="74">
        <v>-18</v>
      </c>
      <c r="I40" s="74">
        <v>3</v>
      </c>
      <c r="J40" s="74">
        <v>-17</v>
      </c>
      <c r="K40" s="75">
        <v>-72</v>
      </c>
      <c r="L40" s="75">
        <v>57</v>
      </c>
      <c r="M40" s="75"/>
      <c r="N40" s="75"/>
    </row>
    <row r="41" spans="1:14" s="8" customFormat="1" ht="12.5" x14ac:dyDescent="0.25">
      <c r="A41" s="8">
        <v>17</v>
      </c>
      <c r="B41" s="8" t="s">
        <v>299</v>
      </c>
      <c r="C41" s="8" t="s">
        <v>300</v>
      </c>
      <c r="D41" s="8">
        <v>20736</v>
      </c>
      <c r="E41" s="8">
        <v>14824</v>
      </c>
      <c r="F41" s="8">
        <v>28499</v>
      </c>
      <c r="G41" s="8">
        <v>21585</v>
      </c>
      <c r="H41" s="8">
        <v>18749</v>
      </c>
      <c r="I41" s="8">
        <v>18598</v>
      </c>
      <c r="J41" s="8">
        <v>23254</v>
      </c>
      <c r="K41" s="73">
        <v>22779</v>
      </c>
      <c r="L41" s="73">
        <v>22840</v>
      </c>
      <c r="M41" s="73">
        <v>191864</v>
      </c>
      <c r="N41" s="73">
        <f>L41-K41</f>
        <v>61</v>
      </c>
    </row>
    <row r="42" spans="1:14" s="74" customFormat="1" ht="10" x14ac:dyDescent="0.2">
      <c r="E42" s="74">
        <v>-29</v>
      </c>
      <c r="F42" s="74">
        <v>92</v>
      </c>
      <c r="G42" s="74">
        <v>-24</v>
      </c>
      <c r="H42" s="74">
        <v>-13</v>
      </c>
      <c r="I42" s="74">
        <v>-1</v>
      </c>
      <c r="J42" s="74">
        <v>25</v>
      </c>
      <c r="K42" s="75">
        <v>-2</v>
      </c>
      <c r="L42" s="75">
        <v>0</v>
      </c>
      <c r="M42" s="75"/>
      <c r="N42" s="75"/>
    </row>
    <row r="43" spans="1:14" s="8" customFormat="1" ht="12.5" x14ac:dyDescent="0.25">
      <c r="A43" s="8">
        <v>20</v>
      </c>
      <c r="B43" s="8" t="s">
        <v>202</v>
      </c>
      <c r="C43" s="8" t="s">
        <v>203</v>
      </c>
      <c r="D43" s="8">
        <v>19932</v>
      </c>
      <c r="E43" s="8">
        <v>22824</v>
      </c>
      <c r="F43" s="8">
        <v>22125</v>
      </c>
      <c r="G43" s="8">
        <v>22571</v>
      </c>
      <c r="H43" s="8">
        <v>19216</v>
      </c>
      <c r="I43" s="8">
        <v>18694</v>
      </c>
      <c r="J43" s="8">
        <v>23993</v>
      </c>
      <c r="K43" s="73">
        <v>20634</v>
      </c>
      <c r="L43" s="73">
        <v>29273</v>
      </c>
      <c r="M43" s="73">
        <v>199262</v>
      </c>
      <c r="N43" s="76">
        <f>L43-K43</f>
        <v>8639</v>
      </c>
    </row>
    <row r="44" spans="1:14" s="74" customFormat="1" ht="10" x14ac:dyDescent="0.2">
      <c r="E44" s="74">
        <v>15</v>
      </c>
      <c r="F44" s="74">
        <v>-3</v>
      </c>
      <c r="G44" s="74">
        <v>2</v>
      </c>
      <c r="H44" s="74">
        <v>-15</v>
      </c>
      <c r="I44" s="74">
        <v>-3</v>
      </c>
      <c r="J44" s="74">
        <v>28</v>
      </c>
      <c r="K44" s="75">
        <v>-14</v>
      </c>
      <c r="L44" s="75">
        <v>42</v>
      </c>
      <c r="M44" s="75"/>
      <c r="N44" s="75"/>
    </row>
    <row r="45" spans="1:14" s="8" customFormat="1" ht="12.5" x14ac:dyDescent="0.25">
      <c r="A45" s="8">
        <v>21</v>
      </c>
      <c r="B45" s="8" t="s">
        <v>367</v>
      </c>
      <c r="C45" s="8" t="s">
        <v>368</v>
      </c>
      <c r="D45" s="8">
        <v>14560</v>
      </c>
      <c r="E45" s="8">
        <v>11020</v>
      </c>
      <c r="F45" s="8">
        <v>15872</v>
      </c>
      <c r="G45" s="8">
        <v>15002</v>
      </c>
      <c r="H45" s="8">
        <v>13993</v>
      </c>
      <c r="I45" s="8">
        <v>15703</v>
      </c>
      <c r="J45" s="8">
        <v>19470</v>
      </c>
      <c r="K45" s="73">
        <v>15044</v>
      </c>
      <c r="L45" s="73">
        <v>15428</v>
      </c>
      <c r="M45" s="73">
        <v>136092</v>
      </c>
      <c r="N45" s="73">
        <f>L45-K45</f>
        <v>384</v>
      </c>
    </row>
    <row r="46" spans="1:14" s="74" customFormat="1" ht="10" x14ac:dyDescent="0.2">
      <c r="E46" s="74">
        <v>-24</v>
      </c>
      <c r="F46" s="74">
        <v>44</v>
      </c>
      <c r="G46" s="74">
        <v>-5</v>
      </c>
      <c r="H46" s="74">
        <v>-7</v>
      </c>
      <c r="I46" s="74">
        <v>12</v>
      </c>
      <c r="J46" s="74">
        <v>24</v>
      </c>
      <c r="K46" s="75">
        <v>-23</v>
      </c>
      <c r="L46" s="75">
        <v>3</v>
      </c>
      <c r="M46" s="75"/>
      <c r="N46" s="75"/>
    </row>
    <row r="47" spans="1:14" s="8" customFormat="1" ht="12.5" x14ac:dyDescent="0.25">
      <c r="A47" s="8">
        <v>22</v>
      </c>
      <c r="B47" s="8" t="s">
        <v>370</v>
      </c>
      <c r="C47" s="8" t="s">
        <v>371</v>
      </c>
      <c r="D47" s="8">
        <v>14371</v>
      </c>
      <c r="E47" s="8">
        <v>14263</v>
      </c>
      <c r="F47" s="8">
        <v>16627</v>
      </c>
      <c r="G47" s="8">
        <v>16150</v>
      </c>
      <c r="H47" s="8">
        <v>15507</v>
      </c>
      <c r="I47" s="8">
        <v>16244</v>
      </c>
      <c r="J47" s="8">
        <v>20917</v>
      </c>
      <c r="K47" s="73">
        <v>15636</v>
      </c>
      <c r="L47" s="73">
        <v>15124</v>
      </c>
      <c r="M47" s="73">
        <v>144839</v>
      </c>
      <c r="N47" s="73">
        <f>L47-K47</f>
        <v>-512</v>
      </c>
    </row>
    <row r="48" spans="1:14" s="74" customFormat="1" ht="10" x14ac:dyDescent="0.2">
      <c r="E48" s="74">
        <v>-1</v>
      </c>
      <c r="F48" s="74">
        <v>17</v>
      </c>
      <c r="G48" s="74">
        <v>-3</v>
      </c>
      <c r="H48" s="74">
        <v>-4</v>
      </c>
      <c r="I48" s="74">
        <v>5</v>
      </c>
      <c r="J48" s="74">
        <v>29</v>
      </c>
      <c r="K48" s="75">
        <v>-25</v>
      </c>
      <c r="L48" s="75">
        <v>-3</v>
      </c>
      <c r="M48" s="75"/>
      <c r="N48" s="75"/>
    </row>
    <row r="49" spans="1:14" s="8" customFormat="1" ht="12.5" x14ac:dyDescent="0.25">
      <c r="A49" s="8">
        <v>23</v>
      </c>
      <c r="B49" s="8" t="s">
        <v>238</v>
      </c>
      <c r="C49" s="8" t="s">
        <v>239</v>
      </c>
      <c r="D49" s="8">
        <v>19323</v>
      </c>
      <c r="E49" s="8">
        <v>16455</v>
      </c>
      <c r="F49" s="8">
        <v>19266</v>
      </c>
      <c r="G49" s="8">
        <v>18739</v>
      </c>
      <c r="H49" s="8">
        <v>18237</v>
      </c>
      <c r="I49" s="8">
        <v>18080</v>
      </c>
      <c r="J49" s="8">
        <v>21952</v>
      </c>
      <c r="K49" s="73">
        <v>21276</v>
      </c>
      <c r="L49" s="73">
        <v>20013</v>
      </c>
      <c r="M49" s="73">
        <v>173341</v>
      </c>
      <c r="N49" s="73">
        <f>L49-K49</f>
        <v>-1263</v>
      </c>
    </row>
    <row r="50" spans="1:14" s="74" customFormat="1" ht="10" x14ac:dyDescent="0.2">
      <c r="E50" s="74">
        <v>-15</v>
      </c>
      <c r="F50" s="74">
        <v>17</v>
      </c>
      <c r="G50" s="74">
        <v>-3</v>
      </c>
      <c r="H50" s="74">
        <v>-3</v>
      </c>
      <c r="I50" s="74">
        <v>-1</v>
      </c>
      <c r="J50" s="74">
        <v>21</v>
      </c>
      <c r="K50" s="75">
        <v>-3</v>
      </c>
      <c r="L50" s="75">
        <v>-6</v>
      </c>
      <c r="M50" s="75"/>
      <c r="N50" s="75"/>
    </row>
    <row r="51" spans="1:14" s="8" customFormat="1" ht="12.5" x14ac:dyDescent="0.25">
      <c r="A51" s="8">
        <v>25</v>
      </c>
      <c r="B51" s="8" t="s">
        <v>344</v>
      </c>
      <c r="C51" s="8" t="s">
        <v>345</v>
      </c>
      <c r="D51" s="8">
        <v>48435</v>
      </c>
      <c r="E51" s="8">
        <v>48434</v>
      </c>
      <c r="F51" s="8">
        <v>48436</v>
      </c>
      <c r="G51" s="8">
        <v>48435</v>
      </c>
      <c r="H51" s="8">
        <v>1528209</v>
      </c>
      <c r="I51" s="8">
        <v>48758</v>
      </c>
      <c r="J51" s="8">
        <v>48759</v>
      </c>
      <c r="K51" s="73">
        <v>48758</v>
      </c>
      <c r="L51" s="73">
        <v>48759</v>
      </c>
      <c r="M51" s="73">
        <v>1916983</v>
      </c>
      <c r="N51" s="73">
        <f>L51-K51</f>
        <v>1</v>
      </c>
    </row>
    <row r="52" spans="1:14" s="74" customFormat="1" ht="10" x14ac:dyDescent="0.2">
      <c r="E52" s="74">
        <v>0</v>
      </c>
      <c r="F52" s="74">
        <v>0</v>
      </c>
      <c r="G52" s="74">
        <v>0</v>
      </c>
      <c r="H52" s="74">
        <v>3055</v>
      </c>
      <c r="I52" s="74">
        <v>-97</v>
      </c>
      <c r="J52" s="74">
        <v>0</v>
      </c>
      <c r="K52" s="75">
        <v>0</v>
      </c>
      <c r="L52" s="75">
        <v>0</v>
      </c>
      <c r="M52" s="75"/>
      <c r="N52" s="75"/>
    </row>
    <row r="53" spans="1:14" s="8" customFormat="1" ht="12.5" x14ac:dyDescent="0.25">
      <c r="A53" s="8">
        <v>26</v>
      </c>
      <c r="B53" s="8" t="s">
        <v>352</v>
      </c>
      <c r="C53" s="8" t="s">
        <v>237</v>
      </c>
      <c r="D53" s="8">
        <v>7452</v>
      </c>
      <c r="E53" s="8">
        <v>9586</v>
      </c>
      <c r="F53" s="8">
        <v>7843</v>
      </c>
      <c r="G53" s="8">
        <v>7313</v>
      </c>
      <c r="H53" s="8">
        <v>10545</v>
      </c>
      <c r="I53" s="8">
        <v>7155</v>
      </c>
      <c r="J53" s="8">
        <v>9698</v>
      </c>
      <c r="K53" s="73">
        <v>8974</v>
      </c>
      <c r="L53" s="73">
        <v>7596</v>
      </c>
      <c r="M53" s="73">
        <v>76162</v>
      </c>
      <c r="N53" s="73">
        <f>L53-K53</f>
        <v>-1378</v>
      </c>
    </row>
    <row r="54" spans="1:14" s="74" customFormat="1" ht="10" x14ac:dyDescent="0.2">
      <c r="E54" s="74">
        <v>29</v>
      </c>
      <c r="F54" s="74">
        <v>-18</v>
      </c>
      <c r="G54" s="74">
        <v>-7</v>
      </c>
      <c r="H54" s="74">
        <v>44</v>
      </c>
      <c r="I54" s="74">
        <v>-32</v>
      </c>
      <c r="J54" s="74">
        <v>36</v>
      </c>
      <c r="K54" s="75">
        <v>-7</v>
      </c>
      <c r="L54" s="75">
        <v>-15</v>
      </c>
      <c r="M54" s="75"/>
      <c r="N54" s="75"/>
    </row>
    <row r="55" spans="1:14" s="8" customFormat="1" ht="12.5" x14ac:dyDescent="0.25">
      <c r="A55" s="8">
        <v>27</v>
      </c>
      <c r="B55" s="8" t="s">
        <v>243</v>
      </c>
      <c r="C55" s="8" t="s">
        <v>291</v>
      </c>
      <c r="D55" s="8">
        <v>11639</v>
      </c>
      <c r="E55" s="8">
        <v>12864</v>
      </c>
      <c r="F55" s="8">
        <v>13999</v>
      </c>
      <c r="G55" s="8">
        <v>13300</v>
      </c>
      <c r="H55" s="8">
        <v>13117</v>
      </c>
      <c r="I55" s="8">
        <v>12246</v>
      </c>
      <c r="J55" s="8">
        <v>14430</v>
      </c>
      <c r="K55" s="73">
        <v>13331</v>
      </c>
      <c r="L55" s="73">
        <v>13357</v>
      </c>
      <c r="M55" s="73">
        <v>118283</v>
      </c>
      <c r="N55" s="73">
        <f>L55-K55</f>
        <v>26</v>
      </c>
    </row>
    <row r="56" spans="1:14" s="74" customFormat="1" ht="10" x14ac:dyDescent="0.2">
      <c r="E56" s="74">
        <v>11</v>
      </c>
      <c r="F56" s="74">
        <v>9</v>
      </c>
      <c r="G56" s="74">
        <v>-5</v>
      </c>
      <c r="H56" s="74">
        <v>-1</v>
      </c>
      <c r="I56" s="74">
        <v>-7</v>
      </c>
      <c r="J56" s="74">
        <v>18</v>
      </c>
      <c r="K56" s="75">
        <v>-8</v>
      </c>
      <c r="L56" s="75">
        <v>0</v>
      </c>
      <c r="M56" s="75"/>
      <c r="N56" s="75"/>
    </row>
    <row r="57" spans="1:14" s="8" customFormat="1" ht="12.5" x14ac:dyDescent="0.25">
      <c r="A57" s="8">
        <v>28</v>
      </c>
      <c r="B57" s="8" t="s">
        <v>114</v>
      </c>
      <c r="C57" s="8" t="s">
        <v>240</v>
      </c>
      <c r="D57" s="8">
        <v>11910</v>
      </c>
      <c r="E57" s="8">
        <v>14395</v>
      </c>
      <c r="F57" s="8">
        <v>22936</v>
      </c>
      <c r="G57" s="8">
        <v>15177</v>
      </c>
      <c r="H57" s="8">
        <v>21625</v>
      </c>
      <c r="I57" s="8">
        <v>14281</v>
      </c>
      <c r="J57" s="8">
        <v>30719</v>
      </c>
      <c r="K57" s="73">
        <v>24100</v>
      </c>
      <c r="L57" s="73">
        <v>20046</v>
      </c>
      <c r="M57" s="73">
        <v>175189</v>
      </c>
      <c r="N57" s="76">
        <f>L57-K57</f>
        <v>-4054</v>
      </c>
    </row>
    <row r="58" spans="1:14" s="74" customFormat="1" ht="10" x14ac:dyDescent="0.2">
      <c r="E58" s="74">
        <v>21</v>
      </c>
      <c r="F58" s="74">
        <v>59</v>
      </c>
      <c r="G58" s="74">
        <v>-34</v>
      </c>
      <c r="H58" s="74">
        <v>42</v>
      </c>
      <c r="I58" s="74">
        <v>-34</v>
      </c>
      <c r="J58" s="74">
        <v>115</v>
      </c>
      <c r="K58" s="75">
        <v>-22</v>
      </c>
      <c r="L58" s="75">
        <v>-17</v>
      </c>
      <c r="M58" s="75"/>
      <c r="N58" s="75"/>
    </row>
    <row r="59" spans="1:14" s="8" customFormat="1" ht="12.5" x14ac:dyDescent="0.25">
      <c r="A59" s="8">
        <v>29</v>
      </c>
      <c r="B59" s="8" t="s">
        <v>347</v>
      </c>
      <c r="C59" s="8" t="s">
        <v>348</v>
      </c>
      <c r="D59" s="8">
        <v>18434</v>
      </c>
      <c r="E59" s="8">
        <v>19839</v>
      </c>
      <c r="F59" s="8">
        <v>18945</v>
      </c>
      <c r="G59" s="8">
        <v>20303</v>
      </c>
      <c r="H59" s="8">
        <v>21046</v>
      </c>
      <c r="I59" s="8">
        <v>18298</v>
      </c>
      <c r="J59" s="8">
        <v>21907</v>
      </c>
      <c r="K59" s="73">
        <v>19107</v>
      </c>
      <c r="L59" s="73">
        <v>18875</v>
      </c>
      <c r="M59" s="73">
        <v>176754</v>
      </c>
      <c r="N59" s="73">
        <f>L59-K59</f>
        <v>-232</v>
      </c>
    </row>
    <row r="60" spans="1:14" s="74" customFormat="1" ht="10" x14ac:dyDescent="0.2">
      <c r="E60" s="74">
        <v>8</v>
      </c>
      <c r="F60" s="74">
        <v>-5</v>
      </c>
      <c r="G60" s="74">
        <v>7</v>
      </c>
      <c r="H60" s="74">
        <v>4</v>
      </c>
      <c r="I60" s="74">
        <v>-13</v>
      </c>
      <c r="J60" s="74">
        <v>20</v>
      </c>
      <c r="K60" s="75">
        <v>-13</v>
      </c>
      <c r="L60" s="75">
        <v>-1</v>
      </c>
      <c r="M60" s="75"/>
      <c r="N60" s="75"/>
    </row>
    <row r="61" spans="1:14" s="8" customFormat="1" ht="12.5" x14ac:dyDescent="0.25">
      <c r="A61" s="8">
        <v>30</v>
      </c>
      <c r="B61" s="8" t="s">
        <v>204</v>
      </c>
      <c r="C61" s="8" t="s">
        <v>205</v>
      </c>
      <c r="D61" s="8">
        <v>14237</v>
      </c>
      <c r="E61" s="8">
        <v>13846</v>
      </c>
      <c r="F61" s="8">
        <v>15997</v>
      </c>
      <c r="G61" s="8">
        <v>13917</v>
      </c>
      <c r="H61" s="8">
        <v>17112</v>
      </c>
      <c r="I61" s="8">
        <v>7322</v>
      </c>
      <c r="J61" s="8">
        <v>17650</v>
      </c>
      <c r="K61" s="73">
        <v>13752</v>
      </c>
      <c r="L61" s="73">
        <v>22913</v>
      </c>
      <c r="M61" s="73">
        <v>136746</v>
      </c>
      <c r="N61" s="76">
        <f>L61-K61</f>
        <v>9161</v>
      </c>
    </row>
    <row r="62" spans="1:14" s="74" customFormat="1" ht="10" x14ac:dyDescent="0.2">
      <c r="E62" s="74">
        <v>-3</v>
      </c>
      <c r="F62" s="74">
        <v>16</v>
      </c>
      <c r="G62" s="74">
        <v>-13</v>
      </c>
      <c r="H62" s="74">
        <v>23</v>
      </c>
      <c r="I62" s="74">
        <v>-57</v>
      </c>
      <c r="J62" s="74">
        <v>141</v>
      </c>
      <c r="K62" s="75">
        <v>-22</v>
      </c>
      <c r="L62" s="75">
        <v>67</v>
      </c>
      <c r="M62" s="75"/>
      <c r="N62" s="75"/>
    </row>
    <row r="63" spans="1:14" s="8" customFormat="1" ht="12.5" x14ac:dyDescent="0.25">
      <c r="A63" s="8">
        <v>32</v>
      </c>
      <c r="B63" s="8" t="s">
        <v>301</v>
      </c>
      <c r="C63" s="8" t="s">
        <v>283</v>
      </c>
      <c r="D63" s="8">
        <v>6895</v>
      </c>
      <c r="E63" s="8">
        <v>8084</v>
      </c>
      <c r="F63" s="8">
        <v>6830</v>
      </c>
      <c r="G63" s="8">
        <v>7314</v>
      </c>
      <c r="H63" s="8">
        <v>5250</v>
      </c>
      <c r="I63" s="8">
        <v>6588</v>
      </c>
      <c r="J63" s="8">
        <v>12741</v>
      </c>
      <c r="K63" s="73">
        <v>10264</v>
      </c>
      <c r="L63" s="73">
        <v>11952</v>
      </c>
      <c r="M63" s="73">
        <v>75918</v>
      </c>
      <c r="N63" s="73">
        <f>L63-K63</f>
        <v>1688</v>
      </c>
    </row>
    <row r="64" spans="1:14" s="74" customFormat="1" ht="10" x14ac:dyDescent="0.2">
      <c r="E64" s="74">
        <v>17</v>
      </c>
      <c r="F64" s="74">
        <v>-16</v>
      </c>
      <c r="G64" s="74">
        <v>7</v>
      </c>
      <c r="H64" s="74">
        <v>-28</v>
      </c>
      <c r="I64" s="74">
        <v>25</v>
      </c>
      <c r="J64" s="74">
        <v>93</v>
      </c>
      <c r="K64" s="75">
        <v>-19</v>
      </c>
      <c r="L64" s="75">
        <v>16</v>
      </c>
      <c r="M64" s="75"/>
      <c r="N64" s="75"/>
    </row>
    <row r="65" spans="1:14" s="8" customFormat="1" ht="12.5" x14ac:dyDescent="0.25">
      <c r="A65" s="8">
        <v>33</v>
      </c>
      <c r="B65" s="8" t="s">
        <v>241</v>
      </c>
      <c r="C65" s="8" t="s">
        <v>242</v>
      </c>
      <c r="D65" s="8">
        <v>11046</v>
      </c>
      <c r="E65" s="8">
        <v>3190</v>
      </c>
      <c r="F65" s="8">
        <v>4092</v>
      </c>
      <c r="G65" s="8">
        <v>2632</v>
      </c>
      <c r="H65" s="8">
        <v>5136</v>
      </c>
      <c r="I65" s="8">
        <v>2803</v>
      </c>
      <c r="J65" s="8">
        <v>8231</v>
      </c>
      <c r="K65" s="73">
        <v>8627</v>
      </c>
      <c r="L65" s="73">
        <v>7715</v>
      </c>
      <c r="M65" s="73">
        <v>53472</v>
      </c>
      <c r="N65" s="73">
        <f>L65-K65</f>
        <v>-912</v>
      </c>
    </row>
    <row r="66" spans="1:14" s="74" customFormat="1" ht="10" x14ac:dyDescent="0.2">
      <c r="E66" s="74">
        <v>-71</v>
      </c>
      <c r="F66" s="74">
        <v>28</v>
      </c>
      <c r="G66" s="74">
        <v>-36</v>
      </c>
      <c r="H66" s="74">
        <v>95</v>
      </c>
      <c r="I66" s="74">
        <v>-45</v>
      </c>
      <c r="J66" s="74">
        <v>194</v>
      </c>
      <c r="K66" s="75">
        <v>5</v>
      </c>
      <c r="L66" s="75">
        <v>-11</v>
      </c>
      <c r="M66" s="75"/>
      <c r="N66" s="75"/>
    </row>
    <row r="67" spans="1:14" s="8" customFormat="1" ht="12.5" x14ac:dyDescent="0.25">
      <c r="A67" s="8">
        <v>34</v>
      </c>
      <c r="B67" s="8" t="s">
        <v>236</v>
      </c>
      <c r="C67" s="8" t="s">
        <v>508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18311</v>
      </c>
      <c r="K67" s="73">
        <v>0</v>
      </c>
      <c r="L67" s="73">
        <v>0</v>
      </c>
      <c r="M67" s="73">
        <v>18311</v>
      </c>
      <c r="N67" s="73">
        <f>L67-K67</f>
        <v>0</v>
      </c>
    </row>
    <row r="68" spans="1:14" s="74" customFormat="1" ht="10" x14ac:dyDescent="0.2">
      <c r="K68" s="75"/>
      <c r="L68" s="75"/>
      <c r="M68" s="75"/>
      <c r="N68" s="75"/>
    </row>
    <row r="69" spans="1:14" s="8" customFormat="1" ht="12.5" x14ac:dyDescent="0.25">
      <c r="A69" s="8">
        <v>35</v>
      </c>
      <c r="B69" s="8" t="s">
        <v>339</v>
      </c>
      <c r="C69" s="8" t="s">
        <v>340</v>
      </c>
      <c r="D69" s="8">
        <v>41022</v>
      </c>
      <c r="E69" s="8">
        <v>75407</v>
      </c>
      <c r="F69" s="8">
        <v>44937</v>
      </c>
      <c r="G69" s="8">
        <v>45006</v>
      </c>
      <c r="H69" s="8">
        <v>44937</v>
      </c>
      <c r="I69" s="8">
        <v>44937</v>
      </c>
      <c r="J69" s="8">
        <v>44937</v>
      </c>
      <c r="K69" s="73">
        <v>44937</v>
      </c>
      <c r="L69" s="73">
        <v>44979</v>
      </c>
      <c r="M69" s="73">
        <v>431099</v>
      </c>
      <c r="N69" s="73">
        <f>L69-K69</f>
        <v>42</v>
      </c>
    </row>
    <row r="70" spans="1:14" s="74" customFormat="1" ht="10" x14ac:dyDescent="0.2">
      <c r="E70" s="74">
        <v>84</v>
      </c>
      <c r="F70" s="74">
        <v>-40</v>
      </c>
      <c r="G70" s="74">
        <v>0</v>
      </c>
      <c r="H70" s="74">
        <v>0</v>
      </c>
      <c r="I70" s="74">
        <v>0</v>
      </c>
      <c r="J70" s="74">
        <v>0</v>
      </c>
      <c r="K70" s="75">
        <v>0</v>
      </c>
      <c r="L70" s="75">
        <v>0</v>
      </c>
      <c r="M70" s="75"/>
      <c r="N70" s="75"/>
    </row>
    <row r="71" spans="1:14" s="8" customFormat="1" ht="12.5" x14ac:dyDescent="0.25">
      <c r="A71" s="8">
        <v>36</v>
      </c>
      <c r="B71" s="8" t="s">
        <v>243</v>
      </c>
      <c r="C71" s="8" t="s">
        <v>87</v>
      </c>
      <c r="D71" s="8">
        <v>8210</v>
      </c>
      <c r="E71" s="8">
        <v>8201</v>
      </c>
      <c r="F71" s="8">
        <v>8597</v>
      </c>
      <c r="G71" s="8">
        <v>8579</v>
      </c>
      <c r="H71" s="8">
        <v>7315</v>
      </c>
      <c r="I71" s="8">
        <v>8487</v>
      </c>
      <c r="J71" s="8">
        <v>7687</v>
      </c>
      <c r="K71" s="73">
        <v>6863</v>
      </c>
      <c r="L71" s="73">
        <v>7930</v>
      </c>
      <c r="M71" s="73">
        <v>71869</v>
      </c>
      <c r="N71" s="73">
        <f>L71-K71</f>
        <v>1067</v>
      </c>
    </row>
    <row r="72" spans="1:14" s="74" customFormat="1" ht="10" x14ac:dyDescent="0.2">
      <c r="E72" s="74">
        <v>0</v>
      </c>
      <c r="F72" s="74">
        <v>5</v>
      </c>
      <c r="G72" s="74">
        <v>0</v>
      </c>
      <c r="H72" s="74">
        <v>-15</v>
      </c>
      <c r="I72" s="74">
        <v>16</v>
      </c>
      <c r="J72" s="74">
        <v>-9</v>
      </c>
      <c r="K72" s="75">
        <v>-11</v>
      </c>
      <c r="L72" s="75">
        <v>16</v>
      </c>
      <c r="M72" s="75"/>
      <c r="N72" s="75"/>
    </row>
    <row r="73" spans="1:14" s="8" customFormat="1" ht="12.5" x14ac:dyDescent="0.25">
      <c r="A73" s="8">
        <v>37</v>
      </c>
      <c r="B73" s="8" t="s">
        <v>302</v>
      </c>
      <c r="C73" s="8" t="s">
        <v>303</v>
      </c>
      <c r="D73" s="8">
        <v>4401</v>
      </c>
      <c r="E73" s="8">
        <v>0</v>
      </c>
      <c r="F73" s="8">
        <v>7262</v>
      </c>
      <c r="G73" s="8">
        <v>4636</v>
      </c>
      <c r="H73" s="8">
        <v>3955</v>
      </c>
      <c r="I73" s="8">
        <v>3017</v>
      </c>
      <c r="J73" s="8">
        <v>2130</v>
      </c>
      <c r="K73" s="73">
        <v>4619</v>
      </c>
      <c r="L73" s="73">
        <v>0</v>
      </c>
      <c r="M73" s="73">
        <v>30020</v>
      </c>
      <c r="N73" s="76">
        <f>L73-K73</f>
        <v>-4619</v>
      </c>
    </row>
    <row r="74" spans="1:14" s="74" customFormat="1" ht="10" x14ac:dyDescent="0.2">
      <c r="G74" s="74">
        <v>-36</v>
      </c>
      <c r="H74" s="74">
        <v>-15</v>
      </c>
      <c r="I74" s="74">
        <v>-24</v>
      </c>
      <c r="J74" s="74">
        <v>-29</v>
      </c>
      <c r="K74" s="75">
        <v>117</v>
      </c>
      <c r="L74" s="75"/>
      <c r="M74" s="75"/>
      <c r="N74" s="75"/>
    </row>
    <row r="75" spans="1:14" s="8" customFormat="1" ht="12.5" x14ac:dyDescent="0.25">
      <c r="A75" s="8">
        <v>39</v>
      </c>
      <c r="B75" s="8" t="s">
        <v>244</v>
      </c>
      <c r="C75" s="8" t="s">
        <v>245</v>
      </c>
      <c r="D75" s="8">
        <v>15810</v>
      </c>
      <c r="E75" s="8">
        <v>10580</v>
      </c>
      <c r="F75" s="8">
        <v>9868</v>
      </c>
      <c r="G75" s="8">
        <v>9034</v>
      </c>
      <c r="H75" s="8">
        <v>11334</v>
      </c>
      <c r="I75" s="8">
        <v>9835</v>
      </c>
      <c r="J75" s="8">
        <v>5832</v>
      </c>
      <c r="K75" s="73">
        <v>8218</v>
      </c>
      <c r="L75" s="73">
        <v>9975</v>
      </c>
      <c r="M75" s="73">
        <v>90486</v>
      </c>
      <c r="N75" s="73">
        <f>L75-K75</f>
        <v>1757</v>
      </c>
    </row>
    <row r="76" spans="1:14" s="74" customFormat="1" ht="10" x14ac:dyDescent="0.2">
      <c r="E76" s="74">
        <v>-33</v>
      </c>
      <c r="F76" s="74">
        <v>-7</v>
      </c>
      <c r="G76" s="74">
        <v>-8</v>
      </c>
      <c r="H76" s="74">
        <v>25</v>
      </c>
      <c r="I76" s="74">
        <v>-13</v>
      </c>
      <c r="J76" s="74">
        <v>-41</v>
      </c>
      <c r="K76" s="75">
        <v>41</v>
      </c>
      <c r="L76" s="75">
        <v>21</v>
      </c>
      <c r="M76" s="75"/>
      <c r="N76" s="75"/>
    </row>
    <row r="77" spans="1:14" s="8" customFormat="1" ht="12.5" x14ac:dyDescent="0.25">
      <c r="A77" s="8">
        <v>40</v>
      </c>
      <c r="B77" s="8" t="s">
        <v>349</v>
      </c>
      <c r="C77" s="8" t="s">
        <v>350</v>
      </c>
      <c r="D77" s="8">
        <v>19180</v>
      </c>
      <c r="E77" s="8">
        <v>17775</v>
      </c>
      <c r="F77" s="8">
        <v>21128</v>
      </c>
      <c r="G77" s="8">
        <v>20724</v>
      </c>
      <c r="H77" s="8">
        <v>19953</v>
      </c>
      <c r="I77" s="8">
        <v>20561</v>
      </c>
      <c r="J77" s="8">
        <v>23594</v>
      </c>
      <c r="K77" s="73">
        <v>20778</v>
      </c>
      <c r="L77" s="73">
        <v>19733</v>
      </c>
      <c r="M77" s="73">
        <v>183426</v>
      </c>
      <c r="N77" s="73">
        <f>L77-K77</f>
        <v>-1045</v>
      </c>
    </row>
    <row r="78" spans="1:14" s="74" customFormat="1" ht="10" x14ac:dyDescent="0.2">
      <c r="E78" s="74">
        <v>-7</v>
      </c>
      <c r="F78" s="74">
        <v>19</v>
      </c>
      <c r="G78" s="74">
        <v>-2</v>
      </c>
      <c r="H78" s="74">
        <v>-4</v>
      </c>
      <c r="I78" s="74">
        <v>3</v>
      </c>
      <c r="J78" s="74">
        <v>15</v>
      </c>
      <c r="K78" s="75">
        <v>-12</v>
      </c>
      <c r="L78" s="75">
        <v>-5</v>
      </c>
      <c r="M78" s="75"/>
      <c r="N78" s="75"/>
    </row>
    <row r="79" spans="1:14" s="8" customFormat="1" ht="12.5" x14ac:dyDescent="0.25">
      <c r="A79" s="8">
        <v>41</v>
      </c>
      <c r="B79" s="8" t="s">
        <v>194</v>
      </c>
      <c r="C79" s="8" t="s">
        <v>383</v>
      </c>
      <c r="D79" s="8">
        <v>26168</v>
      </c>
      <c r="E79" s="8">
        <v>26351</v>
      </c>
      <c r="F79" s="8">
        <v>26415</v>
      </c>
      <c r="G79" s="8">
        <v>26220</v>
      </c>
      <c r="H79" s="8">
        <v>26415</v>
      </c>
      <c r="I79" s="8">
        <v>26383</v>
      </c>
      <c r="J79" s="8">
        <v>31159</v>
      </c>
      <c r="K79" s="73">
        <v>27882</v>
      </c>
      <c r="L79" s="73">
        <v>27795</v>
      </c>
      <c r="M79" s="73">
        <v>244788</v>
      </c>
      <c r="N79" s="73">
        <f>L79-K79</f>
        <v>-87</v>
      </c>
    </row>
    <row r="80" spans="1:14" s="74" customFormat="1" ht="10" x14ac:dyDescent="0.2">
      <c r="E80" s="74">
        <v>1</v>
      </c>
      <c r="F80" s="74">
        <v>0</v>
      </c>
      <c r="G80" s="74">
        <v>-1</v>
      </c>
      <c r="H80" s="74">
        <v>1</v>
      </c>
      <c r="I80" s="74">
        <v>0</v>
      </c>
      <c r="J80" s="74">
        <v>18</v>
      </c>
      <c r="K80" s="75">
        <v>-11</v>
      </c>
      <c r="L80" s="75">
        <v>0</v>
      </c>
      <c r="M80" s="75"/>
      <c r="N80" s="75"/>
    </row>
    <row r="81" spans="1:14" s="8" customFormat="1" ht="12.5" x14ac:dyDescent="0.25">
      <c r="A81" s="8">
        <v>42</v>
      </c>
      <c r="B81" s="8" t="s">
        <v>353</v>
      </c>
      <c r="C81" s="8" t="s">
        <v>142</v>
      </c>
      <c r="D81" s="8">
        <v>5267</v>
      </c>
      <c r="E81" s="8">
        <v>0</v>
      </c>
      <c r="F81" s="8">
        <v>0</v>
      </c>
      <c r="G81" s="8">
        <v>1977</v>
      </c>
      <c r="H81" s="8">
        <v>5696</v>
      </c>
      <c r="I81" s="8">
        <v>7295</v>
      </c>
      <c r="J81" s="8">
        <v>8469</v>
      </c>
      <c r="K81" s="73">
        <v>11328</v>
      </c>
      <c r="L81" s="73">
        <v>6610</v>
      </c>
      <c r="M81" s="73">
        <v>46642</v>
      </c>
      <c r="N81" s="76">
        <f>L81-K81</f>
        <v>-4718</v>
      </c>
    </row>
    <row r="82" spans="1:14" s="74" customFormat="1" ht="10" x14ac:dyDescent="0.2">
      <c r="H82" s="74">
        <v>188</v>
      </c>
      <c r="I82" s="74">
        <v>28</v>
      </c>
      <c r="J82" s="74">
        <v>16</v>
      </c>
      <c r="K82" s="75">
        <v>34</v>
      </c>
      <c r="L82" s="75">
        <v>-42</v>
      </c>
      <c r="M82" s="75"/>
      <c r="N82" s="75"/>
    </row>
    <row r="83" spans="1:14" s="8" customFormat="1" ht="12.5" x14ac:dyDescent="0.25">
      <c r="A83" s="8">
        <v>43</v>
      </c>
      <c r="B83" s="8" t="s">
        <v>246</v>
      </c>
      <c r="C83" s="8" t="s">
        <v>247</v>
      </c>
      <c r="D83" s="8">
        <v>14140</v>
      </c>
      <c r="E83" s="8">
        <v>15069</v>
      </c>
      <c r="F83" s="8">
        <v>16842</v>
      </c>
      <c r="G83" s="8">
        <v>12504</v>
      </c>
      <c r="H83" s="8">
        <v>18308</v>
      </c>
      <c r="I83" s="8">
        <v>15437</v>
      </c>
      <c r="J83" s="8">
        <v>16415</v>
      </c>
      <c r="K83" s="73">
        <v>8031</v>
      </c>
      <c r="L83" s="73">
        <v>14254</v>
      </c>
      <c r="M83" s="73">
        <v>131000</v>
      </c>
      <c r="N83" s="76">
        <f>L83-K83</f>
        <v>6223</v>
      </c>
    </row>
    <row r="84" spans="1:14" s="74" customFormat="1" ht="10" x14ac:dyDescent="0.2">
      <c r="E84" s="74">
        <v>7</v>
      </c>
      <c r="F84" s="74">
        <v>12</v>
      </c>
      <c r="G84" s="74">
        <v>-26</v>
      </c>
      <c r="H84" s="74">
        <v>46</v>
      </c>
      <c r="I84" s="74">
        <v>-16</v>
      </c>
      <c r="J84" s="74">
        <v>6</v>
      </c>
      <c r="K84" s="75">
        <v>-51</v>
      </c>
      <c r="L84" s="75">
        <v>77</v>
      </c>
      <c r="M84" s="75"/>
      <c r="N84" s="75"/>
    </row>
    <row r="85" spans="1:14" s="8" customFormat="1" ht="12.5" x14ac:dyDescent="0.25">
      <c r="A85" s="8">
        <v>44</v>
      </c>
      <c r="B85" s="8" t="s">
        <v>543</v>
      </c>
      <c r="C85" s="8" t="s">
        <v>544</v>
      </c>
      <c r="D85" s="8">
        <v>8963</v>
      </c>
      <c r="E85" s="8">
        <v>7402</v>
      </c>
      <c r="F85" s="8">
        <v>7741</v>
      </c>
      <c r="G85" s="8">
        <v>9632</v>
      </c>
      <c r="H85" s="8">
        <v>9308</v>
      </c>
      <c r="I85" s="8">
        <v>8345</v>
      </c>
      <c r="J85" s="8">
        <v>11871</v>
      </c>
      <c r="K85" s="73">
        <v>10646</v>
      </c>
      <c r="L85" s="73">
        <v>9335</v>
      </c>
      <c r="M85" s="73">
        <v>83243</v>
      </c>
      <c r="N85" s="73">
        <f>L85-K85</f>
        <v>-1311</v>
      </c>
    </row>
    <row r="86" spans="1:14" s="74" customFormat="1" ht="10" x14ac:dyDescent="0.2">
      <c r="E86" s="74">
        <v>-17</v>
      </c>
      <c r="F86" s="74">
        <v>5</v>
      </c>
      <c r="G86" s="74">
        <v>24</v>
      </c>
      <c r="H86" s="74">
        <v>-3</v>
      </c>
      <c r="I86" s="74">
        <v>-10</v>
      </c>
      <c r="J86" s="74">
        <v>42</v>
      </c>
      <c r="K86" s="75">
        <v>-10</v>
      </c>
      <c r="L86" s="75">
        <v>-12</v>
      </c>
      <c r="M86" s="75"/>
      <c r="N86" s="75"/>
    </row>
    <row r="87" spans="1:14" s="8" customFormat="1" ht="12.5" x14ac:dyDescent="0.25">
      <c r="A87" s="8">
        <v>45</v>
      </c>
      <c r="B87" s="8" t="s">
        <v>341</v>
      </c>
      <c r="C87" s="8" t="s">
        <v>342</v>
      </c>
      <c r="D87" s="8">
        <v>896</v>
      </c>
      <c r="E87" s="8">
        <v>4306</v>
      </c>
      <c r="F87" s="8">
        <v>10719</v>
      </c>
      <c r="G87" s="8">
        <v>11266</v>
      </c>
      <c r="H87" s="8">
        <v>11268</v>
      </c>
      <c r="I87" s="8">
        <v>11226</v>
      </c>
      <c r="J87" s="8">
        <v>10913</v>
      </c>
      <c r="K87" s="73">
        <v>12688</v>
      </c>
      <c r="L87" s="73">
        <v>12913</v>
      </c>
      <c r="M87" s="73">
        <v>86195</v>
      </c>
      <c r="N87" s="73">
        <f>L87-K87</f>
        <v>225</v>
      </c>
    </row>
    <row r="88" spans="1:14" s="74" customFormat="1" ht="10" x14ac:dyDescent="0.2">
      <c r="E88" s="74">
        <v>381</v>
      </c>
      <c r="F88" s="74">
        <v>149</v>
      </c>
      <c r="G88" s="74">
        <v>5</v>
      </c>
      <c r="H88" s="74">
        <v>0</v>
      </c>
      <c r="I88" s="74">
        <v>0</v>
      </c>
      <c r="J88" s="74">
        <v>-3</v>
      </c>
      <c r="K88" s="75">
        <v>16</v>
      </c>
      <c r="L88" s="75">
        <v>2</v>
      </c>
      <c r="M88" s="75"/>
      <c r="N88" s="75"/>
    </row>
    <row r="89" spans="1:14" s="8" customFormat="1" ht="12.5" x14ac:dyDescent="0.25">
      <c r="A89" s="8">
        <v>47</v>
      </c>
      <c r="B89" s="8" t="s">
        <v>559</v>
      </c>
      <c r="C89" s="8" t="s">
        <v>560</v>
      </c>
      <c r="D89" s="8">
        <v>0</v>
      </c>
      <c r="E89" s="8">
        <v>0</v>
      </c>
      <c r="F89" s="8">
        <v>5765</v>
      </c>
      <c r="G89" s="8">
        <v>0</v>
      </c>
      <c r="H89" s="8">
        <v>0</v>
      </c>
      <c r="I89" s="8">
        <v>0</v>
      </c>
      <c r="J89" s="8">
        <v>0</v>
      </c>
      <c r="K89" s="73">
        <v>0</v>
      </c>
      <c r="L89" s="73">
        <v>0</v>
      </c>
      <c r="M89" s="73">
        <v>5765</v>
      </c>
      <c r="N89" s="73">
        <f>L89-K89</f>
        <v>0</v>
      </c>
    </row>
    <row r="90" spans="1:14" s="74" customFormat="1" ht="10" x14ac:dyDescent="0.2">
      <c r="K90" s="75"/>
      <c r="L90" s="75"/>
      <c r="M90" s="75"/>
      <c r="N90" s="75"/>
    </row>
    <row r="91" spans="1:14" s="8" customFormat="1" ht="12.5" x14ac:dyDescent="0.25">
      <c r="A91" s="8">
        <v>48</v>
      </c>
      <c r="B91" s="8" t="s">
        <v>248</v>
      </c>
      <c r="C91" s="8" t="s">
        <v>249</v>
      </c>
      <c r="D91" s="8">
        <v>9617</v>
      </c>
      <c r="E91" s="8">
        <v>9049</v>
      </c>
      <c r="F91" s="8">
        <v>8857</v>
      </c>
      <c r="G91" s="8">
        <v>11905</v>
      </c>
      <c r="H91" s="8">
        <v>12962</v>
      </c>
      <c r="I91" s="8">
        <v>8622</v>
      </c>
      <c r="J91" s="8">
        <v>12480</v>
      </c>
      <c r="K91" s="73">
        <v>11284</v>
      </c>
      <c r="L91" s="73">
        <v>12843</v>
      </c>
      <c r="M91" s="73">
        <v>97619</v>
      </c>
      <c r="N91" s="73">
        <f>L91-K91</f>
        <v>1559</v>
      </c>
    </row>
    <row r="92" spans="1:14" s="74" customFormat="1" ht="10" x14ac:dyDescent="0.2">
      <c r="E92" s="74">
        <v>-6</v>
      </c>
      <c r="F92" s="74">
        <v>-2</v>
      </c>
      <c r="G92" s="74">
        <v>34</v>
      </c>
      <c r="H92" s="74">
        <v>9</v>
      </c>
      <c r="I92" s="74">
        <v>-33</v>
      </c>
      <c r="J92" s="74">
        <v>45</v>
      </c>
      <c r="K92" s="75">
        <v>-10</v>
      </c>
      <c r="L92" s="75">
        <v>14</v>
      </c>
      <c r="M92" s="75"/>
      <c r="N92" s="75"/>
    </row>
    <row r="93" spans="1:14" s="8" customFormat="1" ht="12.5" x14ac:dyDescent="0.25">
      <c r="A93" s="8">
        <v>49</v>
      </c>
      <c r="B93" s="8" t="s">
        <v>206</v>
      </c>
      <c r="C93" s="8" t="s">
        <v>207</v>
      </c>
      <c r="D93" s="8">
        <v>15049</v>
      </c>
      <c r="E93" s="8">
        <v>12374</v>
      </c>
      <c r="F93" s="8">
        <v>15255</v>
      </c>
      <c r="G93" s="8">
        <v>12318</v>
      </c>
      <c r="H93" s="8">
        <v>15017</v>
      </c>
      <c r="I93" s="8">
        <v>14348</v>
      </c>
      <c r="J93" s="8">
        <v>12822</v>
      </c>
      <c r="K93" s="73">
        <v>18492</v>
      </c>
      <c r="L93" s="73">
        <v>21003</v>
      </c>
      <c r="M93" s="73">
        <v>136678</v>
      </c>
      <c r="N93" s="73">
        <f>L93-K93</f>
        <v>2511</v>
      </c>
    </row>
    <row r="94" spans="1:14" s="74" customFormat="1" ht="10" x14ac:dyDescent="0.2">
      <c r="E94" s="74">
        <v>-18</v>
      </c>
      <c r="F94" s="74">
        <v>23</v>
      </c>
      <c r="G94" s="74">
        <v>-19</v>
      </c>
      <c r="H94" s="74">
        <v>22</v>
      </c>
      <c r="I94" s="74">
        <v>-4</v>
      </c>
      <c r="J94" s="74">
        <v>-11</v>
      </c>
      <c r="K94" s="75">
        <v>44</v>
      </c>
      <c r="L94" s="75">
        <v>14</v>
      </c>
      <c r="M94" s="75"/>
      <c r="N94" s="75"/>
    </row>
    <row r="95" spans="1:14" s="8" customFormat="1" ht="12.5" x14ac:dyDescent="0.25">
      <c r="A95" s="8">
        <v>51</v>
      </c>
      <c r="B95" s="8" t="s">
        <v>431</v>
      </c>
      <c r="C95" s="8" t="s">
        <v>222</v>
      </c>
      <c r="D95" s="8">
        <v>24991</v>
      </c>
      <c r="E95" s="8">
        <v>24991</v>
      </c>
      <c r="F95" s="8">
        <v>24991</v>
      </c>
      <c r="G95" s="8">
        <v>25022</v>
      </c>
      <c r="H95" s="8">
        <v>24991</v>
      </c>
      <c r="I95" s="8">
        <v>14888</v>
      </c>
      <c r="J95" s="8">
        <v>0</v>
      </c>
      <c r="K95" s="73">
        <v>0</v>
      </c>
      <c r="L95" s="73">
        <v>0</v>
      </c>
      <c r="M95" s="73">
        <v>139874</v>
      </c>
      <c r="N95" s="73">
        <f>L95-K95</f>
        <v>0</v>
      </c>
    </row>
    <row r="96" spans="1:14" s="74" customFormat="1" ht="10" x14ac:dyDescent="0.2">
      <c r="E96" s="74">
        <v>0</v>
      </c>
      <c r="F96" s="74">
        <v>0</v>
      </c>
      <c r="G96" s="74">
        <v>0</v>
      </c>
      <c r="H96" s="74">
        <v>0</v>
      </c>
      <c r="I96" s="74">
        <v>-40</v>
      </c>
      <c r="K96" s="75"/>
      <c r="L96" s="75"/>
      <c r="M96" s="75"/>
      <c r="N96" s="75"/>
    </row>
    <row r="97" spans="1:14" s="8" customFormat="1" ht="12.5" x14ac:dyDescent="0.25">
      <c r="A97" s="8">
        <v>52</v>
      </c>
      <c r="B97" s="8" t="s">
        <v>208</v>
      </c>
      <c r="C97" s="8" t="s">
        <v>209</v>
      </c>
      <c r="D97" s="8">
        <v>15276</v>
      </c>
      <c r="E97" s="8">
        <v>7261</v>
      </c>
      <c r="F97" s="8">
        <v>23085</v>
      </c>
      <c r="G97" s="8">
        <v>16554</v>
      </c>
      <c r="H97" s="8">
        <v>14395</v>
      </c>
      <c r="I97" s="8">
        <v>13674</v>
      </c>
      <c r="J97" s="8">
        <v>14216</v>
      </c>
      <c r="K97" s="73">
        <v>17258</v>
      </c>
      <c r="L97" s="73">
        <v>22501</v>
      </c>
      <c r="M97" s="73">
        <v>144220</v>
      </c>
      <c r="N97" s="76">
        <f>L97-K97</f>
        <v>5243</v>
      </c>
    </row>
    <row r="98" spans="1:14" s="74" customFormat="1" ht="10" x14ac:dyDescent="0.2">
      <c r="E98" s="74">
        <v>-52</v>
      </c>
      <c r="F98" s="74">
        <v>218</v>
      </c>
      <c r="G98" s="74">
        <v>-28</v>
      </c>
      <c r="H98" s="74">
        <v>-13</v>
      </c>
      <c r="I98" s="74">
        <v>-5</v>
      </c>
      <c r="J98" s="74">
        <v>4</v>
      </c>
      <c r="K98" s="75">
        <v>21</v>
      </c>
      <c r="L98" s="75">
        <v>30</v>
      </c>
      <c r="M98" s="75"/>
      <c r="N98" s="75"/>
    </row>
    <row r="99" spans="1:14" s="8" customFormat="1" ht="12.5" x14ac:dyDescent="0.25">
      <c r="A99" s="8">
        <v>53</v>
      </c>
      <c r="B99" s="8" t="s">
        <v>304</v>
      </c>
      <c r="C99" s="8" t="s">
        <v>164</v>
      </c>
      <c r="D99" s="8">
        <v>12421</v>
      </c>
      <c r="E99" s="8">
        <v>11938</v>
      </c>
      <c r="F99" s="8">
        <v>11926</v>
      </c>
      <c r="G99" s="8">
        <v>10929</v>
      </c>
      <c r="H99" s="8">
        <v>12143</v>
      </c>
      <c r="I99" s="8">
        <v>10241</v>
      </c>
      <c r="J99" s="8">
        <v>12708</v>
      </c>
      <c r="K99" s="73">
        <v>10643</v>
      </c>
      <c r="L99" s="73">
        <v>9271</v>
      </c>
      <c r="M99" s="73">
        <v>102220</v>
      </c>
      <c r="N99" s="73">
        <f>L99-K99</f>
        <v>-1372</v>
      </c>
    </row>
    <row r="100" spans="1:14" s="74" customFormat="1" ht="10" x14ac:dyDescent="0.2">
      <c r="E100" s="74">
        <v>-4</v>
      </c>
      <c r="F100" s="74">
        <v>0</v>
      </c>
      <c r="G100" s="74">
        <v>-8</v>
      </c>
      <c r="H100" s="74">
        <v>11</v>
      </c>
      <c r="I100" s="74">
        <v>-16</v>
      </c>
      <c r="J100" s="74">
        <v>24</v>
      </c>
      <c r="K100" s="75">
        <v>-16</v>
      </c>
      <c r="L100" s="75">
        <v>-13</v>
      </c>
      <c r="M100" s="75"/>
      <c r="N100" s="75"/>
    </row>
    <row r="101" spans="1:14" s="8" customFormat="1" ht="12.5" x14ac:dyDescent="0.25">
      <c r="A101" s="8">
        <v>54</v>
      </c>
      <c r="B101" s="8" t="s">
        <v>425</v>
      </c>
      <c r="C101" s="8" t="s">
        <v>426</v>
      </c>
      <c r="D101" s="8">
        <v>0</v>
      </c>
      <c r="E101" s="8">
        <v>23103</v>
      </c>
      <c r="F101" s="8">
        <v>30099</v>
      </c>
      <c r="G101" s="8">
        <v>39380</v>
      </c>
      <c r="H101" s="8">
        <v>27023</v>
      </c>
      <c r="I101" s="8">
        <v>12613</v>
      </c>
      <c r="J101" s="8">
        <v>23556</v>
      </c>
      <c r="K101" s="73">
        <v>14835</v>
      </c>
      <c r="L101" s="73">
        <v>1941</v>
      </c>
      <c r="M101" s="73">
        <v>172550</v>
      </c>
      <c r="N101" s="76">
        <f>L101-K101</f>
        <v>-12894</v>
      </c>
    </row>
    <row r="102" spans="1:14" s="74" customFormat="1" ht="10" x14ac:dyDescent="0.2">
      <c r="F102" s="74">
        <v>30</v>
      </c>
      <c r="G102" s="74">
        <v>31</v>
      </c>
      <c r="H102" s="74">
        <v>-31</v>
      </c>
      <c r="I102" s="74">
        <v>-53</v>
      </c>
      <c r="J102" s="74">
        <v>87</v>
      </c>
      <c r="K102" s="75">
        <v>-37</v>
      </c>
      <c r="L102" s="75">
        <v>-87</v>
      </c>
      <c r="M102" s="75"/>
      <c r="N102" s="75"/>
    </row>
    <row r="103" spans="1:14" s="8" customFormat="1" ht="12.5" x14ac:dyDescent="0.25">
      <c r="A103" s="8">
        <v>55</v>
      </c>
      <c r="B103" s="8" t="s">
        <v>354</v>
      </c>
      <c r="C103" s="8" t="s">
        <v>355</v>
      </c>
      <c r="D103" s="8">
        <v>6998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73">
        <v>0</v>
      </c>
      <c r="L103" s="73">
        <v>0</v>
      </c>
      <c r="M103" s="73">
        <v>6998</v>
      </c>
      <c r="N103" s="73">
        <f>L103-K103</f>
        <v>0</v>
      </c>
    </row>
    <row r="104" spans="1:14" s="74" customFormat="1" ht="10" x14ac:dyDescent="0.2">
      <c r="K104" s="75"/>
      <c r="L104" s="75"/>
      <c r="M104" s="75"/>
      <c r="N104" s="75"/>
    </row>
    <row r="105" spans="1:14" s="8" customFormat="1" ht="12.5" x14ac:dyDescent="0.25">
      <c r="A105" s="8">
        <v>56</v>
      </c>
      <c r="B105" s="8" t="s">
        <v>345</v>
      </c>
      <c r="C105" s="8" t="s">
        <v>410</v>
      </c>
      <c r="D105" s="8">
        <v>27989</v>
      </c>
      <c r="E105" s="8">
        <v>28266</v>
      </c>
      <c r="F105" s="8">
        <v>28364</v>
      </c>
      <c r="G105" s="8">
        <v>25209</v>
      </c>
      <c r="H105" s="8">
        <v>37167</v>
      </c>
      <c r="I105" s="8">
        <v>0</v>
      </c>
      <c r="J105" s="8">
        <v>0</v>
      </c>
      <c r="K105" s="73">
        <v>0</v>
      </c>
      <c r="L105" s="73">
        <v>0</v>
      </c>
      <c r="M105" s="73">
        <v>146995</v>
      </c>
      <c r="N105" s="73">
        <f>L105-K105</f>
        <v>0</v>
      </c>
    </row>
    <row r="106" spans="1:14" s="74" customFormat="1" ht="10" x14ac:dyDescent="0.2">
      <c r="E106" s="74">
        <v>1</v>
      </c>
      <c r="F106" s="74">
        <v>0</v>
      </c>
      <c r="G106" s="74">
        <v>-11</v>
      </c>
      <c r="H106" s="74">
        <v>47</v>
      </c>
      <c r="K106" s="75"/>
      <c r="L106" s="75"/>
      <c r="M106" s="75"/>
      <c r="N106" s="75"/>
    </row>
    <row r="107" spans="1:14" s="8" customFormat="1" ht="12.5" x14ac:dyDescent="0.25">
      <c r="A107" s="8">
        <v>57</v>
      </c>
      <c r="B107" s="8" t="s">
        <v>305</v>
      </c>
      <c r="C107" s="8" t="s">
        <v>306</v>
      </c>
      <c r="D107" s="8">
        <v>5435</v>
      </c>
      <c r="E107" s="8">
        <v>3135</v>
      </c>
      <c r="F107" s="8">
        <v>6216</v>
      </c>
      <c r="G107" s="8">
        <v>5881</v>
      </c>
      <c r="H107" s="8">
        <v>6625</v>
      </c>
      <c r="I107" s="8">
        <v>7201</v>
      </c>
      <c r="J107" s="8">
        <v>3988</v>
      </c>
      <c r="K107" s="73">
        <v>6026</v>
      </c>
      <c r="L107" s="73">
        <v>14837</v>
      </c>
      <c r="M107" s="73">
        <v>59344</v>
      </c>
      <c r="N107" s="76">
        <f>L107-K107</f>
        <v>8811</v>
      </c>
    </row>
    <row r="108" spans="1:14" s="74" customFormat="1" ht="10" x14ac:dyDescent="0.2">
      <c r="E108" s="74">
        <v>-42</v>
      </c>
      <c r="F108" s="74">
        <v>98</v>
      </c>
      <c r="G108" s="74">
        <v>-5</v>
      </c>
      <c r="H108" s="74">
        <v>13</v>
      </c>
      <c r="I108" s="74">
        <v>9</v>
      </c>
      <c r="J108" s="74">
        <v>-45</v>
      </c>
      <c r="K108" s="75">
        <v>51</v>
      </c>
      <c r="L108" s="75">
        <v>146</v>
      </c>
      <c r="M108" s="75"/>
      <c r="N108" s="75"/>
    </row>
    <row r="109" spans="1:14" s="8" customFormat="1" ht="12.5" x14ac:dyDescent="0.25">
      <c r="A109" s="8">
        <v>58</v>
      </c>
      <c r="B109" s="8" t="s">
        <v>411</v>
      </c>
      <c r="C109" s="8" t="s">
        <v>412</v>
      </c>
      <c r="D109" s="8">
        <v>0</v>
      </c>
      <c r="E109" s="8">
        <v>0</v>
      </c>
      <c r="F109" s="8">
        <v>0</v>
      </c>
      <c r="G109" s="8">
        <v>0</v>
      </c>
      <c r="H109" s="8">
        <v>2446</v>
      </c>
      <c r="I109" s="8">
        <v>0</v>
      </c>
      <c r="J109" s="8">
        <v>0</v>
      </c>
      <c r="K109" s="73">
        <v>0</v>
      </c>
      <c r="L109" s="73">
        <v>0</v>
      </c>
      <c r="M109" s="73">
        <v>2446</v>
      </c>
      <c r="N109" s="73">
        <f>L109-K109</f>
        <v>0</v>
      </c>
    </row>
    <row r="110" spans="1:14" s="74" customFormat="1" ht="10" x14ac:dyDescent="0.2">
      <c r="K110" s="75"/>
      <c r="L110" s="75"/>
      <c r="M110" s="75"/>
      <c r="N110" s="75"/>
    </row>
    <row r="111" spans="1:14" s="8" customFormat="1" ht="12.5" x14ac:dyDescent="0.25">
      <c r="A111" s="8">
        <v>59</v>
      </c>
      <c r="B111" s="8" t="s">
        <v>210</v>
      </c>
      <c r="C111" s="8" t="s">
        <v>211</v>
      </c>
      <c r="D111" s="8">
        <v>36148</v>
      </c>
      <c r="E111" s="8">
        <v>27297</v>
      </c>
      <c r="F111" s="8">
        <v>41985</v>
      </c>
      <c r="G111" s="8">
        <v>38587</v>
      </c>
      <c r="H111" s="8">
        <v>29412</v>
      </c>
      <c r="I111" s="8">
        <v>33330</v>
      </c>
      <c r="J111" s="8">
        <v>28706</v>
      </c>
      <c r="K111" s="73">
        <v>31041</v>
      </c>
      <c r="L111" s="73">
        <v>28201</v>
      </c>
      <c r="M111" s="73">
        <v>294707</v>
      </c>
      <c r="N111" s="73">
        <f>L111-K111</f>
        <v>-2840</v>
      </c>
    </row>
    <row r="112" spans="1:14" s="74" customFormat="1" ht="10" x14ac:dyDescent="0.2">
      <c r="E112" s="74">
        <v>-24</v>
      </c>
      <c r="F112" s="74">
        <v>54</v>
      </c>
      <c r="G112" s="74">
        <v>-8</v>
      </c>
      <c r="H112" s="74">
        <v>-24</v>
      </c>
      <c r="I112" s="74">
        <v>13</v>
      </c>
      <c r="J112" s="74">
        <v>-14</v>
      </c>
      <c r="K112" s="75">
        <v>8</v>
      </c>
      <c r="L112" s="75">
        <v>-9</v>
      </c>
      <c r="M112" s="75"/>
      <c r="N112" s="75"/>
    </row>
    <row r="113" spans="1:14" s="8" customFormat="1" ht="12.5" x14ac:dyDescent="0.25">
      <c r="A113" s="8">
        <v>60</v>
      </c>
      <c r="B113" s="8" t="s">
        <v>250</v>
      </c>
      <c r="C113" s="8" t="s">
        <v>251</v>
      </c>
      <c r="D113" s="8">
        <v>12770</v>
      </c>
      <c r="E113" s="8">
        <v>8644</v>
      </c>
      <c r="F113" s="8">
        <v>14573</v>
      </c>
      <c r="G113" s="8">
        <v>15219</v>
      </c>
      <c r="H113" s="8">
        <v>14882</v>
      </c>
      <c r="I113" s="8">
        <v>13883</v>
      </c>
      <c r="J113" s="8">
        <v>14911</v>
      </c>
      <c r="K113" s="73">
        <v>15415</v>
      </c>
      <c r="L113" s="73">
        <v>13709</v>
      </c>
      <c r="M113" s="73">
        <v>124006</v>
      </c>
      <c r="N113" s="73">
        <f>L113-K113</f>
        <v>-1706</v>
      </c>
    </row>
    <row r="114" spans="1:14" s="74" customFormat="1" ht="10" x14ac:dyDescent="0.2">
      <c r="E114" s="74">
        <v>-32</v>
      </c>
      <c r="F114" s="74">
        <v>69</v>
      </c>
      <c r="G114" s="74">
        <v>4</v>
      </c>
      <c r="H114" s="74">
        <v>-2</v>
      </c>
      <c r="I114" s="74">
        <v>-7</v>
      </c>
      <c r="J114" s="74">
        <v>7</v>
      </c>
      <c r="K114" s="75">
        <v>3</v>
      </c>
      <c r="L114" s="75">
        <v>-11</v>
      </c>
      <c r="M114" s="75"/>
      <c r="N114" s="75"/>
    </row>
    <row r="115" spans="1:14" s="8" customFormat="1" ht="12.5" x14ac:dyDescent="0.25">
      <c r="A115" s="8">
        <v>61</v>
      </c>
      <c r="B115" s="8" t="s">
        <v>427</v>
      </c>
      <c r="C115" s="8" t="s">
        <v>237</v>
      </c>
      <c r="D115" s="8">
        <v>31581</v>
      </c>
      <c r="E115" s="8">
        <v>19449</v>
      </c>
      <c r="F115" s="8">
        <v>29160</v>
      </c>
      <c r="G115" s="8">
        <v>22340</v>
      </c>
      <c r="H115" s="8">
        <v>29225</v>
      </c>
      <c r="I115" s="8">
        <v>21406</v>
      </c>
      <c r="J115" s="8">
        <v>21682</v>
      </c>
      <c r="K115" s="73">
        <v>23847</v>
      </c>
      <c r="L115" s="73">
        <v>0</v>
      </c>
      <c r="M115" s="73">
        <v>198690</v>
      </c>
      <c r="N115" s="76">
        <f>L115-K115</f>
        <v>-23847</v>
      </c>
    </row>
    <row r="116" spans="1:14" s="74" customFormat="1" ht="10" x14ac:dyDescent="0.2">
      <c r="E116" s="74">
        <v>-38</v>
      </c>
      <c r="F116" s="74">
        <v>50</v>
      </c>
      <c r="G116" s="74">
        <v>-23</v>
      </c>
      <c r="H116" s="74">
        <v>31</v>
      </c>
      <c r="I116" s="74">
        <v>-27</v>
      </c>
      <c r="J116" s="74">
        <v>1</v>
      </c>
      <c r="K116" s="75">
        <v>10</v>
      </c>
      <c r="L116" s="75"/>
      <c r="M116" s="75"/>
      <c r="N116" s="75"/>
    </row>
    <row r="117" spans="1:14" s="8" customFormat="1" ht="12.5" x14ac:dyDescent="0.25">
      <c r="A117" s="8">
        <v>63</v>
      </c>
      <c r="B117" s="8" t="s">
        <v>252</v>
      </c>
      <c r="C117" s="8" t="s">
        <v>251</v>
      </c>
      <c r="D117" s="8">
        <v>15584</v>
      </c>
      <c r="E117" s="8">
        <v>15817</v>
      </c>
      <c r="F117" s="8">
        <v>17238</v>
      </c>
      <c r="G117" s="8">
        <v>16019</v>
      </c>
      <c r="H117" s="8">
        <v>16773</v>
      </c>
      <c r="I117" s="8">
        <v>17476</v>
      </c>
      <c r="J117" s="8">
        <v>16126</v>
      </c>
      <c r="K117" s="73">
        <v>18401</v>
      </c>
      <c r="L117" s="73">
        <v>17836</v>
      </c>
      <c r="M117" s="73">
        <v>151270</v>
      </c>
      <c r="N117" s="73">
        <f>L117-K117</f>
        <v>-565</v>
      </c>
    </row>
    <row r="118" spans="1:14" s="74" customFormat="1" ht="10" x14ac:dyDescent="0.2">
      <c r="E118" s="74">
        <v>1</v>
      </c>
      <c r="F118" s="74">
        <v>9</v>
      </c>
      <c r="G118" s="74">
        <v>-7</v>
      </c>
      <c r="H118" s="74">
        <v>5</v>
      </c>
      <c r="I118" s="74">
        <v>4</v>
      </c>
      <c r="J118" s="74">
        <v>-8</v>
      </c>
      <c r="K118" s="75">
        <v>14</v>
      </c>
      <c r="L118" s="75">
        <v>-3</v>
      </c>
      <c r="M118" s="75"/>
      <c r="N118" s="75"/>
    </row>
    <row r="119" spans="1:14" s="8" customFormat="1" ht="12.5" x14ac:dyDescent="0.25">
      <c r="A119" s="8">
        <v>68</v>
      </c>
      <c r="B119" s="8" t="s">
        <v>253</v>
      </c>
      <c r="C119" s="8" t="s">
        <v>254</v>
      </c>
      <c r="D119" s="8">
        <v>14150</v>
      </c>
      <c r="E119" s="8">
        <v>11996</v>
      </c>
      <c r="F119" s="8">
        <v>13500</v>
      </c>
      <c r="G119" s="8">
        <v>13475</v>
      </c>
      <c r="H119" s="8">
        <v>14666</v>
      </c>
      <c r="I119" s="8">
        <v>12618</v>
      </c>
      <c r="J119" s="8">
        <v>13167</v>
      </c>
      <c r="K119" s="73">
        <v>14955</v>
      </c>
      <c r="L119" s="73">
        <v>13289</v>
      </c>
      <c r="M119" s="73">
        <v>121816</v>
      </c>
      <c r="N119" s="73">
        <f>L119-K119</f>
        <v>-1666</v>
      </c>
    </row>
    <row r="120" spans="1:14" s="74" customFormat="1" ht="10" x14ac:dyDescent="0.2">
      <c r="E120" s="74">
        <v>-15</v>
      </c>
      <c r="F120" s="74">
        <v>13</v>
      </c>
      <c r="G120" s="74">
        <v>0</v>
      </c>
      <c r="H120" s="74">
        <v>9</v>
      </c>
      <c r="I120" s="74">
        <v>-14</v>
      </c>
      <c r="J120" s="74">
        <v>4</v>
      </c>
      <c r="K120" s="75">
        <v>14</v>
      </c>
      <c r="L120" s="75">
        <v>-11</v>
      </c>
      <c r="M120" s="75"/>
      <c r="N120" s="75"/>
    </row>
    <row r="121" spans="1:14" s="8" customFormat="1" ht="12.5" x14ac:dyDescent="0.25">
      <c r="A121" s="8">
        <v>69</v>
      </c>
      <c r="B121" s="8" t="s">
        <v>372</v>
      </c>
      <c r="C121" s="8" t="s">
        <v>91</v>
      </c>
      <c r="D121" s="8">
        <v>4106</v>
      </c>
      <c r="E121" s="8">
        <v>4130</v>
      </c>
      <c r="F121" s="8">
        <v>4013</v>
      </c>
      <c r="G121" s="8">
        <v>5554</v>
      </c>
      <c r="H121" s="8">
        <v>4449</v>
      </c>
      <c r="I121" s="8">
        <v>5729</v>
      </c>
      <c r="J121" s="8">
        <v>11207</v>
      </c>
      <c r="K121" s="73">
        <v>9270</v>
      </c>
      <c r="L121" s="73">
        <v>8536</v>
      </c>
      <c r="M121" s="73">
        <v>56994</v>
      </c>
      <c r="N121" s="73">
        <f>L121-K121</f>
        <v>-734</v>
      </c>
    </row>
    <row r="122" spans="1:14" s="74" customFormat="1" ht="10" x14ac:dyDescent="0.2">
      <c r="E122" s="74">
        <v>1</v>
      </c>
      <c r="F122" s="74">
        <v>-3</v>
      </c>
      <c r="G122" s="74">
        <v>38</v>
      </c>
      <c r="H122" s="74">
        <v>-20</v>
      </c>
      <c r="I122" s="74">
        <v>29</v>
      </c>
      <c r="J122" s="74">
        <v>96</v>
      </c>
      <c r="K122" s="75">
        <v>-17</v>
      </c>
      <c r="L122" s="75">
        <v>-8</v>
      </c>
      <c r="M122" s="75"/>
      <c r="N122" s="75"/>
    </row>
    <row r="123" spans="1:14" s="8" customFormat="1" ht="12.5" x14ac:dyDescent="0.25">
      <c r="A123" s="8">
        <v>72</v>
      </c>
      <c r="B123" s="8" t="s">
        <v>255</v>
      </c>
      <c r="C123" s="8" t="s">
        <v>215</v>
      </c>
      <c r="D123" s="8">
        <v>2889</v>
      </c>
      <c r="E123" s="8">
        <v>3399</v>
      </c>
      <c r="F123" s="8">
        <v>3901</v>
      </c>
      <c r="G123" s="8">
        <v>5302</v>
      </c>
      <c r="H123" s="8">
        <v>4035</v>
      </c>
      <c r="I123" s="8">
        <v>6634</v>
      </c>
      <c r="J123" s="8">
        <v>2900</v>
      </c>
      <c r="K123" s="73">
        <v>6448</v>
      </c>
      <c r="L123" s="73">
        <v>11778</v>
      </c>
      <c r="M123" s="73">
        <v>47286</v>
      </c>
      <c r="N123" s="76">
        <f>L123-K123</f>
        <v>5330</v>
      </c>
    </row>
    <row r="124" spans="1:14" s="74" customFormat="1" ht="10" x14ac:dyDescent="0.2">
      <c r="E124" s="74">
        <v>18</v>
      </c>
      <c r="F124" s="74">
        <v>15</v>
      </c>
      <c r="G124" s="74">
        <v>36</v>
      </c>
      <c r="H124" s="74">
        <v>-24</v>
      </c>
      <c r="I124" s="74">
        <v>64</v>
      </c>
      <c r="J124" s="74">
        <v>-56</v>
      </c>
      <c r="K124" s="75">
        <v>122</v>
      </c>
      <c r="L124" s="75">
        <v>83</v>
      </c>
      <c r="M124" s="75"/>
      <c r="N124" s="75"/>
    </row>
    <row r="125" spans="1:14" s="8" customFormat="1" ht="12.5" x14ac:dyDescent="0.25">
      <c r="A125" s="8">
        <v>73</v>
      </c>
      <c r="B125" s="8" t="s">
        <v>509</v>
      </c>
      <c r="C125" s="8" t="s">
        <v>283</v>
      </c>
      <c r="D125" s="8">
        <v>4690</v>
      </c>
      <c r="E125" s="8">
        <v>2233</v>
      </c>
      <c r="F125" s="8">
        <v>4869</v>
      </c>
      <c r="G125" s="8">
        <v>9047</v>
      </c>
      <c r="H125" s="8">
        <v>6176</v>
      </c>
      <c r="I125" s="8">
        <v>3762</v>
      </c>
      <c r="J125" s="8">
        <v>3343</v>
      </c>
      <c r="K125" s="73">
        <v>7443</v>
      </c>
      <c r="L125" s="73">
        <v>6676</v>
      </c>
      <c r="M125" s="73">
        <v>48239</v>
      </c>
      <c r="N125" s="73">
        <f>L125-K125</f>
        <v>-767</v>
      </c>
    </row>
    <row r="126" spans="1:14" s="74" customFormat="1" ht="10" x14ac:dyDescent="0.2">
      <c r="E126" s="74">
        <v>-52</v>
      </c>
      <c r="F126" s="74">
        <v>118</v>
      </c>
      <c r="G126" s="74">
        <v>86</v>
      </c>
      <c r="H126" s="74">
        <v>-32</v>
      </c>
      <c r="I126" s="74">
        <v>-39</v>
      </c>
      <c r="J126" s="74">
        <v>-11</v>
      </c>
      <c r="K126" s="75">
        <v>123</v>
      </c>
      <c r="L126" s="75">
        <v>-10</v>
      </c>
      <c r="M126" s="75"/>
      <c r="N126" s="75"/>
    </row>
    <row r="127" spans="1:14" s="8" customFormat="1" ht="12.5" x14ac:dyDescent="0.25">
      <c r="A127" s="8">
        <v>76</v>
      </c>
      <c r="B127" s="8" t="s">
        <v>256</v>
      </c>
      <c r="C127" s="8" t="s">
        <v>257</v>
      </c>
      <c r="D127" s="8">
        <v>6395</v>
      </c>
      <c r="E127" s="8">
        <v>6455</v>
      </c>
      <c r="F127" s="8">
        <v>8900</v>
      </c>
      <c r="G127" s="8">
        <v>8526</v>
      </c>
      <c r="H127" s="8">
        <v>7584</v>
      </c>
      <c r="I127" s="8">
        <v>4738</v>
      </c>
      <c r="J127" s="8">
        <v>8614</v>
      </c>
      <c r="K127" s="73">
        <v>8006</v>
      </c>
      <c r="L127" s="73">
        <v>5467</v>
      </c>
      <c r="M127" s="73">
        <v>64685</v>
      </c>
      <c r="N127" s="73">
        <f>L127-K127</f>
        <v>-2539</v>
      </c>
    </row>
    <row r="128" spans="1:14" s="74" customFormat="1" ht="10" x14ac:dyDescent="0.2">
      <c r="E128" s="74">
        <v>1</v>
      </c>
      <c r="F128" s="74">
        <v>38</v>
      </c>
      <c r="G128" s="74">
        <v>-4</v>
      </c>
      <c r="H128" s="74">
        <v>-11</v>
      </c>
      <c r="I128" s="74">
        <v>-38</v>
      </c>
      <c r="J128" s="74">
        <v>82</v>
      </c>
      <c r="K128" s="75">
        <v>-7</v>
      </c>
      <c r="L128" s="75">
        <v>-32</v>
      </c>
      <c r="M128" s="75"/>
      <c r="N128" s="75"/>
    </row>
    <row r="129" spans="1:14" s="8" customFormat="1" ht="12.5" x14ac:dyDescent="0.25">
      <c r="A129" s="8">
        <v>77</v>
      </c>
      <c r="B129" s="8" t="s">
        <v>258</v>
      </c>
      <c r="C129" s="8" t="s">
        <v>259</v>
      </c>
      <c r="D129" s="8">
        <v>19935</v>
      </c>
      <c r="E129" s="8">
        <v>17782</v>
      </c>
      <c r="F129" s="8">
        <v>20081</v>
      </c>
      <c r="G129" s="8">
        <v>19015</v>
      </c>
      <c r="H129" s="8">
        <v>20514</v>
      </c>
      <c r="I129" s="8">
        <v>19004</v>
      </c>
      <c r="J129" s="8">
        <v>23307</v>
      </c>
      <c r="K129" s="73">
        <v>23440</v>
      </c>
      <c r="L129" s="73">
        <v>20821</v>
      </c>
      <c r="M129" s="73">
        <v>183899</v>
      </c>
      <c r="N129" s="73">
        <f>L129-K129</f>
        <v>-2619</v>
      </c>
    </row>
    <row r="130" spans="1:14" s="74" customFormat="1" ht="10" x14ac:dyDescent="0.2">
      <c r="E130" s="74">
        <v>-11</v>
      </c>
      <c r="F130" s="74">
        <v>13</v>
      </c>
      <c r="G130" s="74">
        <v>-5</v>
      </c>
      <c r="H130" s="74">
        <v>8</v>
      </c>
      <c r="I130" s="74">
        <v>-7</v>
      </c>
      <c r="J130" s="74">
        <v>23</v>
      </c>
      <c r="K130" s="75">
        <v>1</v>
      </c>
      <c r="L130" s="75">
        <v>-11</v>
      </c>
      <c r="M130" s="75"/>
      <c r="N130" s="75"/>
    </row>
    <row r="131" spans="1:14" s="8" customFormat="1" ht="12.5" x14ac:dyDescent="0.25">
      <c r="A131" s="8">
        <v>78</v>
      </c>
      <c r="B131" s="8" t="s">
        <v>212</v>
      </c>
      <c r="C131" s="8" t="s">
        <v>213</v>
      </c>
      <c r="D131" s="8">
        <v>20450</v>
      </c>
      <c r="E131" s="8">
        <v>16125</v>
      </c>
      <c r="F131" s="8">
        <v>15941</v>
      </c>
      <c r="G131" s="8">
        <v>18649</v>
      </c>
      <c r="H131" s="8">
        <v>16984</v>
      </c>
      <c r="I131" s="8">
        <v>14940</v>
      </c>
      <c r="J131" s="8">
        <v>17065</v>
      </c>
      <c r="K131" s="73">
        <v>15792</v>
      </c>
      <c r="L131" s="73">
        <v>21992</v>
      </c>
      <c r="M131" s="73">
        <v>157938</v>
      </c>
      <c r="N131" s="76">
        <f>L131-K131</f>
        <v>6200</v>
      </c>
    </row>
    <row r="132" spans="1:14" s="74" customFormat="1" ht="10" x14ac:dyDescent="0.2">
      <c r="E132" s="74">
        <v>-21</v>
      </c>
      <c r="F132" s="74">
        <v>-1</v>
      </c>
      <c r="G132" s="74">
        <v>17</v>
      </c>
      <c r="H132" s="74">
        <v>-9</v>
      </c>
      <c r="I132" s="74">
        <v>-12</v>
      </c>
      <c r="J132" s="74">
        <v>14</v>
      </c>
      <c r="K132" s="75">
        <v>-7</v>
      </c>
      <c r="L132" s="75">
        <v>39</v>
      </c>
      <c r="M132" s="75"/>
      <c r="N132" s="75"/>
    </row>
    <row r="133" spans="1:14" s="8" customFormat="1" ht="12.5" x14ac:dyDescent="0.25">
      <c r="A133" s="8">
        <v>79</v>
      </c>
      <c r="B133" s="8" t="s">
        <v>260</v>
      </c>
      <c r="C133" s="8" t="s">
        <v>87</v>
      </c>
      <c r="D133" s="8">
        <v>11530</v>
      </c>
      <c r="E133" s="8">
        <v>9650</v>
      </c>
      <c r="F133" s="8">
        <v>9518</v>
      </c>
      <c r="G133" s="8">
        <v>8052</v>
      </c>
      <c r="H133" s="8">
        <v>10705</v>
      </c>
      <c r="I133" s="8">
        <v>7171</v>
      </c>
      <c r="J133" s="8">
        <v>10895</v>
      </c>
      <c r="K133" s="73">
        <v>11840</v>
      </c>
      <c r="L133" s="73">
        <v>12530</v>
      </c>
      <c r="M133" s="73">
        <v>91891</v>
      </c>
      <c r="N133" s="73">
        <f>L133-K133</f>
        <v>690</v>
      </c>
    </row>
    <row r="134" spans="1:14" s="74" customFormat="1" ht="10" x14ac:dyDescent="0.2">
      <c r="E134" s="74">
        <v>-16</v>
      </c>
      <c r="F134" s="74">
        <v>-1</v>
      </c>
      <c r="G134" s="74">
        <v>-15</v>
      </c>
      <c r="H134" s="74">
        <v>33</v>
      </c>
      <c r="I134" s="74">
        <v>-33</v>
      </c>
      <c r="J134" s="74">
        <v>52</v>
      </c>
      <c r="K134" s="75">
        <v>9</v>
      </c>
      <c r="L134" s="75">
        <v>6</v>
      </c>
      <c r="M134" s="75"/>
      <c r="N134" s="75"/>
    </row>
    <row r="135" spans="1:14" s="8" customFormat="1" ht="12.5" x14ac:dyDescent="0.25">
      <c r="A135" s="8">
        <v>80</v>
      </c>
      <c r="B135" s="8" t="s">
        <v>510</v>
      </c>
      <c r="C135" s="8" t="s">
        <v>511</v>
      </c>
      <c r="D135" s="8">
        <v>140</v>
      </c>
      <c r="E135" s="8">
        <v>1849</v>
      </c>
      <c r="F135" s="8">
        <v>2956</v>
      </c>
      <c r="G135" s="8">
        <v>3198</v>
      </c>
      <c r="H135" s="8">
        <v>1800</v>
      </c>
      <c r="I135" s="8">
        <v>1439</v>
      </c>
      <c r="J135" s="8">
        <v>3198</v>
      </c>
      <c r="K135" s="73">
        <v>2929</v>
      </c>
      <c r="L135" s="73">
        <v>2322</v>
      </c>
      <c r="M135" s="73">
        <v>19831</v>
      </c>
      <c r="N135" s="73">
        <f>L135-K135</f>
        <v>-607</v>
      </c>
    </row>
    <row r="136" spans="1:14" s="74" customFormat="1" ht="10" x14ac:dyDescent="0.2">
      <c r="E136" s="74">
        <v>1221</v>
      </c>
      <c r="F136" s="74">
        <v>60</v>
      </c>
      <c r="G136" s="74">
        <v>8</v>
      </c>
      <c r="H136" s="74">
        <v>-44</v>
      </c>
      <c r="I136" s="74">
        <v>-20</v>
      </c>
      <c r="J136" s="74">
        <v>122</v>
      </c>
      <c r="K136" s="75">
        <v>-8</v>
      </c>
      <c r="L136" s="75">
        <v>-21</v>
      </c>
      <c r="M136" s="75"/>
      <c r="N136" s="75"/>
    </row>
    <row r="137" spans="1:14" s="8" customFormat="1" ht="12.5" x14ac:dyDescent="0.25">
      <c r="A137" s="8">
        <v>81</v>
      </c>
      <c r="B137" s="8" t="s">
        <v>214</v>
      </c>
      <c r="C137" s="8" t="s">
        <v>215</v>
      </c>
      <c r="D137" s="8">
        <v>0</v>
      </c>
      <c r="E137" s="8">
        <v>0</v>
      </c>
      <c r="F137" s="8">
        <v>0</v>
      </c>
      <c r="G137" s="8">
        <v>0</v>
      </c>
      <c r="H137" s="8">
        <v>4835</v>
      </c>
      <c r="I137" s="8">
        <v>0</v>
      </c>
      <c r="J137" s="8">
        <v>0</v>
      </c>
      <c r="K137" s="73">
        <v>0</v>
      </c>
      <c r="L137" s="73">
        <v>0</v>
      </c>
      <c r="M137" s="73">
        <v>4835</v>
      </c>
      <c r="N137" s="73">
        <f>L137-K137</f>
        <v>0</v>
      </c>
    </row>
    <row r="138" spans="1:14" s="74" customFormat="1" ht="10" x14ac:dyDescent="0.2">
      <c r="K138" s="75"/>
      <c r="L138" s="75"/>
      <c r="M138" s="75"/>
      <c r="N138" s="75"/>
    </row>
    <row r="139" spans="1:14" s="8" customFormat="1" ht="12.5" x14ac:dyDescent="0.25">
      <c r="A139" s="8">
        <v>82</v>
      </c>
      <c r="B139" s="8" t="s">
        <v>414</v>
      </c>
      <c r="C139" s="8" t="s">
        <v>291</v>
      </c>
      <c r="D139" s="8">
        <v>19076</v>
      </c>
      <c r="E139" s="8">
        <v>15812</v>
      </c>
      <c r="F139" s="8">
        <v>21023</v>
      </c>
      <c r="G139" s="8">
        <v>7652</v>
      </c>
      <c r="H139" s="8">
        <v>0</v>
      </c>
      <c r="I139" s="8">
        <v>0</v>
      </c>
      <c r="J139" s="8">
        <v>0</v>
      </c>
      <c r="K139" s="73">
        <v>0</v>
      </c>
      <c r="L139" s="73">
        <v>0</v>
      </c>
      <c r="M139" s="73">
        <v>63563</v>
      </c>
      <c r="N139" s="73">
        <f>L139-K139</f>
        <v>0</v>
      </c>
    </row>
    <row r="140" spans="1:14" s="74" customFormat="1" ht="10" x14ac:dyDescent="0.2">
      <c r="E140" s="74">
        <v>-17</v>
      </c>
      <c r="F140" s="74">
        <v>33</v>
      </c>
      <c r="G140" s="74">
        <v>-64</v>
      </c>
      <c r="K140" s="75"/>
      <c r="L140" s="75"/>
      <c r="M140" s="75"/>
      <c r="N140" s="75"/>
    </row>
    <row r="141" spans="1:14" s="8" customFormat="1" ht="12.5" x14ac:dyDescent="0.25">
      <c r="A141" s="8">
        <v>83</v>
      </c>
      <c r="B141" s="8" t="s">
        <v>216</v>
      </c>
      <c r="C141" s="8" t="s">
        <v>188</v>
      </c>
      <c r="D141" s="8">
        <v>0</v>
      </c>
      <c r="E141" s="8">
        <v>9490</v>
      </c>
      <c r="F141" s="8">
        <v>12696</v>
      </c>
      <c r="G141" s="8">
        <v>15571</v>
      </c>
      <c r="H141" s="8">
        <v>17796</v>
      </c>
      <c r="I141" s="8">
        <v>19095</v>
      </c>
      <c r="J141" s="8">
        <v>18133</v>
      </c>
      <c r="K141" s="73">
        <v>19870</v>
      </c>
      <c r="L141" s="73">
        <v>19616</v>
      </c>
      <c r="M141" s="73">
        <v>132267</v>
      </c>
      <c r="N141" s="73">
        <f>L141-K141</f>
        <v>-254</v>
      </c>
    </row>
    <row r="142" spans="1:14" s="74" customFormat="1" ht="10" x14ac:dyDescent="0.2">
      <c r="F142" s="74">
        <v>34</v>
      </c>
      <c r="G142" s="74">
        <v>23</v>
      </c>
      <c r="H142" s="74">
        <v>14</v>
      </c>
      <c r="I142" s="74">
        <v>7</v>
      </c>
      <c r="J142" s="74">
        <v>-5</v>
      </c>
      <c r="K142" s="75">
        <v>10</v>
      </c>
      <c r="L142" s="75">
        <v>-1</v>
      </c>
      <c r="M142" s="75"/>
      <c r="N142" s="75"/>
    </row>
    <row r="143" spans="1:14" s="8" customFormat="1" ht="12.5" x14ac:dyDescent="0.25">
      <c r="A143" s="8">
        <v>84</v>
      </c>
      <c r="B143" s="8" t="s">
        <v>356</v>
      </c>
      <c r="C143" s="8" t="s">
        <v>357</v>
      </c>
      <c r="D143" s="8">
        <v>15604</v>
      </c>
      <c r="E143" s="8">
        <v>21052</v>
      </c>
      <c r="F143" s="8">
        <v>18635</v>
      </c>
      <c r="G143" s="8">
        <v>16750</v>
      </c>
      <c r="H143" s="8">
        <v>15835</v>
      </c>
      <c r="I143" s="8">
        <v>13391</v>
      </c>
      <c r="J143" s="8">
        <v>17349</v>
      </c>
      <c r="K143" s="73">
        <v>16140</v>
      </c>
      <c r="L143" s="73">
        <v>15443</v>
      </c>
      <c r="M143" s="73">
        <v>150199</v>
      </c>
      <c r="N143" s="73">
        <f>L143-K143</f>
        <v>-697</v>
      </c>
    </row>
    <row r="144" spans="1:14" s="74" customFormat="1" ht="10" x14ac:dyDescent="0.2">
      <c r="E144" s="74">
        <v>35</v>
      </c>
      <c r="F144" s="74">
        <v>-11</v>
      </c>
      <c r="G144" s="74">
        <v>-10</v>
      </c>
      <c r="H144" s="74">
        <v>-5</v>
      </c>
      <c r="I144" s="74">
        <v>-15</v>
      </c>
      <c r="J144" s="74">
        <v>30</v>
      </c>
      <c r="K144" s="75">
        <v>-7</v>
      </c>
      <c r="L144" s="75">
        <v>-4</v>
      </c>
      <c r="M144" s="75"/>
      <c r="N144" s="75"/>
    </row>
    <row r="145" spans="1:14" s="8" customFormat="1" ht="12.5" x14ac:dyDescent="0.25">
      <c r="A145" s="8">
        <v>85</v>
      </c>
      <c r="B145" s="8" t="s">
        <v>373</v>
      </c>
      <c r="C145" s="8" t="s">
        <v>374</v>
      </c>
      <c r="D145" s="8">
        <v>10079</v>
      </c>
      <c r="E145" s="8">
        <v>9228</v>
      </c>
      <c r="F145" s="8">
        <v>10479</v>
      </c>
      <c r="G145" s="8">
        <v>11158</v>
      </c>
      <c r="H145" s="8">
        <v>11861</v>
      </c>
      <c r="I145" s="8">
        <v>10512</v>
      </c>
      <c r="J145" s="8">
        <v>14678</v>
      </c>
      <c r="K145" s="73">
        <v>11280</v>
      </c>
      <c r="L145" s="73">
        <v>9915</v>
      </c>
      <c r="M145" s="73">
        <v>99190</v>
      </c>
      <c r="N145" s="73">
        <f>L145-K145</f>
        <v>-1365</v>
      </c>
    </row>
    <row r="146" spans="1:14" s="74" customFormat="1" ht="10" x14ac:dyDescent="0.2">
      <c r="E146" s="74">
        <v>-8</v>
      </c>
      <c r="F146" s="74">
        <v>14</v>
      </c>
      <c r="G146" s="74">
        <v>6</v>
      </c>
      <c r="H146" s="74">
        <v>6</v>
      </c>
      <c r="I146" s="74">
        <v>-11</v>
      </c>
      <c r="J146" s="74">
        <v>40</v>
      </c>
      <c r="K146" s="75">
        <v>-23</v>
      </c>
      <c r="L146" s="75">
        <v>-12</v>
      </c>
      <c r="M146" s="75"/>
      <c r="N146" s="75"/>
    </row>
    <row r="147" spans="1:14" s="8" customFormat="1" ht="12.5" x14ac:dyDescent="0.25">
      <c r="A147" s="8">
        <v>87</v>
      </c>
      <c r="B147" s="8" t="s">
        <v>375</v>
      </c>
      <c r="C147" s="8" t="s">
        <v>142</v>
      </c>
      <c r="D147" s="8">
        <v>9171</v>
      </c>
      <c r="E147" s="8">
        <v>9977</v>
      </c>
      <c r="F147" s="8">
        <v>10073</v>
      </c>
      <c r="G147" s="8">
        <v>10938</v>
      </c>
      <c r="H147" s="8">
        <v>10904</v>
      </c>
      <c r="I147" s="8">
        <v>10398</v>
      </c>
      <c r="J147" s="8">
        <v>13328</v>
      </c>
      <c r="K147" s="73">
        <v>9100</v>
      </c>
      <c r="L147" s="73">
        <v>9229</v>
      </c>
      <c r="M147" s="73">
        <v>93118</v>
      </c>
      <c r="N147" s="73">
        <f>L147-K147</f>
        <v>129</v>
      </c>
    </row>
    <row r="148" spans="1:14" s="74" customFormat="1" ht="10" x14ac:dyDescent="0.2">
      <c r="E148" s="74">
        <v>9</v>
      </c>
      <c r="F148" s="74">
        <v>1</v>
      </c>
      <c r="G148" s="74">
        <v>9</v>
      </c>
      <c r="H148" s="74">
        <v>0</v>
      </c>
      <c r="I148" s="74">
        <v>-5</v>
      </c>
      <c r="J148" s="74">
        <v>28</v>
      </c>
      <c r="K148" s="75">
        <v>-32</v>
      </c>
      <c r="L148" s="75">
        <v>1</v>
      </c>
      <c r="M148" s="75"/>
      <c r="N148" s="75"/>
    </row>
    <row r="149" spans="1:14" s="8" customFormat="1" ht="12.5" x14ac:dyDescent="0.25">
      <c r="A149" s="8">
        <v>88</v>
      </c>
      <c r="B149" s="8" t="s">
        <v>376</v>
      </c>
      <c r="C149" s="8" t="s">
        <v>377</v>
      </c>
      <c r="D149" s="8">
        <v>3728</v>
      </c>
      <c r="E149" s="8">
        <v>4903</v>
      </c>
      <c r="F149" s="8">
        <v>6453</v>
      </c>
      <c r="G149" s="8">
        <v>5118</v>
      </c>
      <c r="H149" s="8">
        <v>4437</v>
      </c>
      <c r="I149" s="8">
        <v>4732</v>
      </c>
      <c r="J149" s="8">
        <v>5821</v>
      </c>
      <c r="K149" s="73">
        <v>4457</v>
      </c>
      <c r="L149" s="73">
        <v>6091</v>
      </c>
      <c r="M149" s="73">
        <v>45740</v>
      </c>
      <c r="N149" s="73">
        <f>L149-K149</f>
        <v>1634</v>
      </c>
    </row>
    <row r="150" spans="1:14" s="74" customFormat="1" ht="10" x14ac:dyDescent="0.2">
      <c r="E150" s="74">
        <v>32</v>
      </c>
      <c r="F150" s="74">
        <v>32</v>
      </c>
      <c r="G150" s="74">
        <v>-21</v>
      </c>
      <c r="H150" s="74">
        <v>-13</v>
      </c>
      <c r="I150" s="74">
        <v>7</v>
      </c>
      <c r="J150" s="74">
        <v>23</v>
      </c>
      <c r="K150" s="75">
        <v>-23</v>
      </c>
      <c r="L150" s="75">
        <v>37</v>
      </c>
      <c r="M150" s="75"/>
      <c r="N150" s="75"/>
    </row>
    <row r="151" spans="1:14" s="8" customFormat="1" ht="12.5" x14ac:dyDescent="0.25">
      <c r="A151" s="8">
        <v>89</v>
      </c>
      <c r="B151" s="8" t="s">
        <v>512</v>
      </c>
      <c r="C151" s="8" t="s">
        <v>513</v>
      </c>
      <c r="D151" s="8">
        <v>6867</v>
      </c>
      <c r="E151" s="8">
        <v>15083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73">
        <v>0</v>
      </c>
      <c r="L151" s="73">
        <v>0</v>
      </c>
      <c r="M151" s="73">
        <v>21950</v>
      </c>
      <c r="N151" s="73">
        <f>L151-K151</f>
        <v>0</v>
      </c>
    </row>
    <row r="152" spans="1:14" s="74" customFormat="1" ht="10" x14ac:dyDescent="0.2">
      <c r="E152" s="74">
        <v>120</v>
      </c>
      <c r="K152" s="75"/>
      <c r="L152" s="75"/>
      <c r="M152" s="75"/>
      <c r="N152" s="75"/>
    </row>
    <row r="153" spans="1:14" s="8" customFormat="1" ht="12.5" x14ac:dyDescent="0.25">
      <c r="A153" s="8">
        <v>90</v>
      </c>
      <c r="B153" s="8" t="s">
        <v>217</v>
      </c>
      <c r="C153" s="8" t="s">
        <v>218</v>
      </c>
      <c r="D153" s="8">
        <v>23359</v>
      </c>
      <c r="E153" s="8">
        <v>22015</v>
      </c>
      <c r="F153" s="8">
        <v>21419</v>
      </c>
      <c r="G153" s="8">
        <v>18487</v>
      </c>
      <c r="H153" s="8">
        <v>19063</v>
      </c>
      <c r="I153" s="8">
        <v>10277</v>
      </c>
      <c r="J153" s="8">
        <v>16548</v>
      </c>
      <c r="K153" s="73">
        <v>25367</v>
      </c>
      <c r="L153" s="73">
        <v>22276</v>
      </c>
      <c r="M153" s="73">
        <v>178811</v>
      </c>
      <c r="N153" s="73">
        <f>L153-K153</f>
        <v>-3091</v>
      </c>
    </row>
    <row r="154" spans="1:14" s="74" customFormat="1" ht="10" x14ac:dyDescent="0.2">
      <c r="E154" s="74">
        <v>-6</v>
      </c>
      <c r="F154" s="74">
        <v>-3</v>
      </c>
      <c r="G154" s="74">
        <v>-14</v>
      </c>
      <c r="H154" s="74">
        <v>3</v>
      </c>
      <c r="I154" s="74">
        <v>-46</v>
      </c>
      <c r="J154" s="74">
        <v>61</v>
      </c>
      <c r="K154" s="75">
        <v>53</v>
      </c>
      <c r="L154" s="75">
        <v>-12</v>
      </c>
      <c r="M154" s="75"/>
      <c r="N154" s="75"/>
    </row>
    <row r="155" spans="1:14" s="8" customFormat="1" ht="12.5" x14ac:dyDescent="0.25">
      <c r="A155" s="8">
        <v>91</v>
      </c>
      <c r="B155" s="8" t="s">
        <v>114</v>
      </c>
      <c r="C155" s="8" t="s">
        <v>261</v>
      </c>
      <c r="D155" s="8">
        <v>10552</v>
      </c>
      <c r="E155" s="8">
        <v>10262</v>
      </c>
      <c r="F155" s="8">
        <v>12675</v>
      </c>
      <c r="G155" s="8">
        <v>10955</v>
      </c>
      <c r="H155" s="8">
        <v>11591</v>
      </c>
      <c r="I155" s="8">
        <v>11518</v>
      </c>
      <c r="J155" s="8">
        <v>13918</v>
      </c>
      <c r="K155" s="73">
        <v>14633</v>
      </c>
      <c r="L155" s="73">
        <v>12671</v>
      </c>
      <c r="M155" s="73">
        <v>108775</v>
      </c>
      <c r="N155" s="73">
        <f>L155-K155</f>
        <v>-1962</v>
      </c>
    </row>
    <row r="156" spans="1:14" s="74" customFormat="1" ht="10" x14ac:dyDescent="0.2">
      <c r="E156" s="74">
        <v>-3</v>
      </c>
      <c r="F156" s="74">
        <v>24</v>
      </c>
      <c r="G156" s="74">
        <v>-14</v>
      </c>
      <c r="H156" s="74">
        <v>6</v>
      </c>
      <c r="I156" s="74">
        <v>-1</v>
      </c>
      <c r="J156" s="74">
        <v>21</v>
      </c>
      <c r="K156" s="75">
        <v>5</v>
      </c>
      <c r="L156" s="75">
        <v>-13</v>
      </c>
      <c r="M156" s="75"/>
      <c r="N156" s="75"/>
    </row>
    <row r="157" spans="1:14" s="8" customFormat="1" ht="12.5" x14ac:dyDescent="0.25">
      <c r="A157" s="8">
        <v>92</v>
      </c>
      <c r="B157" s="8" t="s">
        <v>262</v>
      </c>
      <c r="C157" s="8" t="s">
        <v>263</v>
      </c>
      <c r="D157" s="8">
        <v>5928</v>
      </c>
      <c r="E157" s="8">
        <v>8163</v>
      </c>
      <c r="F157" s="8">
        <v>6281</v>
      </c>
      <c r="G157" s="8">
        <v>6137</v>
      </c>
      <c r="H157" s="8">
        <v>6852</v>
      </c>
      <c r="I157" s="8">
        <v>5096</v>
      </c>
      <c r="J157" s="8">
        <v>8618</v>
      </c>
      <c r="K157" s="73">
        <v>4453</v>
      </c>
      <c r="L157" s="73">
        <v>8643</v>
      </c>
      <c r="M157" s="73">
        <v>60171</v>
      </c>
      <c r="N157" s="76">
        <f>L157-K157</f>
        <v>4190</v>
      </c>
    </row>
    <row r="158" spans="1:14" s="74" customFormat="1" ht="10" x14ac:dyDescent="0.2">
      <c r="E158" s="74">
        <v>38</v>
      </c>
      <c r="F158" s="74">
        <v>-23</v>
      </c>
      <c r="G158" s="74">
        <v>-2</v>
      </c>
      <c r="H158" s="74">
        <v>12</v>
      </c>
      <c r="I158" s="74">
        <v>-26</v>
      </c>
      <c r="J158" s="74">
        <v>69</v>
      </c>
      <c r="K158" s="75">
        <v>-48</v>
      </c>
      <c r="L158" s="75">
        <v>94</v>
      </c>
      <c r="M158" s="75"/>
      <c r="N158" s="75"/>
    </row>
    <row r="159" spans="1:14" s="8" customFormat="1" ht="12.5" x14ac:dyDescent="0.25">
      <c r="A159" s="8">
        <v>93</v>
      </c>
      <c r="B159" s="8" t="s">
        <v>264</v>
      </c>
      <c r="C159" s="8" t="s">
        <v>207</v>
      </c>
      <c r="D159" s="8">
        <v>12239</v>
      </c>
      <c r="E159" s="8">
        <v>9775</v>
      </c>
      <c r="F159" s="8">
        <v>13017</v>
      </c>
      <c r="G159" s="8">
        <v>8789</v>
      </c>
      <c r="H159" s="8">
        <v>12107</v>
      </c>
      <c r="I159" s="8">
        <v>9467</v>
      </c>
      <c r="J159" s="8">
        <v>11030</v>
      </c>
      <c r="K159" s="73">
        <v>11696</v>
      </c>
      <c r="L159" s="73">
        <v>12920</v>
      </c>
      <c r="M159" s="73">
        <v>101040</v>
      </c>
      <c r="N159" s="73">
        <f>L159-K159</f>
        <v>1224</v>
      </c>
    </row>
    <row r="160" spans="1:14" s="74" customFormat="1" ht="10" x14ac:dyDescent="0.2">
      <c r="E160" s="74">
        <v>-20</v>
      </c>
      <c r="F160" s="74">
        <v>33</v>
      </c>
      <c r="G160" s="74">
        <v>-32</v>
      </c>
      <c r="H160" s="74">
        <v>38</v>
      </c>
      <c r="I160" s="74">
        <v>-22</v>
      </c>
      <c r="J160" s="74">
        <v>17</v>
      </c>
      <c r="K160" s="75">
        <v>6</v>
      </c>
      <c r="L160" s="75">
        <v>10</v>
      </c>
      <c r="M160" s="75"/>
      <c r="N160" s="75"/>
    </row>
    <row r="161" spans="1:14" s="8" customFormat="1" ht="12.5" x14ac:dyDescent="0.25">
      <c r="A161" s="8">
        <v>94</v>
      </c>
      <c r="B161" s="8" t="s">
        <v>253</v>
      </c>
      <c r="C161" s="8" t="s">
        <v>265</v>
      </c>
      <c r="D161" s="8">
        <v>7494</v>
      </c>
      <c r="E161" s="8">
        <v>5306</v>
      </c>
      <c r="F161" s="8">
        <v>6496</v>
      </c>
      <c r="G161" s="8">
        <v>7849</v>
      </c>
      <c r="H161" s="8">
        <v>7463</v>
      </c>
      <c r="I161" s="8">
        <v>14020</v>
      </c>
      <c r="J161" s="8">
        <v>13009</v>
      </c>
      <c r="K161" s="73">
        <v>5068</v>
      </c>
      <c r="L161" s="73">
        <v>5506</v>
      </c>
      <c r="M161" s="73">
        <v>72211</v>
      </c>
      <c r="N161" s="73">
        <f>L161-K161</f>
        <v>438</v>
      </c>
    </row>
    <row r="162" spans="1:14" s="74" customFormat="1" ht="10" x14ac:dyDescent="0.2">
      <c r="E162" s="74">
        <v>-29</v>
      </c>
      <c r="F162" s="74">
        <v>22</v>
      </c>
      <c r="G162" s="74">
        <v>21</v>
      </c>
      <c r="H162" s="74">
        <v>-5</v>
      </c>
      <c r="I162" s="74">
        <v>88</v>
      </c>
      <c r="J162" s="74">
        <v>-7</v>
      </c>
      <c r="K162" s="75">
        <v>-61</v>
      </c>
      <c r="L162" s="75">
        <v>9</v>
      </c>
      <c r="M162" s="75"/>
      <c r="N162" s="75"/>
    </row>
    <row r="163" spans="1:14" s="8" customFormat="1" ht="12.5" x14ac:dyDescent="0.25">
      <c r="A163" s="8">
        <v>95</v>
      </c>
      <c r="B163" s="8" t="s">
        <v>358</v>
      </c>
      <c r="C163" s="8" t="s">
        <v>359</v>
      </c>
      <c r="D163" s="8">
        <v>10058</v>
      </c>
      <c r="E163" s="8">
        <v>11609</v>
      </c>
      <c r="F163" s="8">
        <v>12184</v>
      </c>
      <c r="G163" s="8">
        <v>11520</v>
      </c>
      <c r="H163" s="8">
        <v>11001</v>
      </c>
      <c r="I163" s="8">
        <v>7885</v>
      </c>
      <c r="J163" s="8">
        <v>8938</v>
      </c>
      <c r="K163" s="73">
        <v>8865</v>
      </c>
      <c r="L163" s="73">
        <v>12068</v>
      </c>
      <c r="M163" s="73">
        <v>94128</v>
      </c>
      <c r="N163" s="73">
        <f>L163-K163</f>
        <v>3203</v>
      </c>
    </row>
    <row r="164" spans="1:14" s="74" customFormat="1" ht="10" x14ac:dyDescent="0.2">
      <c r="E164" s="74">
        <v>15</v>
      </c>
      <c r="F164" s="74">
        <v>5</v>
      </c>
      <c r="G164" s="74">
        <v>-5</v>
      </c>
      <c r="H164" s="74">
        <v>-5</v>
      </c>
      <c r="I164" s="74">
        <v>-28</v>
      </c>
      <c r="J164" s="74">
        <v>13</v>
      </c>
      <c r="K164" s="75">
        <v>-1</v>
      </c>
      <c r="L164" s="75">
        <v>36</v>
      </c>
      <c r="M164" s="75"/>
      <c r="N164" s="75"/>
    </row>
    <row r="165" spans="1:14" s="8" customFormat="1" ht="12.5" x14ac:dyDescent="0.25">
      <c r="A165" s="8">
        <v>96</v>
      </c>
      <c r="B165" s="8" t="s">
        <v>386</v>
      </c>
      <c r="C165" s="8" t="s">
        <v>387</v>
      </c>
      <c r="D165" s="8">
        <v>15176</v>
      </c>
      <c r="E165" s="8">
        <v>24066</v>
      </c>
      <c r="F165" s="8">
        <v>22326</v>
      </c>
      <c r="G165" s="8">
        <v>26054</v>
      </c>
      <c r="H165" s="8">
        <v>23967</v>
      </c>
      <c r="I165" s="8">
        <v>22508</v>
      </c>
      <c r="J165" s="8">
        <v>29876</v>
      </c>
      <c r="K165" s="73">
        <v>23077</v>
      </c>
      <c r="L165" s="73">
        <v>26446</v>
      </c>
      <c r="M165" s="73">
        <v>213496</v>
      </c>
      <c r="N165" s="73">
        <f>L165-K165</f>
        <v>3369</v>
      </c>
    </row>
    <row r="166" spans="1:14" s="74" customFormat="1" ht="10" x14ac:dyDescent="0.2">
      <c r="E166" s="74">
        <v>59</v>
      </c>
      <c r="F166" s="74">
        <v>-7</v>
      </c>
      <c r="G166" s="74">
        <v>17</v>
      </c>
      <c r="H166" s="74">
        <v>-8</v>
      </c>
      <c r="I166" s="74">
        <v>-6</v>
      </c>
      <c r="J166" s="74">
        <v>33</v>
      </c>
      <c r="K166" s="75">
        <v>-23</v>
      </c>
      <c r="L166" s="75">
        <v>15</v>
      </c>
      <c r="M166" s="75"/>
      <c r="N166" s="75"/>
    </row>
    <row r="167" spans="1:14" s="8" customFormat="1" ht="12.5" x14ac:dyDescent="0.25">
      <c r="A167" s="8">
        <v>97</v>
      </c>
      <c r="B167" s="8" t="s">
        <v>395</v>
      </c>
      <c r="C167" s="8" t="s">
        <v>236</v>
      </c>
      <c r="D167" s="8">
        <v>1432</v>
      </c>
      <c r="E167" s="8">
        <v>3598</v>
      </c>
      <c r="F167" s="8">
        <v>4003</v>
      </c>
      <c r="G167" s="8">
        <v>3111</v>
      </c>
      <c r="H167" s="8">
        <v>4647</v>
      </c>
      <c r="I167" s="8">
        <v>8658</v>
      </c>
      <c r="J167" s="8">
        <v>4552</v>
      </c>
      <c r="K167" s="73">
        <v>3017</v>
      </c>
      <c r="L167" s="73">
        <v>2144</v>
      </c>
      <c r="M167" s="73">
        <v>35162</v>
      </c>
      <c r="N167" s="73">
        <f>L167-K167</f>
        <v>-873</v>
      </c>
    </row>
    <row r="168" spans="1:14" s="74" customFormat="1" ht="10" x14ac:dyDescent="0.2">
      <c r="E168" s="74">
        <v>151</v>
      </c>
      <c r="F168" s="74">
        <v>11</v>
      </c>
      <c r="G168" s="74">
        <v>-22</v>
      </c>
      <c r="H168" s="74">
        <v>49</v>
      </c>
      <c r="I168" s="74">
        <v>86</v>
      </c>
      <c r="J168" s="74">
        <v>-47</v>
      </c>
      <c r="K168" s="75">
        <v>-34</v>
      </c>
      <c r="L168" s="75">
        <v>-29</v>
      </c>
      <c r="M168" s="75"/>
      <c r="N168" s="75"/>
    </row>
    <row r="169" spans="1:14" s="8" customFormat="1" ht="12.5" x14ac:dyDescent="0.25">
      <c r="A169" s="8">
        <v>100</v>
      </c>
      <c r="B169" s="8" t="s">
        <v>223</v>
      </c>
      <c r="C169" s="8" t="s">
        <v>266</v>
      </c>
      <c r="D169" s="8">
        <v>2642</v>
      </c>
      <c r="E169" s="8">
        <v>1663</v>
      </c>
      <c r="F169" s="8">
        <v>4687</v>
      </c>
      <c r="G169" s="8">
        <v>2677</v>
      </c>
      <c r="H169" s="8">
        <v>3351</v>
      </c>
      <c r="I169" s="8">
        <v>2259</v>
      </c>
      <c r="J169" s="8">
        <v>2987</v>
      </c>
      <c r="K169" s="73">
        <v>4579</v>
      </c>
      <c r="L169" s="73">
        <v>570</v>
      </c>
      <c r="M169" s="73">
        <v>25415</v>
      </c>
      <c r="N169" s="76">
        <f>L169-K169</f>
        <v>-4009</v>
      </c>
    </row>
    <row r="170" spans="1:14" s="74" customFormat="1" ht="10" x14ac:dyDescent="0.2">
      <c r="E170" s="74">
        <v>-37</v>
      </c>
      <c r="F170" s="74">
        <v>182</v>
      </c>
      <c r="G170" s="74">
        <v>-43</v>
      </c>
      <c r="H170" s="74">
        <v>25</v>
      </c>
      <c r="I170" s="74">
        <v>-33</v>
      </c>
      <c r="J170" s="74">
        <v>32</v>
      </c>
      <c r="K170" s="75">
        <v>53</v>
      </c>
      <c r="L170" s="75">
        <v>-88</v>
      </c>
      <c r="M170" s="75"/>
      <c r="N170" s="75"/>
    </row>
    <row r="171" spans="1:14" s="8" customFormat="1" ht="12.5" x14ac:dyDescent="0.25">
      <c r="A171" s="8">
        <v>102</v>
      </c>
      <c r="B171" s="8" t="s">
        <v>514</v>
      </c>
      <c r="C171" s="8" t="s">
        <v>180</v>
      </c>
      <c r="D171" s="8">
        <v>4248</v>
      </c>
      <c r="E171" s="8">
        <v>1885</v>
      </c>
      <c r="F171" s="8">
        <v>5145</v>
      </c>
      <c r="G171" s="8">
        <v>4449</v>
      </c>
      <c r="H171" s="8">
        <v>3519</v>
      </c>
      <c r="I171" s="8">
        <v>4565</v>
      </c>
      <c r="J171" s="8">
        <v>2158</v>
      </c>
      <c r="K171" s="73">
        <v>4699</v>
      </c>
      <c r="L171" s="73">
        <v>8432</v>
      </c>
      <c r="M171" s="73">
        <v>39100</v>
      </c>
      <c r="N171" s="73">
        <f>L171-K171</f>
        <v>3733</v>
      </c>
    </row>
    <row r="172" spans="1:14" s="74" customFormat="1" ht="10" x14ac:dyDescent="0.2">
      <c r="E172" s="74">
        <v>-56</v>
      </c>
      <c r="F172" s="74">
        <v>173</v>
      </c>
      <c r="G172" s="74">
        <v>-14</v>
      </c>
      <c r="H172" s="74">
        <v>-21</v>
      </c>
      <c r="I172" s="74">
        <v>30</v>
      </c>
      <c r="J172" s="74">
        <v>-53</v>
      </c>
      <c r="K172" s="75">
        <v>118</v>
      </c>
      <c r="L172" s="75">
        <v>79</v>
      </c>
      <c r="M172" s="75"/>
      <c r="N172" s="75"/>
    </row>
    <row r="173" spans="1:14" s="8" customFormat="1" ht="12.5" x14ac:dyDescent="0.25">
      <c r="A173" s="8">
        <v>105</v>
      </c>
      <c r="B173" s="8" t="s">
        <v>267</v>
      </c>
      <c r="C173" s="8" t="s">
        <v>268</v>
      </c>
      <c r="D173" s="8">
        <v>2937</v>
      </c>
      <c r="E173" s="8">
        <v>1585</v>
      </c>
      <c r="F173" s="8">
        <v>2460</v>
      </c>
      <c r="G173" s="8">
        <v>1949</v>
      </c>
      <c r="H173" s="8">
        <v>3005</v>
      </c>
      <c r="I173" s="8">
        <v>3836</v>
      </c>
      <c r="J173" s="8">
        <v>956</v>
      </c>
      <c r="K173" s="73">
        <v>206</v>
      </c>
      <c r="L173" s="73">
        <v>2834</v>
      </c>
      <c r="M173" s="73">
        <v>19768</v>
      </c>
      <c r="N173" s="73">
        <f>L173-K173</f>
        <v>2628</v>
      </c>
    </row>
    <row r="174" spans="1:14" s="74" customFormat="1" ht="10" x14ac:dyDescent="0.2">
      <c r="E174" s="74">
        <v>-46</v>
      </c>
      <c r="F174" s="74">
        <v>55</v>
      </c>
      <c r="G174" s="74">
        <v>-21</v>
      </c>
      <c r="H174" s="74">
        <v>54</v>
      </c>
      <c r="I174" s="74">
        <v>28</v>
      </c>
      <c r="J174" s="74">
        <v>-75</v>
      </c>
      <c r="K174" s="75">
        <v>-78</v>
      </c>
      <c r="L174" s="75">
        <v>1276</v>
      </c>
      <c r="M174" s="75"/>
      <c r="N174" s="75"/>
    </row>
    <row r="175" spans="1:14" s="8" customFormat="1" ht="12.5" x14ac:dyDescent="0.25">
      <c r="A175" s="8">
        <v>108</v>
      </c>
      <c r="B175" s="8" t="s">
        <v>556</v>
      </c>
      <c r="C175" s="8" t="s">
        <v>557</v>
      </c>
      <c r="D175" s="8">
        <v>7579</v>
      </c>
      <c r="E175" s="8">
        <v>6640</v>
      </c>
      <c r="F175" s="8">
        <v>5785</v>
      </c>
      <c r="G175" s="8">
        <v>3984</v>
      </c>
      <c r="H175" s="8">
        <v>0</v>
      </c>
      <c r="I175" s="8">
        <v>0</v>
      </c>
      <c r="J175" s="8">
        <v>0</v>
      </c>
      <c r="K175" s="73">
        <v>0</v>
      </c>
      <c r="L175" s="73">
        <v>0</v>
      </c>
      <c r="M175" s="73">
        <v>23988</v>
      </c>
      <c r="N175" s="73">
        <f>L175-K175</f>
        <v>0</v>
      </c>
    </row>
    <row r="176" spans="1:14" s="74" customFormat="1" ht="10" x14ac:dyDescent="0.2">
      <c r="E176" s="74">
        <v>-12</v>
      </c>
      <c r="F176" s="74">
        <v>-13</v>
      </c>
      <c r="G176" s="74">
        <v>-31</v>
      </c>
      <c r="K176" s="75"/>
      <c r="L176" s="75"/>
      <c r="M176" s="75"/>
      <c r="N176" s="75"/>
    </row>
    <row r="177" spans="1:14" s="8" customFormat="1" ht="12.5" x14ac:dyDescent="0.25">
      <c r="A177" s="8">
        <v>109</v>
      </c>
      <c r="B177" s="8" t="s">
        <v>307</v>
      </c>
      <c r="C177" s="8" t="s">
        <v>222</v>
      </c>
      <c r="D177" s="8">
        <v>2253</v>
      </c>
      <c r="E177" s="8">
        <v>0</v>
      </c>
      <c r="F177" s="8">
        <v>2800</v>
      </c>
      <c r="G177" s="8">
        <v>3260</v>
      </c>
      <c r="H177" s="8">
        <v>6011</v>
      </c>
      <c r="I177" s="8">
        <v>3946</v>
      </c>
      <c r="J177" s="8">
        <v>4200</v>
      </c>
      <c r="K177" s="73">
        <v>8898</v>
      </c>
      <c r="L177" s="73">
        <v>4781</v>
      </c>
      <c r="M177" s="73">
        <v>36149</v>
      </c>
      <c r="N177" s="76">
        <f>L177-K177</f>
        <v>-4117</v>
      </c>
    </row>
    <row r="178" spans="1:14" s="74" customFormat="1" ht="10" x14ac:dyDescent="0.2">
      <c r="G178" s="74">
        <v>16</v>
      </c>
      <c r="H178" s="74">
        <v>84</v>
      </c>
      <c r="I178" s="74">
        <v>-34</v>
      </c>
      <c r="J178" s="74">
        <v>6</v>
      </c>
      <c r="K178" s="75">
        <v>112</v>
      </c>
      <c r="L178" s="75">
        <v>-46</v>
      </c>
      <c r="M178" s="75"/>
      <c r="N178" s="75"/>
    </row>
    <row r="179" spans="1:14" s="8" customFormat="1" ht="12.5" x14ac:dyDescent="0.25">
      <c r="A179" s="8">
        <v>113</v>
      </c>
      <c r="B179" s="8" t="s">
        <v>553</v>
      </c>
      <c r="C179" s="8" t="s">
        <v>218</v>
      </c>
      <c r="D179" s="8">
        <v>9566</v>
      </c>
      <c r="E179" s="8">
        <v>9566</v>
      </c>
      <c r="F179" s="8">
        <v>9566</v>
      </c>
      <c r="G179" s="8">
        <v>9589</v>
      </c>
      <c r="H179" s="8">
        <v>9566</v>
      </c>
      <c r="I179" s="8">
        <v>29247</v>
      </c>
      <c r="J179" s="8">
        <v>0</v>
      </c>
      <c r="K179" s="73">
        <v>0</v>
      </c>
      <c r="L179" s="73">
        <v>0</v>
      </c>
      <c r="M179" s="73">
        <v>77100</v>
      </c>
      <c r="N179" s="73">
        <f>L179-K179</f>
        <v>0</v>
      </c>
    </row>
    <row r="180" spans="1:14" s="74" customFormat="1" ht="10" x14ac:dyDescent="0.2">
      <c r="E180" s="74">
        <v>0</v>
      </c>
      <c r="F180" s="74">
        <v>0</v>
      </c>
      <c r="G180" s="74">
        <v>0</v>
      </c>
      <c r="H180" s="74">
        <v>0</v>
      </c>
      <c r="I180" s="74">
        <v>206</v>
      </c>
      <c r="K180" s="75"/>
      <c r="L180" s="75"/>
      <c r="M180" s="75"/>
      <c r="N180" s="75"/>
    </row>
    <row r="181" spans="1:14" s="8" customFormat="1" ht="12.5" x14ac:dyDescent="0.25">
      <c r="A181" s="8">
        <v>114</v>
      </c>
      <c r="B181" s="8" t="s">
        <v>294</v>
      </c>
      <c r="C181" s="8" t="s">
        <v>351</v>
      </c>
      <c r="D181" s="8">
        <v>22396</v>
      </c>
      <c r="E181" s="8">
        <v>16945</v>
      </c>
      <c r="F181" s="8">
        <v>17993</v>
      </c>
      <c r="G181" s="8">
        <v>19622</v>
      </c>
      <c r="H181" s="8">
        <v>18210</v>
      </c>
      <c r="I181" s="8">
        <v>12524</v>
      </c>
      <c r="J181" s="8">
        <v>20112</v>
      </c>
      <c r="K181" s="73">
        <v>19479</v>
      </c>
      <c r="L181" s="73">
        <v>16769</v>
      </c>
      <c r="M181" s="73">
        <v>164050</v>
      </c>
      <c r="N181" s="73">
        <f>L181-K181</f>
        <v>-2710</v>
      </c>
    </row>
    <row r="182" spans="1:14" s="74" customFormat="1" ht="10" x14ac:dyDescent="0.2">
      <c r="E182" s="74">
        <v>-24</v>
      </c>
      <c r="F182" s="74">
        <v>6</v>
      </c>
      <c r="G182" s="74">
        <v>9</v>
      </c>
      <c r="H182" s="74">
        <v>-7</v>
      </c>
      <c r="I182" s="74">
        <v>-31</v>
      </c>
      <c r="J182" s="74">
        <v>61</v>
      </c>
      <c r="K182" s="75">
        <v>-3</v>
      </c>
      <c r="L182" s="75">
        <v>-14</v>
      </c>
      <c r="M182" s="75"/>
      <c r="N182" s="75"/>
    </row>
    <row r="183" spans="1:14" s="8" customFormat="1" ht="12.5" x14ac:dyDescent="0.25">
      <c r="A183" s="8">
        <v>117</v>
      </c>
      <c r="B183" s="8" t="s">
        <v>360</v>
      </c>
      <c r="C183" s="8" t="s">
        <v>361</v>
      </c>
      <c r="D183" s="8">
        <v>10403</v>
      </c>
      <c r="E183" s="8">
        <v>8785</v>
      </c>
      <c r="F183" s="8">
        <v>12024</v>
      </c>
      <c r="G183" s="8">
        <v>13553</v>
      </c>
      <c r="H183" s="8">
        <v>12451</v>
      </c>
      <c r="I183" s="8">
        <v>9336</v>
      </c>
      <c r="J183" s="8">
        <v>11005</v>
      </c>
      <c r="K183" s="73">
        <v>12366</v>
      </c>
      <c r="L183" s="73">
        <v>13373</v>
      </c>
      <c r="M183" s="73">
        <v>103296</v>
      </c>
      <c r="N183" s="73">
        <f>L183-K183</f>
        <v>1007</v>
      </c>
    </row>
    <row r="184" spans="1:14" s="74" customFormat="1" ht="10" x14ac:dyDescent="0.2">
      <c r="E184" s="74">
        <v>-16</v>
      </c>
      <c r="F184" s="74">
        <v>37</v>
      </c>
      <c r="G184" s="74">
        <v>13</v>
      </c>
      <c r="H184" s="74">
        <v>-8</v>
      </c>
      <c r="I184" s="74">
        <v>-25</v>
      </c>
      <c r="J184" s="74">
        <v>18</v>
      </c>
      <c r="K184" s="75">
        <v>12</v>
      </c>
      <c r="L184" s="75">
        <v>8</v>
      </c>
      <c r="M184" s="75"/>
      <c r="N184" s="75"/>
    </row>
    <row r="185" spans="1:14" s="8" customFormat="1" ht="12.5" x14ac:dyDescent="0.25">
      <c r="A185" s="8">
        <v>118</v>
      </c>
      <c r="B185" s="8" t="s">
        <v>378</v>
      </c>
      <c r="C185" s="8" t="s">
        <v>379</v>
      </c>
      <c r="D185" s="8">
        <v>10019</v>
      </c>
      <c r="E185" s="8">
        <v>10857</v>
      </c>
      <c r="F185" s="8">
        <v>11584</v>
      </c>
      <c r="G185" s="8">
        <v>14043</v>
      </c>
      <c r="H185" s="8">
        <v>12779</v>
      </c>
      <c r="I185" s="8">
        <v>12152</v>
      </c>
      <c r="J185" s="8">
        <v>15166</v>
      </c>
      <c r="K185" s="73">
        <v>12382</v>
      </c>
      <c r="L185" s="73">
        <v>12362</v>
      </c>
      <c r="M185" s="73">
        <v>111344</v>
      </c>
      <c r="N185" s="73">
        <f>L185-K185</f>
        <v>-20</v>
      </c>
    </row>
    <row r="186" spans="1:14" s="74" customFormat="1" ht="10" x14ac:dyDescent="0.2">
      <c r="E186" s="74">
        <v>8</v>
      </c>
      <c r="F186" s="74">
        <v>7</v>
      </c>
      <c r="G186" s="74">
        <v>21</v>
      </c>
      <c r="H186" s="74">
        <v>-9</v>
      </c>
      <c r="I186" s="74">
        <v>-5</v>
      </c>
      <c r="J186" s="74">
        <v>25</v>
      </c>
      <c r="K186" s="75">
        <v>-18</v>
      </c>
      <c r="L186" s="75">
        <v>0</v>
      </c>
      <c r="M186" s="75"/>
      <c r="N186" s="75"/>
    </row>
    <row r="187" spans="1:14" s="8" customFormat="1" ht="12.5" x14ac:dyDescent="0.25">
      <c r="A187" s="8">
        <v>119</v>
      </c>
      <c r="B187" s="8" t="s">
        <v>308</v>
      </c>
      <c r="C187" s="8" t="s">
        <v>91</v>
      </c>
      <c r="D187" s="8">
        <v>10072</v>
      </c>
      <c r="E187" s="8">
        <v>12515</v>
      </c>
      <c r="F187" s="8">
        <v>14132</v>
      </c>
      <c r="G187" s="8">
        <v>12583</v>
      </c>
      <c r="H187" s="8">
        <v>10859</v>
      </c>
      <c r="I187" s="8">
        <v>10715</v>
      </c>
      <c r="J187" s="8">
        <v>11857</v>
      </c>
      <c r="K187" s="73">
        <v>10652</v>
      </c>
      <c r="L187" s="73">
        <v>10523</v>
      </c>
      <c r="M187" s="73">
        <v>103908</v>
      </c>
      <c r="N187" s="73">
        <f>L187-K187</f>
        <v>-129</v>
      </c>
    </row>
    <row r="188" spans="1:14" s="74" customFormat="1" ht="10" x14ac:dyDescent="0.2">
      <c r="E188" s="74">
        <v>24</v>
      </c>
      <c r="F188" s="74">
        <v>13</v>
      </c>
      <c r="G188" s="74">
        <v>-11</v>
      </c>
      <c r="H188" s="74">
        <v>-14</v>
      </c>
      <c r="I188" s="74">
        <v>-1</v>
      </c>
      <c r="J188" s="74">
        <v>11</v>
      </c>
      <c r="K188" s="75">
        <v>-10</v>
      </c>
      <c r="L188" s="75">
        <v>-1</v>
      </c>
      <c r="M188" s="75"/>
      <c r="N188" s="75"/>
    </row>
    <row r="189" spans="1:14" s="8" customFormat="1" ht="12.5" x14ac:dyDescent="0.25">
      <c r="A189" s="8">
        <v>120</v>
      </c>
      <c r="B189" s="8" t="s">
        <v>309</v>
      </c>
      <c r="C189" s="8" t="s">
        <v>310</v>
      </c>
      <c r="D189" s="8">
        <v>3751</v>
      </c>
      <c r="E189" s="8">
        <v>3752</v>
      </c>
      <c r="F189" s="8">
        <v>0</v>
      </c>
      <c r="G189" s="8">
        <v>2395</v>
      </c>
      <c r="H189" s="8">
        <v>2205</v>
      </c>
      <c r="I189" s="8">
        <v>1045</v>
      </c>
      <c r="J189" s="8">
        <v>1914</v>
      </c>
      <c r="K189" s="73">
        <v>955</v>
      </c>
      <c r="L189" s="73">
        <v>2186</v>
      </c>
      <c r="M189" s="73">
        <v>18203</v>
      </c>
      <c r="N189" s="73">
        <f>L189-K189</f>
        <v>1231</v>
      </c>
    </row>
    <row r="190" spans="1:14" s="74" customFormat="1" ht="10" x14ac:dyDescent="0.2">
      <c r="E190" s="74">
        <v>0</v>
      </c>
      <c r="H190" s="74">
        <v>-8</v>
      </c>
      <c r="I190" s="74">
        <v>-53</v>
      </c>
      <c r="J190" s="74">
        <v>83</v>
      </c>
      <c r="K190" s="75">
        <v>-50</v>
      </c>
      <c r="L190" s="75">
        <v>129</v>
      </c>
      <c r="M190" s="75"/>
      <c r="N190" s="75"/>
    </row>
    <row r="191" spans="1:14" s="8" customFormat="1" ht="12.5" x14ac:dyDescent="0.25">
      <c r="A191" s="8">
        <v>121</v>
      </c>
      <c r="B191" s="8" t="s">
        <v>219</v>
      </c>
      <c r="C191" s="8" t="s">
        <v>220</v>
      </c>
      <c r="D191" s="8">
        <v>17439</v>
      </c>
      <c r="E191" s="8">
        <v>11626</v>
      </c>
      <c r="F191" s="8">
        <v>12688</v>
      </c>
      <c r="G191" s="8">
        <v>12525</v>
      </c>
      <c r="H191" s="8">
        <v>12721</v>
      </c>
      <c r="I191" s="8">
        <v>12603</v>
      </c>
      <c r="J191" s="8">
        <v>12732</v>
      </c>
      <c r="K191" s="73">
        <v>12656</v>
      </c>
      <c r="L191" s="73">
        <v>12687</v>
      </c>
      <c r="M191" s="73">
        <v>117677</v>
      </c>
      <c r="N191" s="73">
        <f>L191-K191</f>
        <v>31</v>
      </c>
    </row>
    <row r="192" spans="1:14" s="74" customFormat="1" ht="10" x14ac:dyDescent="0.2">
      <c r="E192" s="74">
        <v>-33</v>
      </c>
      <c r="F192" s="74">
        <v>9</v>
      </c>
      <c r="G192" s="74">
        <v>-1</v>
      </c>
      <c r="H192" s="74">
        <v>2</v>
      </c>
      <c r="I192" s="74">
        <v>-1</v>
      </c>
      <c r="J192" s="74">
        <v>1</v>
      </c>
      <c r="K192" s="75">
        <v>-1</v>
      </c>
      <c r="L192" s="75">
        <v>0</v>
      </c>
      <c r="M192" s="75"/>
      <c r="N192" s="75"/>
    </row>
    <row r="193" spans="1:14" s="8" customFormat="1" ht="12.5" x14ac:dyDescent="0.25">
      <c r="A193" s="8">
        <v>122</v>
      </c>
      <c r="B193" s="8" t="s">
        <v>419</v>
      </c>
      <c r="C193" s="8" t="s">
        <v>420</v>
      </c>
      <c r="D193" s="8">
        <v>11941</v>
      </c>
      <c r="E193" s="8">
        <v>12012</v>
      </c>
      <c r="F193" s="8">
        <v>13970</v>
      </c>
      <c r="G193" s="8">
        <v>0</v>
      </c>
      <c r="H193" s="8">
        <v>0</v>
      </c>
      <c r="I193" s="8">
        <v>0</v>
      </c>
      <c r="J193" s="8">
        <v>0</v>
      </c>
      <c r="K193" s="73">
        <v>0</v>
      </c>
      <c r="L193" s="73">
        <v>0</v>
      </c>
      <c r="M193" s="73">
        <v>37923</v>
      </c>
      <c r="N193" s="73">
        <f>L193-K193</f>
        <v>0</v>
      </c>
    </row>
    <row r="194" spans="1:14" s="74" customFormat="1" ht="10" x14ac:dyDescent="0.2">
      <c r="E194" s="74">
        <v>1</v>
      </c>
      <c r="F194" s="74">
        <v>16</v>
      </c>
      <c r="K194" s="75"/>
      <c r="L194" s="75"/>
      <c r="M194" s="75"/>
      <c r="N194" s="75"/>
    </row>
    <row r="195" spans="1:14" s="8" customFormat="1" ht="12.5" x14ac:dyDescent="0.25">
      <c r="A195" s="8">
        <v>123</v>
      </c>
      <c r="B195" s="8" t="s">
        <v>311</v>
      </c>
      <c r="C195" s="8" t="s">
        <v>312</v>
      </c>
      <c r="D195" s="8">
        <v>12853</v>
      </c>
      <c r="E195" s="8">
        <v>12455</v>
      </c>
      <c r="F195" s="8">
        <v>14550</v>
      </c>
      <c r="G195" s="8">
        <v>11724</v>
      </c>
      <c r="H195" s="8">
        <v>12736</v>
      </c>
      <c r="I195" s="8">
        <v>11438</v>
      </c>
      <c r="J195" s="8">
        <v>11366</v>
      </c>
      <c r="K195" s="73">
        <v>12382</v>
      </c>
      <c r="L195" s="73">
        <v>11919</v>
      </c>
      <c r="M195" s="73">
        <v>111423</v>
      </c>
      <c r="N195" s="73">
        <f>L195-K195</f>
        <v>-463</v>
      </c>
    </row>
    <row r="196" spans="1:14" s="74" customFormat="1" ht="10" x14ac:dyDescent="0.2">
      <c r="E196" s="74">
        <v>-3</v>
      </c>
      <c r="F196" s="74">
        <v>17</v>
      </c>
      <c r="G196" s="74">
        <v>-19</v>
      </c>
      <c r="H196" s="74">
        <v>9</v>
      </c>
      <c r="I196" s="74">
        <v>-10</v>
      </c>
      <c r="J196" s="74">
        <v>-1</v>
      </c>
      <c r="K196" s="75">
        <v>9</v>
      </c>
      <c r="L196" s="75">
        <v>-4</v>
      </c>
      <c r="M196" s="75"/>
      <c r="N196" s="75"/>
    </row>
    <row r="197" spans="1:14" s="8" customFormat="1" ht="12.5" x14ac:dyDescent="0.25">
      <c r="A197" s="8">
        <v>124</v>
      </c>
      <c r="B197" s="8" t="s">
        <v>554</v>
      </c>
      <c r="C197" s="8" t="s">
        <v>555</v>
      </c>
      <c r="D197" s="8">
        <v>2387</v>
      </c>
      <c r="E197" s="8">
        <v>2387</v>
      </c>
      <c r="F197" s="8">
        <v>2387</v>
      </c>
      <c r="G197" s="8">
        <v>2387</v>
      </c>
      <c r="H197" s="8">
        <v>2387</v>
      </c>
      <c r="I197" s="8">
        <v>2387</v>
      </c>
      <c r="J197" s="8">
        <v>2387</v>
      </c>
      <c r="K197" s="73">
        <v>2387</v>
      </c>
      <c r="L197" s="73">
        <v>2405</v>
      </c>
      <c r="M197" s="73">
        <v>21501</v>
      </c>
      <c r="N197" s="73">
        <f>L197-K197</f>
        <v>18</v>
      </c>
    </row>
    <row r="198" spans="1:14" s="74" customFormat="1" ht="10" x14ac:dyDescent="0.2">
      <c r="E198" s="74">
        <v>0</v>
      </c>
      <c r="F198" s="74">
        <v>0</v>
      </c>
      <c r="G198" s="74">
        <v>0</v>
      </c>
      <c r="H198" s="74">
        <v>0</v>
      </c>
      <c r="I198" s="74">
        <v>0</v>
      </c>
      <c r="J198" s="74">
        <v>0</v>
      </c>
      <c r="K198" s="75">
        <v>0</v>
      </c>
      <c r="L198" s="75">
        <v>1</v>
      </c>
      <c r="M198" s="75"/>
      <c r="N198" s="75"/>
    </row>
    <row r="199" spans="1:14" s="8" customFormat="1" ht="12.5" x14ac:dyDescent="0.25">
      <c r="A199" s="8">
        <v>125</v>
      </c>
      <c r="B199" s="8" t="s">
        <v>343</v>
      </c>
      <c r="C199" s="8" t="s">
        <v>259</v>
      </c>
      <c r="D199" s="8">
        <v>14547</v>
      </c>
      <c r="E199" s="8">
        <v>17868</v>
      </c>
      <c r="F199" s="8">
        <v>14382</v>
      </c>
      <c r="G199" s="8">
        <v>15472</v>
      </c>
      <c r="H199" s="8">
        <v>18627</v>
      </c>
      <c r="I199" s="8">
        <v>28884</v>
      </c>
      <c r="J199" s="8">
        <v>45045</v>
      </c>
      <c r="K199" s="73">
        <v>19393</v>
      </c>
      <c r="L199" s="73">
        <v>18479</v>
      </c>
      <c r="M199" s="73">
        <v>192697</v>
      </c>
      <c r="N199" s="73">
        <f>L199-K199</f>
        <v>-914</v>
      </c>
    </row>
    <row r="200" spans="1:14" s="74" customFormat="1" ht="10" x14ac:dyDescent="0.2">
      <c r="E200" s="74">
        <v>23</v>
      </c>
      <c r="F200" s="74">
        <v>-20</v>
      </c>
      <c r="G200" s="74">
        <v>8</v>
      </c>
      <c r="H200" s="74">
        <v>20</v>
      </c>
      <c r="I200" s="74">
        <v>55</v>
      </c>
      <c r="J200" s="74">
        <v>56</v>
      </c>
      <c r="K200" s="75">
        <v>-57</v>
      </c>
      <c r="L200" s="75">
        <v>-5</v>
      </c>
      <c r="M200" s="75"/>
      <c r="N200" s="75"/>
    </row>
    <row r="201" spans="1:14" s="8" customFormat="1" ht="12.5" x14ac:dyDescent="0.25">
      <c r="A201" s="8">
        <v>126</v>
      </c>
      <c r="B201" s="8" t="s">
        <v>421</v>
      </c>
      <c r="C201" s="8" t="s">
        <v>222</v>
      </c>
      <c r="D201" s="8">
        <v>11941</v>
      </c>
      <c r="E201" s="8">
        <v>11991</v>
      </c>
      <c r="F201" s="8">
        <v>14034</v>
      </c>
      <c r="G201" s="8">
        <v>0</v>
      </c>
      <c r="H201" s="8">
        <v>0</v>
      </c>
      <c r="I201" s="8">
        <v>0</v>
      </c>
      <c r="J201" s="8">
        <v>0</v>
      </c>
      <c r="K201" s="73">
        <v>0</v>
      </c>
      <c r="L201" s="73">
        <v>0</v>
      </c>
      <c r="M201" s="73">
        <v>37966</v>
      </c>
      <c r="N201" s="73">
        <f>L201-K201</f>
        <v>0</v>
      </c>
    </row>
    <row r="202" spans="1:14" s="74" customFormat="1" ht="10" x14ac:dyDescent="0.2">
      <c r="E202" s="74">
        <v>0</v>
      </c>
      <c r="F202" s="74">
        <v>17</v>
      </c>
      <c r="K202" s="75"/>
      <c r="L202" s="75"/>
      <c r="M202" s="75"/>
      <c r="N202" s="75"/>
    </row>
    <row r="203" spans="1:14" s="8" customFormat="1" ht="12.5" x14ac:dyDescent="0.25">
      <c r="A203" s="8">
        <v>127</v>
      </c>
      <c r="B203" s="8" t="s">
        <v>221</v>
      </c>
      <c r="C203" s="8" t="s">
        <v>222</v>
      </c>
      <c r="D203" s="8">
        <v>39370</v>
      </c>
      <c r="E203" s="8">
        <v>39441</v>
      </c>
      <c r="F203" s="8">
        <v>39538</v>
      </c>
      <c r="G203" s="8">
        <v>5941</v>
      </c>
      <c r="H203" s="8">
        <v>0</v>
      </c>
      <c r="I203" s="8">
        <v>0</v>
      </c>
      <c r="J203" s="8">
        <v>25949</v>
      </c>
      <c r="K203" s="73">
        <v>10660</v>
      </c>
      <c r="L203" s="73">
        <v>14532</v>
      </c>
      <c r="M203" s="73">
        <v>175431</v>
      </c>
      <c r="N203" s="73">
        <f>L203-K203</f>
        <v>3872</v>
      </c>
    </row>
    <row r="204" spans="1:14" s="74" customFormat="1" ht="10" x14ac:dyDescent="0.2">
      <c r="E204" s="74">
        <v>0</v>
      </c>
      <c r="F204" s="74">
        <v>0</v>
      </c>
      <c r="G204" s="74">
        <v>-85</v>
      </c>
      <c r="K204" s="75">
        <v>-59</v>
      </c>
      <c r="L204" s="75">
        <v>36</v>
      </c>
      <c r="M204" s="75"/>
      <c r="N204" s="75"/>
    </row>
    <row r="205" spans="1:14" s="8" customFormat="1" ht="12.5" x14ac:dyDescent="0.25">
      <c r="A205" s="8">
        <v>130</v>
      </c>
      <c r="B205" s="8" t="s">
        <v>223</v>
      </c>
      <c r="C205" s="8" t="s">
        <v>224</v>
      </c>
      <c r="D205" s="8">
        <v>11968</v>
      </c>
      <c r="E205" s="8">
        <v>11754</v>
      </c>
      <c r="F205" s="8">
        <v>12238</v>
      </c>
      <c r="G205" s="8">
        <v>11818</v>
      </c>
      <c r="H205" s="8">
        <v>21846</v>
      </c>
      <c r="I205" s="8">
        <v>23462</v>
      </c>
      <c r="J205" s="8">
        <v>25461</v>
      </c>
      <c r="K205" s="73">
        <v>27834</v>
      </c>
      <c r="L205" s="73">
        <v>27577</v>
      </c>
      <c r="M205" s="73">
        <v>173958</v>
      </c>
      <c r="N205" s="73">
        <f>L205-K205</f>
        <v>-257</v>
      </c>
    </row>
    <row r="206" spans="1:14" s="74" customFormat="1" ht="10" x14ac:dyDescent="0.2">
      <c r="E206" s="74">
        <v>-2</v>
      </c>
      <c r="F206" s="74">
        <v>4</v>
      </c>
      <c r="G206" s="74">
        <v>-3</v>
      </c>
      <c r="H206" s="74">
        <v>85</v>
      </c>
      <c r="I206" s="74">
        <v>7</v>
      </c>
      <c r="J206" s="74">
        <v>9</v>
      </c>
      <c r="K206" s="75">
        <v>9</v>
      </c>
      <c r="L206" s="75">
        <v>-1</v>
      </c>
      <c r="M206" s="75"/>
      <c r="N206" s="75"/>
    </row>
    <row r="207" spans="1:14" s="8" customFormat="1" ht="12.5" x14ac:dyDescent="0.25">
      <c r="A207" s="8">
        <v>132</v>
      </c>
      <c r="B207" s="8" t="s">
        <v>380</v>
      </c>
      <c r="C207" s="8" t="s">
        <v>322</v>
      </c>
      <c r="D207" s="8">
        <v>7114</v>
      </c>
      <c r="E207" s="8">
        <v>7097</v>
      </c>
      <c r="F207" s="8">
        <v>8418</v>
      </c>
      <c r="G207" s="8">
        <v>7871</v>
      </c>
      <c r="H207" s="8">
        <v>7940</v>
      </c>
      <c r="I207" s="8">
        <v>6105</v>
      </c>
      <c r="J207" s="8">
        <v>11052</v>
      </c>
      <c r="K207" s="73">
        <v>7157</v>
      </c>
      <c r="L207" s="73">
        <v>4359</v>
      </c>
      <c r="M207" s="73">
        <v>67113</v>
      </c>
      <c r="N207" s="73">
        <f>L207-K207</f>
        <v>-2798</v>
      </c>
    </row>
    <row r="208" spans="1:14" s="74" customFormat="1" ht="10" x14ac:dyDescent="0.2">
      <c r="E208" s="74">
        <v>0</v>
      </c>
      <c r="F208" s="74">
        <v>19</v>
      </c>
      <c r="G208" s="74">
        <v>-6</v>
      </c>
      <c r="H208" s="74">
        <v>1</v>
      </c>
      <c r="I208" s="74">
        <v>-23</v>
      </c>
      <c r="J208" s="74">
        <v>81</v>
      </c>
      <c r="K208" s="75">
        <v>-35</v>
      </c>
      <c r="L208" s="75">
        <v>-39</v>
      </c>
      <c r="M208" s="75"/>
      <c r="N208" s="75"/>
    </row>
    <row r="209" spans="1:14" s="8" customFormat="1" ht="12.5" x14ac:dyDescent="0.25">
      <c r="A209" s="8">
        <v>133</v>
      </c>
      <c r="B209" s="8" t="s">
        <v>187</v>
      </c>
      <c r="C209" s="8" t="s">
        <v>515</v>
      </c>
      <c r="D209" s="8">
        <v>7894</v>
      </c>
      <c r="E209" s="8">
        <v>5832</v>
      </c>
      <c r="F209" s="8">
        <v>7394</v>
      </c>
      <c r="G209" s="8">
        <v>5400</v>
      </c>
      <c r="H209" s="8">
        <v>6322</v>
      </c>
      <c r="I209" s="8">
        <v>3966</v>
      </c>
      <c r="J209" s="8">
        <v>2440</v>
      </c>
      <c r="K209" s="73">
        <v>5677</v>
      </c>
      <c r="L209" s="73">
        <v>0</v>
      </c>
      <c r="M209" s="73">
        <v>44925</v>
      </c>
      <c r="N209" s="76">
        <f>L209-K209</f>
        <v>-5677</v>
      </c>
    </row>
    <row r="210" spans="1:14" s="74" customFormat="1" ht="10" x14ac:dyDescent="0.2">
      <c r="E210" s="74">
        <v>-26</v>
      </c>
      <c r="F210" s="74">
        <v>27</v>
      </c>
      <c r="G210" s="74">
        <v>-27</v>
      </c>
      <c r="H210" s="74">
        <v>17</v>
      </c>
      <c r="I210" s="74">
        <v>-37</v>
      </c>
      <c r="J210" s="74">
        <v>-38</v>
      </c>
      <c r="K210" s="75">
        <v>133</v>
      </c>
      <c r="L210" s="75"/>
      <c r="M210" s="75"/>
      <c r="N210" s="75"/>
    </row>
    <row r="211" spans="1:14" s="8" customFormat="1" ht="12.5" x14ac:dyDescent="0.25">
      <c r="A211" s="8">
        <v>136</v>
      </c>
      <c r="B211" s="8" t="s">
        <v>422</v>
      </c>
      <c r="C211" s="8" t="s">
        <v>423</v>
      </c>
      <c r="D211" s="8">
        <v>4596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73">
        <v>0</v>
      </c>
      <c r="L211" s="73">
        <v>0</v>
      </c>
      <c r="M211" s="73">
        <v>4596</v>
      </c>
      <c r="N211" s="73">
        <f>L211-K211</f>
        <v>0</v>
      </c>
    </row>
    <row r="212" spans="1:14" s="74" customFormat="1" ht="10" x14ac:dyDescent="0.2">
      <c r="K212" s="75"/>
      <c r="L212" s="75"/>
      <c r="M212" s="75"/>
      <c r="N212" s="75"/>
    </row>
    <row r="213" spans="1:14" s="8" customFormat="1" ht="12.5" x14ac:dyDescent="0.25">
      <c r="A213" s="8">
        <v>138</v>
      </c>
      <c r="B213" s="8" t="s">
        <v>225</v>
      </c>
      <c r="C213" s="8" t="s">
        <v>226</v>
      </c>
      <c r="D213" s="8">
        <v>0</v>
      </c>
      <c r="E213" s="8">
        <v>8485</v>
      </c>
      <c r="F213" s="8">
        <v>21876</v>
      </c>
      <c r="G213" s="8">
        <v>18538</v>
      </c>
      <c r="H213" s="8">
        <v>20972</v>
      </c>
      <c r="I213" s="8">
        <v>16972</v>
      </c>
      <c r="J213" s="8">
        <v>20294</v>
      </c>
      <c r="K213" s="73">
        <v>22019</v>
      </c>
      <c r="L213" s="73">
        <v>20529</v>
      </c>
      <c r="M213" s="73">
        <v>149685</v>
      </c>
      <c r="N213" s="73">
        <f>L213-K213</f>
        <v>-1490</v>
      </c>
    </row>
    <row r="214" spans="1:14" s="74" customFormat="1" ht="10" x14ac:dyDescent="0.2">
      <c r="F214" s="74">
        <v>158</v>
      </c>
      <c r="G214" s="74">
        <v>-15</v>
      </c>
      <c r="H214" s="74">
        <v>13</v>
      </c>
      <c r="I214" s="74">
        <v>-19</v>
      </c>
      <c r="J214" s="74">
        <v>20</v>
      </c>
      <c r="K214" s="75">
        <v>9</v>
      </c>
      <c r="L214" s="75">
        <v>-7</v>
      </c>
      <c r="M214" s="75"/>
      <c r="N214" s="75"/>
    </row>
    <row r="215" spans="1:14" s="8" customFormat="1" ht="12.5" x14ac:dyDescent="0.25">
      <c r="A215" s="8">
        <v>140</v>
      </c>
      <c r="B215" s="8" t="s">
        <v>328</v>
      </c>
      <c r="C215" s="8" t="s">
        <v>172</v>
      </c>
      <c r="D215" s="8">
        <v>7046</v>
      </c>
      <c r="E215" s="8">
        <v>6317</v>
      </c>
      <c r="F215" s="8">
        <v>8655</v>
      </c>
      <c r="G215" s="8">
        <v>7859</v>
      </c>
      <c r="H215" s="8">
        <v>7851</v>
      </c>
      <c r="I215" s="8">
        <v>7462</v>
      </c>
      <c r="J215" s="8">
        <v>8007</v>
      </c>
      <c r="K215" s="73">
        <v>7508</v>
      </c>
      <c r="L215" s="73">
        <v>7447</v>
      </c>
      <c r="M215" s="73">
        <v>68152</v>
      </c>
      <c r="N215" s="73">
        <f>L215-K215</f>
        <v>-61</v>
      </c>
    </row>
    <row r="216" spans="1:14" s="74" customFormat="1" ht="10" x14ac:dyDescent="0.2">
      <c r="E216" s="74">
        <v>-10</v>
      </c>
      <c r="F216" s="74">
        <v>37</v>
      </c>
      <c r="G216" s="74">
        <v>-9</v>
      </c>
      <c r="H216" s="74">
        <v>0</v>
      </c>
      <c r="I216" s="74">
        <v>-5</v>
      </c>
      <c r="J216" s="74">
        <v>7</v>
      </c>
      <c r="K216" s="75">
        <v>-6</v>
      </c>
      <c r="L216" s="75">
        <v>-1</v>
      </c>
      <c r="M216" s="75"/>
      <c r="N216" s="75"/>
    </row>
    <row r="217" spans="1:14" s="8" customFormat="1" ht="12.5" x14ac:dyDescent="0.25">
      <c r="A217" s="8">
        <v>141</v>
      </c>
      <c r="B217" s="8" t="s">
        <v>391</v>
      </c>
      <c r="C217" s="8" t="s">
        <v>392</v>
      </c>
      <c r="D217" s="8">
        <v>7316</v>
      </c>
      <c r="E217" s="8">
        <v>7641</v>
      </c>
      <c r="F217" s="8">
        <v>5504</v>
      </c>
      <c r="G217" s="8">
        <v>5720</v>
      </c>
      <c r="H217" s="8">
        <v>8501</v>
      </c>
      <c r="I217" s="8">
        <v>6302</v>
      </c>
      <c r="J217" s="8">
        <v>6891</v>
      </c>
      <c r="K217" s="73">
        <v>9289</v>
      </c>
      <c r="L217" s="73">
        <v>7949</v>
      </c>
      <c r="M217" s="73">
        <v>65113</v>
      </c>
      <c r="N217" s="73">
        <f>L217-K217</f>
        <v>-1340</v>
      </c>
    </row>
    <row r="218" spans="1:14" s="74" customFormat="1" ht="10" x14ac:dyDescent="0.2">
      <c r="E218" s="74">
        <v>4</v>
      </c>
      <c r="F218" s="74">
        <v>-28</v>
      </c>
      <c r="G218" s="74">
        <v>4</v>
      </c>
      <c r="H218" s="74">
        <v>49</v>
      </c>
      <c r="I218" s="74">
        <v>-26</v>
      </c>
      <c r="J218" s="74">
        <v>9</v>
      </c>
      <c r="K218" s="75">
        <v>35</v>
      </c>
      <c r="L218" s="75">
        <v>-14</v>
      </c>
      <c r="M218" s="75"/>
      <c r="N218" s="75"/>
    </row>
    <row r="219" spans="1:14" s="8" customFormat="1" ht="12.5" x14ac:dyDescent="0.25">
      <c r="A219" s="8">
        <v>142</v>
      </c>
      <c r="B219" s="8" t="s">
        <v>545</v>
      </c>
      <c r="C219" s="8" t="s">
        <v>546</v>
      </c>
      <c r="D219" s="8">
        <v>1152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73">
        <v>0</v>
      </c>
      <c r="L219" s="73">
        <v>0</v>
      </c>
      <c r="M219" s="73">
        <v>1152</v>
      </c>
      <c r="N219" s="73">
        <f>L219-K219</f>
        <v>0</v>
      </c>
    </row>
    <row r="220" spans="1:14" s="74" customFormat="1" ht="10" x14ac:dyDescent="0.2">
      <c r="K220" s="75"/>
      <c r="L220" s="75"/>
      <c r="M220" s="75"/>
      <c r="N220" s="75"/>
    </row>
    <row r="221" spans="1:14" s="8" customFormat="1" ht="12.5" x14ac:dyDescent="0.25">
      <c r="A221" s="8">
        <v>143</v>
      </c>
      <c r="B221" s="8" t="s">
        <v>227</v>
      </c>
      <c r="C221" s="8" t="s">
        <v>228</v>
      </c>
      <c r="D221" s="8">
        <v>0</v>
      </c>
      <c r="E221" s="8">
        <v>0</v>
      </c>
      <c r="F221" s="8">
        <v>0</v>
      </c>
      <c r="G221" s="8">
        <v>16911</v>
      </c>
      <c r="H221" s="8">
        <v>27351</v>
      </c>
      <c r="I221" s="8">
        <v>14354</v>
      </c>
      <c r="J221" s="8">
        <v>14716</v>
      </c>
      <c r="K221" s="73">
        <v>24081</v>
      </c>
      <c r="L221" s="73">
        <v>15612</v>
      </c>
      <c r="M221" s="73">
        <v>113025</v>
      </c>
      <c r="N221" s="76">
        <f>L221-K221</f>
        <v>-8469</v>
      </c>
    </row>
    <row r="222" spans="1:14" s="74" customFormat="1" ht="10" x14ac:dyDescent="0.2">
      <c r="H222" s="74">
        <v>62</v>
      </c>
      <c r="I222" s="74">
        <v>-48</v>
      </c>
      <c r="J222" s="74">
        <v>3</v>
      </c>
      <c r="K222" s="75">
        <v>64</v>
      </c>
      <c r="L222" s="75">
        <v>-35</v>
      </c>
      <c r="M222" s="75"/>
      <c r="N222" s="75"/>
    </row>
    <row r="223" spans="1:14" s="8" customFormat="1" ht="12.5" x14ac:dyDescent="0.25">
      <c r="A223" s="8">
        <v>144</v>
      </c>
      <c r="B223" s="8" t="s">
        <v>547</v>
      </c>
      <c r="C223" s="8" t="s">
        <v>548</v>
      </c>
      <c r="D223" s="8">
        <v>10139</v>
      </c>
      <c r="E223" s="8">
        <v>10033</v>
      </c>
      <c r="F223" s="8">
        <v>4692</v>
      </c>
      <c r="G223" s="8">
        <v>0</v>
      </c>
      <c r="H223" s="8">
        <v>0</v>
      </c>
      <c r="I223" s="8">
        <v>0</v>
      </c>
      <c r="J223" s="8">
        <v>0</v>
      </c>
      <c r="K223" s="73">
        <v>0</v>
      </c>
      <c r="L223" s="73">
        <v>0</v>
      </c>
      <c r="M223" s="73">
        <v>24864</v>
      </c>
      <c r="N223" s="73">
        <f>L223-K223</f>
        <v>0</v>
      </c>
    </row>
    <row r="224" spans="1:14" s="74" customFormat="1" ht="10" x14ac:dyDescent="0.2">
      <c r="E224" s="74">
        <v>-1</v>
      </c>
      <c r="F224" s="74">
        <v>-53</v>
      </c>
      <c r="K224" s="75"/>
      <c r="L224" s="75"/>
      <c r="M224" s="75"/>
      <c r="N224" s="75"/>
    </row>
    <row r="225" spans="1:14" s="8" customFormat="1" ht="12.5" x14ac:dyDescent="0.25">
      <c r="A225" s="8">
        <v>145</v>
      </c>
      <c r="B225" s="8" t="s">
        <v>229</v>
      </c>
      <c r="C225" s="8" t="s">
        <v>89</v>
      </c>
      <c r="D225" s="8">
        <v>17508</v>
      </c>
      <c r="E225" s="8">
        <v>9155</v>
      </c>
      <c r="F225" s="8">
        <v>12199</v>
      </c>
      <c r="G225" s="8">
        <v>10788</v>
      </c>
      <c r="H225" s="8">
        <v>9657</v>
      </c>
      <c r="I225" s="8">
        <v>13663</v>
      </c>
      <c r="J225" s="8">
        <v>11344</v>
      </c>
      <c r="K225" s="73">
        <v>11294</v>
      </c>
      <c r="L225" s="73">
        <v>13208</v>
      </c>
      <c r="M225" s="73">
        <v>108816</v>
      </c>
      <c r="N225" s="73">
        <f>L225-K225</f>
        <v>1914</v>
      </c>
    </row>
    <row r="226" spans="1:14" s="74" customFormat="1" ht="10" x14ac:dyDescent="0.2">
      <c r="E226" s="74">
        <v>-48</v>
      </c>
      <c r="F226" s="74">
        <v>33</v>
      </c>
      <c r="G226" s="74">
        <v>-12</v>
      </c>
      <c r="H226" s="74">
        <v>-10</v>
      </c>
      <c r="I226" s="74">
        <v>41</v>
      </c>
      <c r="J226" s="74">
        <v>-17</v>
      </c>
      <c r="K226" s="75">
        <v>0</v>
      </c>
      <c r="L226" s="75">
        <v>17</v>
      </c>
      <c r="M226" s="75"/>
      <c r="N226" s="75"/>
    </row>
    <row r="227" spans="1:14" s="8" customFormat="1" ht="12.5" x14ac:dyDescent="0.25">
      <c r="A227" s="8">
        <v>146</v>
      </c>
      <c r="B227" s="8" t="s">
        <v>549</v>
      </c>
      <c r="C227" s="8" t="s">
        <v>550</v>
      </c>
      <c r="D227" s="8">
        <v>8164</v>
      </c>
      <c r="E227" s="8">
        <v>7831</v>
      </c>
      <c r="F227" s="8">
        <v>5919</v>
      </c>
      <c r="G227" s="8">
        <v>0</v>
      </c>
      <c r="H227" s="8">
        <v>778</v>
      </c>
      <c r="I227" s="8">
        <v>0</v>
      </c>
      <c r="J227" s="8">
        <v>0</v>
      </c>
      <c r="K227" s="73">
        <v>0</v>
      </c>
      <c r="L227" s="73">
        <v>0</v>
      </c>
      <c r="M227" s="73">
        <v>22692</v>
      </c>
      <c r="N227" s="73">
        <f>L227-K227</f>
        <v>0</v>
      </c>
    </row>
    <row r="228" spans="1:14" s="74" customFormat="1" ht="10" x14ac:dyDescent="0.2">
      <c r="E228" s="74">
        <v>-4</v>
      </c>
      <c r="F228" s="74">
        <v>-24</v>
      </c>
      <c r="K228" s="75"/>
      <c r="L228" s="75"/>
      <c r="M228" s="75"/>
      <c r="N228" s="75"/>
    </row>
    <row r="229" spans="1:14" s="8" customFormat="1" ht="12.5" x14ac:dyDescent="0.25">
      <c r="A229" s="8">
        <v>147</v>
      </c>
      <c r="B229" s="8" t="s">
        <v>269</v>
      </c>
      <c r="C229" s="8" t="s">
        <v>270</v>
      </c>
      <c r="D229" s="8">
        <v>9994</v>
      </c>
      <c r="E229" s="8">
        <v>8717</v>
      </c>
      <c r="F229" s="8">
        <v>10114</v>
      </c>
      <c r="G229" s="8">
        <v>10879</v>
      </c>
      <c r="H229" s="8">
        <v>10346</v>
      </c>
      <c r="I229" s="8">
        <v>10504</v>
      </c>
      <c r="J229" s="8">
        <v>12536</v>
      </c>
      <c r="K229" s="73">
        <v>10104</v>
      </c>
      <c r="L229" s="73">
        <v>12509</v>
      </c>
      <c r="M229" s="73">
        <v>95703</v>
      </c>
      <c r="N229" s="73">
        <f>L229-K229</f>
        <v>2405</v>
      </c>
    </row>
    <row r="230" spans="1:14" s="74" customFormat="1" ht="10" x14ac:dyDescent="0.2">
      <c r="E230" s="74">
        <v>-13</v>
      </c>
      <c r="F230" s="74">
        <v>16</v>
      </c>
      <c r="G230" s="74">
        <v>8</v>
      </c>
      <c r="H230" s="74">
        <v>-5</v>
      </c>
      <c r="I230" s="74">
        <v>2</v>
      </c>
      <c r="J230" s="74">
        <v>19</v>
      </c>
      <c r="K230" s="75">
        <v>-19</v>
      </c>
      <c r="L230" s="75">
        <v>24</v>
      </c>
      <c r="M230" s="75"/>
      <c r="N230" s="75"/>
    </row>
    <row r="231" spans="1:14" s="8" customFormat="1" ht="12.5" x14ac:dyDescent="0.25">
      <c r="A231" s="8">
        <v>148</v>
      </c>
      <c r="B231" s="8" t="s">
        <v>561</v>
      </c>
      <c r="C231" s="8" t="s">
        <v>562</v>
      </c>
      <c r="D231" s="8">
        <v>9903</v>
      </c>
      <c r="E231" s="8">
        <v>11123</v>
      </c>
      <c r="F231" s="8">
        <v>11344</v>
      </c>
      <c r="G231" s="8">
        <v>10470</v>
      </c>
      <c r="H231" s="8">
        <v>10643</v>
      </c>
      <c r="I231" s="8">
        <v>6188</v>
      </c>
      <c r="J231" s="8">
        <v>16753</v>
      </c>
      <c r="K231" s="73">
        <v>0</v>
      </c>
      <c r="L231" s="73">
        <v>0</v>
      </c>
      <c r="M231" s="73">
        <v>76424</v>
      </c>
      <c r="N231" s="73">
        <f>L231-K231</f>
        <v>0</v>
      </c>
    </row>
    <row r="232" spans="1:14" s="74" customFormat="1" ht="10" x14ac:dyDescent="0.2">
      <c r="E232" s="74">
        <v>12</v>
      </c>
      <c r="F232" s="74">
        <v>2</v>
      </c>
      <c r="G232" s="74">
        <v>-8</v>
      </c>
      <c r="H232" s="74">
        <v>2</v>
      </c>
      <c r="I232" s="74">
        <v>-42</v>
      </c>
      <c r="J232" s="74">
        <v>171</v>
      </c>
      <c r="K232" s="75"/>
      <c r="L232" s="75"/>
      <c r="M232" s="75"/>
      <c r="N232" s="75"/>
    </row>
    <row r="233" spans="1:14" s="8" customFormat="1" ht="12.5" x14ac:dyDescent="0.25">
      <c r="A233" s="8">
        <v>149</v>
      </c>
      <c r="B233" s="8" t="s">
        <v>329</v>
      </c>
      <c r="C233" s="8" t="s">
        <v>330</v>
      </c>
      <c r="D233" s="8">
        <v>8681</v>
      </c>
      <c r="E233" s="8">
        <v>7623</v>
      </c>
      <c r="F233" s="8">
        <v>8827</v>
      </c>
      <c r="G233" s="8">
        <v>9390</v>
      </c>
      <c r="H233" s="8">
        <v>9225</v>
      </c>
      <c r="I233" s="8">
        <v>9870</v>
      </c>
      <c r="J233" s="8">
        <v>10570</v>
      </c>
      <c r="K233" s="73">
        <v>16777</v>
      </c>
      <c r="L233" s="73">
        <v>10345</v>
      </c>
      <c r="M233" s="73">
        <v>91308</v>
      </c>
      <c r="N233" s="73">
        <f>L233-K233</f>
        <v>-6432</v>
      </c>
    </row>
    <row r="234" spans="1:14" s="74" customFormat="1" ht="10" x14ac:dyDescent="0.2">
      <c r="E234" s="74">
        <v>-12</v>
      </c>
      <c r="F234" s="74">
        <v>16</v>
      </c>
      <c r="G234" s="74">
        <v>6</v>
      </c>
      <c r="H234" s="74">
        <v>-2</v>
      </c>
      <c r="I234" s="74">
        <v>7</v>
      </c>
      <c r="J234" s="74">
        <v>7</v>
      </c>
      <c r="K234" s="75">
        <v>59</v>
      </c>
      <c r="L234" s="75">
        <v>-38</v>
      </c>
      <c r="M234" s="75"/>
      <c r="N234" s="75"/>
    </row>
    <row r="235" spans="1:14" s="8" customFormat="1" ht="12.5" x14ac:dyDescent="0.25">
      <c r="A235" s="8">
        <v>150</v>
      </c>
      <c r="B235" s="8" t="s">
        <v>563</v>
      </c>
      <c r="C235" s="8" t="s">
        <v>283</v>
      </c>
      <c r="D235" s="8">
        <v>4187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73">
        <v>0</v>
      </c>
      <c r="L235" s="73">
        <v>0</v>
      </c>
      <c r="M235" s="73">
        <v>4187</v>
      </c>
      <c r="N235" s="73">
        <f>L235-K235</f>
        <v>0</v>
      </c>
    </row>
    <row r="236" spans="1:14" s="74" customFormat="1" ht="10" x14ac:dyDescent="0.2">
      <c r="K236" s="75"/>
      <c r="L236" s="75"/>
      <c r="M236" s="75"/>
      <c r="N236" s="75"/>
    </row>
    <row r="237" spans="1:14" s="8" customFormat="1" ht="12.5" x14ac:dyDescent="0.25">
      <c r="A237" s="8">
        <v>151</v>
      </c>
      <c r="B237" s="8" t="s">
        <v>388</v>
      </c>
      <c r="C237" s="8" t="s">
        <v>389</v>
      </c>
      <c r="D237" s="8">
        <v>11388</v>
      </c>
      <c r="E237" s="8">
        <v>7525</v>
      </c>
      <c r="F237" s="8">
        <v>4818</v>
      </c>
      <c r="G237" s="8">
        <v>7537</v>
      </c>
      <c r="H237" s="8">
        <v>6445</v>
      </c>
      <c r="I237" s="8">
        <v>1075</v>
      </c>
      <c r="J237" s="8">
        <v>10787</v>
      </c>
      <c r="K237" s="73">
        <v>19601</v>
      </c>
      <c r="L237" s="73">
        <v>8602</v>
      </c>
      <c r="M237" s="73">
        <v>77778</v>
      </c>
      <c r="N237" s="76">
        <f>L237-K237</f>
        <v>-10999</v>
      </c>
    </row>
    <row r="238" spans="1:14" s="74" customFormat="1" ht="10" x14ac:dyDescent="0.2">
      <c r="E238" s="74">
        <v>-34</v>
      </c>
      <c r="F238" s="74">
        <v>-36</v>
      </c>
      <c r="G238" s="74">
        <v>56</v>
      </c>
      <c r="H238" s="74">
        <v>-14</v>
      </c>
      <c r="I238" s="74">
        <v>-83</v>
      </c>
      <c r="J238" s="74">
        <v>903</v>
      </c>
      <c r="K238" s="75">
        <v>82</v>
      </c>
      <c r="L238" s="75">
        <v>-56</v>
      </c>
      <c r="M238" s="75"/>
      <c r="N238" s="75"/>
    </row>
    <row r="239" spans="1:14" s="8" customFormat="1" ht="12.5" x14ac:dyDescent="0.25">
      <c r="A239" s="8">
        <v>152</v>
      </c>
      <c r="B239" s="8" t="s">
        <v>564</v>
      </c>
      <c r="C239" s="8" t="s">
        <v>565</v>
      </c>
      <c r="D239" s="8">
        <v>7159</v>
      </c>
      <c r="E239" s="8">
        <v>4969</v>
      </c>
      <c r="F239" s="8">
        <v>3340</v>
      </c>
      <c r="G239" s="8">
        <v>0</v>
      </c>
      <c r="H239" s="8">
        <v>0</v>
      </c>
      <c r="I239" s="8">
        <v>0</v>
      </c>
      <c r="J239" s="8">
        <v>0</v>
      </c>
      <c r="K239" s="73">
        <v>0</v>
      </c>
      <c r="L239" s="73">
        <v>0</v>
      </c>
      <c r="M239" s="73">
        <v>15468</v>
      </c>
      <c r="N239" s="73">
        <f>L239-K239</f>
        <v>0</v>
      </c>
    </row>
    <row r="240" spans="1:14" s="74" customFormat="1" ht="10" x14ac:dyDescent="0.2">
      <c r="E240" s="74">
        <v>-31</v>
      </c>
      <c r="F240" s="74">
        <v>-33</v>
      </c>
      <c r="K240" s="75"/>
      <c r="L240" s="75"/>
      <c r="M240" s="75"/>
      <c r="N240" s="75"/>
    </row>
    <row r="241" spans="1:14" s="8" customFormat="1" ht="12.5" x14ac:dyDescent="0.25">
      <c r="A241" s="8">
        <v>153</v>
      </c>
      <c r="B241" s="8" t="s">
        <v>516</v>
      </c>
      <c r="C241" s="8" t="s">
        <v>517</v>
      </c>
      <c r="D241" s="8">
        <v>5292</v>
      </c>
      <c r="E241" s="8">
        <v>2642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73">
        <v>0</v>
      </c>
      <c r="L241" s="73">
        <v>0</v>
      </c>
      <c r="M241" s="73">
        <v>7934</v>
      </c>
      <c r="N241" s="73">
        <f>L241-K241</f>
        <v>0</v>
      </c>
    </row>
    <row r="242" spans="1:14" s="74" customFormat="1" ht="10" x14ac:dyDescent="0.2">
      <c r="E242" s="74">
        <v>-50</v>
      </c>
      <c r="K242" s="75"/>
      <c r="L242" s="75"/>
      <c r="M242" s="75"/>
      <c r="N242" s="75"/>
    </row>
    <row r="243" spans="1:14" s="8" customFormat="1" ht="12.5" x14ac:dyDescent="0.25">
      <c r="A243" s="8">
        <v>154</v>
      </c>
      <c r="B243" s="8" t="s">
        <v>271</v>
      </c>
      <c r="C243" s="8" t="s">
        <v>272</v>
      </c>
      <c r="D243" s="8">
        <v>4200</v>
      </c>
      <c r="E243" s="8">
        <v>7001</v>
      </c>
      <c r="F243" s="8">
        <v>11198</v>
      </c>
      <c r="G243" s="8">
        <v>8543</v>
      </c>
      <c r="H243" s="8">
        <v>9085</v>
      </c>
      <c r="I243" s="8">
        <v>9076</v>
      </c>
      <c r="J243" s="8">
        <v>8863</v>
      </c>
      <c r="K243" s="73">
        <v>7563</v>
      </c>
      <c r="L243" s="73">
        <v>7917</v>
      </c>
      <c r="M243" s="73">
        <v>73446</v>
      </c>
      <c r="N243" s="73">
        <f>L243-K243</f>
        <v>354</v>
      </c>
    </row>
    <row r="244" spans="1:14" s="74" customFormat="1" ht="10" x14ac:dyDescent="0.2">
      <c r="E244" s="74">
        <v>67</v>
      </c>
      <c r="F244" s="74">
        <v>60</v>
      </c>
      <c r="G244" s="74">
        <v>-24</v>
      </c>
      <c r="H244" s="74">
        <v>6</v>
      </c>
      <c r="I244" s="74">
        <v>0</v>
      </c>
      <c r="J244" s="74">
        <v>-2</v>
      </c>
      <c r="K244" s="75">
        <v>-15</v>
      </c>
      <c r="L244" s="75">
        <v>5</v>
      </c>
      <c r="M244" s="75"/>
      <c r="N244" s="75"/>
    </row>
    <row r="245" spans="1:14" s="8" customFormat="1" ht="12.5" x14ac:dyDescent="0.25">
      <c r="A245" s="8">
        <v>155</v>
      </c>
      <c r="B245" s="8" t="s">
        <v>273</v>
      </c>
      <c r="C245" s="8" t="s">
        <v>91</v>
      </c>
      <c r="D245" s="8">
        <v>4538</v>
      </c>
      <c r="E245" s="8">
        <v>1813</v>
      </c>
      <c r="F245" s="8">
        <v>4870</v>
      </c>
      <c r="G245" s="8">
        <v>4330</v>
      </c>
      <c r="H245" s="8">
        <v>4781</v>
      </c>
      <c r="I245" s="8">
        <v>9161</v>
      </c>
      <c r="J245" s="8">
        <v>1587</v>
      </c>
      <c r="K245" s="73">
        <v>3370</v>
      </c>
      <c r="L245" s="73">
        <v>3251</v>
      </c>
      <c r="M245" s="73">
        <v>37701</v>
      </c>
      <c r="N245" s="73">
        <f>L245-K245</f>
        <v>-119</v>
      </c>
    </row>
    <row r="246" spans="1:14" s="74" customFormat="1" ht="10" x14ac:dyDescent="0.2">
      <c r="E246" s="74">
        <v>-60</v>
      </c>
      <c r="F246" s="74">
        <v>169</v>
      </c>
      <c r="G246" s="74">
        <v>-11</v>
      </c>
      <c r="H246" s="74">
        <v>10</v>
      </c>
      <c r="I246" s="74">
        <v>92</v>
      </c>
      <c r="J246" s="74">
        <v>-83</v>
      </c>
      <c r="K246" s="75">
        <v>112</v>
      </c>
      <c r="L246" s="75">
        <v>-4</v>
      </c>
      <c r="M246" s="75"/>
      <c r="N246" s="75"/>
    </row>
    <row r="247" spans="1:14" s="8" customFormat="1" ht="12.5" x14ac:dyDescent="0.25">
      <c r="A247" s="8">
        <v>159</v>
      </c>
      <c r="B247" s="8" t="s">
        <v>518</v>
      </c>
      <c r="C247" s="8" t="s">
        <v>519</v>
      </c>
      <c r="D247" s="8">
        <v>2416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73">
        <v>0</v>
      </c>
      <c r="L247" s="73">
        <v>0</v>
      </c>
      <c r="M247" s="73">
        <v>2416</v>
      </c>
      <c r="N247" s="73">
        <f>L247-K247</f>
        <v>0</v>
      </c>
    </row>
    <row r="248" spans="1:14" s="74" customFormat="1" ht="10" x14ac:dyDescent="0.2">
      <c r="K248" s="75"/>
      <c r="L248" s="75"/>
      <c r="M248" s="75"/>
      <c r="N248" s="75"/>
    </row>
    <row r="249" spans="1:14" s="8" customFormat="1" ht="12.5" x14ac:dyDescent="0.25">
      <c r="A249" s="8">
        <v>160</v>
      </c>
      <c r="B249" s="8" t="s">
        <v>520</v>
      </c>
      <c r="C249" s="8" t="s">
        <v>521</v>
      </c>
      <c r="D249" s="8">
        <v>3316</v>
      </c>
      <c r="E249" s="8">
        <v>3515</v>
      </c>
      <c r="F249" s="8">
        <v>1447</v>
      </c>
      <c r="G249" s="8">
        <v>3061</v>
      </c>
      <c r="H249" s="8">
        <v>1722</v>
      </c>
      <c r="I249" s="8">
        <v>0</v>
      </c>
      <c r="J249" s="8">
        <v>1523</v>
      </c>
      <c r="K249" s="73">
        <v>3413</v>
      </c>
      <c r="L249" s="73">
        <v>0</v>
      </c>
      <c r="M249" s="73">
        <v>17997</v>
      </c>
      <c r="N249" s="73">
        <f>L249-K249</f>
        <v>-3413</v>
      </c>
    </row>
    <row r="250" spans="1:14" s="74" customFormat="1" ht="10" x14ac:dyDescent="0.2">
      <c r="E250" s="74">
        <v>6</v>
      </c>
      <c r="F250" s="74">
        <v>-59</v>
      </c>
      <c r="G250" s="74">
        <v>112</v>
      </c>
      <c r="H250" s="74">
        <v>-44</v>
      </c>
      <c r="K250" s="75">
        <v>124</v>
      </c>
      <c r="L250" s="75"/>
      <c r="M250" s="75"/>
      <c r="N250" s="75"/>
    </row>
    <row r="251" spans="1:14" s="8" customFormat="1" ht="12.5" x14ac:dyDescent="0.25">
      <c r="A251" s="8">
        <v>161</v>
      </c>
      <c r="B251" s="8" t="s">
        <v>393</v>
      </c>
      <c r="C251" s="8" t="s">
        <v>394</v>
      </c>
      <c r="D251" s="8">
        <v>31056</v>
      </c>
      <c r="E251" s="8">
        <v>30812</v>
      </c>
      <c r="F251" s="8">
        <v>30812</v>
      </c>
      <c r="G251" s="8">
        <v>30812</v>
      </c>
      <c r="H251" s="8">
        <v>30812</v>
      </c>
      <c r="I251" s="8">
        <v>30812</v>
      </c>
      <c r="J251" s="8">
        <v>31553</v>
      </c>
      <c r="K251" s="73">
        <v>31553</v>
      </c>
      <c r="L251" s="73">
        <v>31568</v>
      </c>
      <c r="M251" s="73">
        <v>279790</v>
      </c>
      <c r="N251" s="73">
        <f>L251-K251</f>
        <v>15</v>
      </c>
    </row>
    <row r="252" spans="1:14" s="74" customFormat="1" ht="10" x14ac:dyDescent="0.2">
      <c r="E252" s="74">
        <v>-1</v>
      </c>
      <c r="F252" s="74">
        <v>0</v>
      </c>
      <c r="G252" s="74">
        <v>0</v>
      </c>
      <c r="H252" s="74">
        <v>0</v>
      </c>
      <c r="I252" s="74">
        <v>0</v>
      </c>
      <c r="J252" s="74">
        <v>2</v>
      </c>
      <c r="K252" s="75">
        <v>0</v>
      </c>
      <c r="L252" s="75">
        <v>0</v>
      </c>
      <c r="M252" s="75"/>
      <c r="N252" s="75"/>
    </row>
    <row r="253" spans="1:14" s="8" customFormat="1" ht="12.5" x14ac:dyDescent="0.25">
      <c r="A253" s="8">
        <v>162</v>
      </c>
      <c r="B253" s="8" t="s">
        <v>313</v>
      </c>
      <c r="C253" s="8" t="s">
        <v>314</v>
      </c>
      <c r="D253" s="8">
        <v>4907</v>
      </c>
      <c r="E253" s="8">
        <v>3380</v>
      </c>
      <c r="F253" s="8">
        <v>6045</v>
      </c>
      <c r="G253" s="8">
        <v>6474</v>
      </c>
      <c r="H253" s="8">
        <v>5175</v>
      </c>
      <c r="I253" s="8">
        <v>4966</v>
      </c>
      <c r="J253" s="8">
        <v>2513</v>
      </c>
      <c r="K253" s="73">
        <v>6895</v>
      </c>
      <c r="L253" s="73">
        <v>3732</v>
      </c>
      <c r="M253" s="73">
        <v>44087</v>
      </c>
      <c r="N253" s="73">
        <f>L253-K253</f>
        <v>-3163</v>
      </c>
    </row>
    <row r="254" spans="1:14" s="74" customFormat="1" ht="10" x14ac:dyDescent="0.2">
      <c r="E254" s="74">
        <v>-31</v>
      </c>
      <c r="F254" s="74">
        <v>79</v>
      </c>
      <c r="G254" s="74">
        <v>7</v>
      </c>
      <c r="H254" s="74">
        <v>-20</v>
      </c>
      <c r="I254" s="74">
        <v>-4</v>
      </c>
      <c r="J254" s="74">
        <v>-49</v>
      </c>
      <c r="K254" s="75">
        <v>174</v>
      </c>
      <c r="L254" s="75">
        <v>-46</v>
      </c>
      <c r="M254" s="75"/>
      <c r="N254" s="75"/>
    </row>
    <row r="255" spans="1:14" s="8" customFormat="1" ht="12.5" x14ac:dyDescent="0.25">
      <c r="A255" s="8">
        <v>163</v>
      </c>
      <c r="B255" s="8" t="s">
        <v>296</v>
      </c>
      <c r="C255" s="8" t="s">
        <v>297</v>
      </c>
      <c r="D255" s="8">
        <v>13330</v>
      </c>
      <c r="E255" s="8">
        <v>13330</v>
      </c>
      <c r="F255" s="8">
        <v>13416</v>
      </c>
      <c r="G255" s="8">
        <v>13447</v>
      </c>
      <c r="H255" s="8">
        <v>13481</v>
      </c>
      <c r="I255" s="8">
        <v>13352</v>
      </c>
      <c r="J255" s="8">
        <v>13601</v>
      </c>
      <c r="K255" s="73">
        <v>13440</v>
      </c>
      <c r="L255" s="73">
        <v>13728</v>
      </c>
      <c r="M255" s="73">
        <v>121125</v>
      </c>
      <c r="N255" s="73">
        <f>L255-K255</f>
        <v>288</v>
      </c>
    </row>
    <row r="256" spans="1:14" s="74" customFormat="1" ht="10" x14ac:dyDescent="0.2">
      <c r="E256" s="74">
        <v>0</v>
      </c>
      <c r="F256" s="74">
        <v>1</v>
      </c>
      <c r="G256" s="74">
        <v>0</v>
      </c>
      <c r="H256" s="74">
        <v>0</v>
      </c>
      <c r="I256" s="74">
        <v>-1</v>
      </c>
      <c r="J256" s="74">
        <v>2</v>
      </c>
      <c r="K256" s="75">
        <v>-1</v>
      </c>
      <c r="L256" s="75">
        <v>2</v>
      </c>
      <c r="M256" s="75"/>
      <c r="N256" s="75"/>
    </row>
    <row r="257" spans="1:14" s="8" customFormat="1" ht="12.5" x14ac:dyDescent="0.25">
      <c r="A257" s="8">
        <v>164</v>
      </c>
      <c r="B257" s="8" t="s">
        <v>522</v>
      </c>
      <c r="C257" s="8" t="s">
        <v>523</v>
      </c>
      <c r="D257" s="8">
        <v>1007</v>
      </c>
      <c r="E257" s="8">
        <v>3747</v>
      </c>
      <c r="F257" s="8">
        <v>6116</v>
      </c>
      <c r="G257" s="8">
        <v>0</v>
      </c>
      <c r="H257" s="8">
        <v>0</v>
      </c>
      <c r="I257" s="8">
        <v>0</v>
      </c>
      <c r="J257" s="8">
        <v>0</v>
      </c>
      <c r="K257" s="73">
        <v>0</v>
      </c>
      <c r="L257" s="73">
        <v>0</v>
      </c>
      <c r="M257" s="73">
        <v>10870</v>
      </c>
      <c r="N257" s="73">
        <f>L257-K257</f>
        <v>0</v>
      </c>
    </row>
    <row r="258" spans="1:14" s="74" customFormat="1" ht="10" x14ac:dyDescent="0.2">
      <c r="E258" s="74">
        <v>272</v>
      </c>
      <c r="F258" s="74">
        <v>63</v>
      </c>
      <c r="K258" s="75"/>
      <c r="L258" s="75"/>
      <c r="M258" s="75"/>
      <c r="N258" s="75"/>
    </row>
    <row r="259" spans="1:14" s="8" customFormat="1" ht="12.5" x14ac:dyDescent="0.25">
      <c r="A259" s="8">
        <v>165</v>
      </c>
      <c r="B259" s="8" t="s">
        <v>524</v>
      </c>
      <c r="C259" s="8" t="s">
        <v>525</v>
      </c>
      <c r="D259" s="8">
        <v>328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73">
        <v>0</v>
      </c>
      <c r="L259" s="73">
        <v>0</v>
      </c>
      <c r="M259" s="73">
        <v>328</v>
      </c>
      <c r="N259" s="73">
        <f>L259-K259</f>
        <v>0</v>
      </c>
    </row>
    <row r="260" spans="1:14" s="74" customFormat="1" ht="10" x14ac:dyDescent="0.2">
      <c r="K260" s="75"/>
      <c r="L260" s="75"/>
      <c r="M260" s="75"/>
      <c r="N260" s="75"/>
    </row>
    <row r="261" spans="1:14" s="8" customFormat="1" ht="12.5" x14ac:dyDescent="0.25">
      <c r="A261" s="8">
        <v>166</v>
      </c>
      <c r="B261" s="8" t="s">
        <v>274</v>
      </c>
      <c r="C261" s="8" t="s">
        <v>275</v>
      </c>
      <c r="D261" s="8">
        <v>4641</v>
      </c>
      <c r="E261" s="8">
        <v>5510</v>
      </c>
      <c r="F261" s="8">
        <v>6020</v>
      </c>
      <c r="G261" s="8">
        <v>7816</v>
      </c>
      <c r="H261" s="8">
        <v>10432</v>
      </c>
      <c r="I261" s="8">
        <v>15851</v>
      </c>
      <c r="J261" s="8">
        <v>11040</v>
      </c>
      <c r="K261" s="73">
        <v>12245</v>
      </c>
      <c r="L261" s="73">
        <v>10315</v>
      </c>
      <c r="M261" s="73">
        <v>83870</v>
      </c>
      <c r="N261" s="73">
        <f>L261-K261</f>
        <v>-1930</v>
      </c>
    </row>
    <row r="262" spans="1:14" s="74" customFormat="1" ht="10" x14ac:dyDescent="0.2">
      <c r="E262" s="74">
        <v>19</v>
      </c>
      <c r="F262" s="74">
        <v>9</v>
      </c>
      <c r="G262" s="74">
        <v>30</v>
      </c>
      <c r="H262" s="74">
        <v>33</v>
      </c>
      <c r="I262" s="74">
        <v>52</v>
      </c>
      <c r="J262" s="74">
        <v>-30</v>
      </c>
      <c r="K262" s="75">
        <v>11</v>
      </c>
      <c r="L262" s="75">
        <v>-16</v>
      </c>
      <c r="M262" s="75"/>
      <c r="N262" s="75"/>
    </row>
    <row r="263" spans="1:14" s="8" customFormat="1" ht="12.5" x14ac:dyDescent="0.25">
      <c r="A263" s="8">
        <v>167</v>
      </c>
      <c r="B263" s="8" t="s">
        <v>526</v>
      </c>
      <c r="C263" s="8" t="s">
        <v>319</v>
      </c>
      <c r="D263" s="8">
        <v>0</v>
      </c>
      <c r="E263" s="8">
        <v>1802</v>
      </c>
      <c r="F263" s="8">
        <v>4337</v>
      </c>
      <c r="G263" s="8">
        <v>0</v>
      </c>
      <c r="H263" s="8">
        <v>0</v>
      </c>
      <c r="I263" s="8">
        <v>0</v>
      </c>
      <c r="J263" s="8">
        <v>0</v>
      </c>
      <c r="K263" s="73">
        <v>0</v>
      </c>
      <c r="L263" s="73">
        <v>0</v>
      </c>
      <c r="M263" s="73">
        <v>6139</v>
      </c>
      <c r="N263" s="73">
        <f>L263-K263</f>
        <v>0</v>
      </c>
    </row>
    <row r="264" spans="1:14" s="74" customFormat="1" ht="10" x14ac:dyDescent="0.2">
      <c r="F264" s="74">
        <v>141</v>
      </c>
      <c r="K264" s="75"/>
      <c r="L264" s="75"/>
      <c r="M264" s="75"/>
      <c r="N264" s="75"/>
    </row>
    <row r="265" spans="1:14" s="8" customFormat="1" ht="12.5" x14ac:dyDescent="0.25">
      <c r="A265" s="8">
        <v>168</v>
      </c>
      <c r="B265" s="8" t="s">
        <v>175</v>
      </c>
      <c r="C265" s="8" t="s">
        <v>567</v>
      </c>
      <c r="D265" s="8">
        <v>0</v>
      </c>
      <c r="E265" s="8">
        <v>0</v>
      </c>
      <c r="F265" s="8">
        <v>18678</v>
      </c>
      <c r="G265" s="8">
        <v>29404</v>
      </c>
      <c r="H265" s="8">
        <v>29374</v>
      </c>
      <c r="I265" s="8">
        <v>29374</v>
      </c>
      <c r="J265" s="8">
        <v>29374</v>
      </c>
      <c r="K265" s="73">
        <v>29374</v>
      </c>
      <c r="L265" s="73">
        <v>32816</v>
      </c>
      <c r="M265" s="73">
        <v>198394</v>
      </c>
      <c r="N265" s="73">
        <f>L265-K265</f>
        <v>3442</v>
      </c>
    </row>
    <row r="266" spans="1:14" s="74" customFormat="1" ht="10" x14ac:dyDescent="0.2">
      <c r="G266" s="74">
        <v>57</v>
      </c>
      <c r="H266" s="74">
        <v>0</v>
      </c>
      <c r="I266" s="74">
        <v>0</v>
      </c>
      <c r="J266" s="74">
        <v>0</v>
      </c>
      <c r="K266" s="75">
        <v>0</v>
      </c>
      <c r="L266" s="75">
        <v>12</v>
      </c>
      <c r="M266" s="75"/>
      <c r="N266" s="75"/>
    </row>
    <row r="267" spans="1:14" s="8" customFormat="1" ht="12.5" x14ac:dyDescent="0.25">
      <c r="A267" s="8">
        <v>169</v>
      </c>
      <c r="B267" s="8" t="s">
        <v>558</v>
      </c>
      <c r="C267" s="8" t="s">
        <v>542</v>
      </c>
      <c r="D267" s="8">
        <v>0</v>
      </c>
      <c r="E267" s="8">
        <v>0</v>
      </c>
      <c r="F267" s="8">
        <v>8139</v>
      </c>
      <c r="G267" s="8">
        <v>7286</v>
      </c>
      <c r="H267" s="8">
        <v>5196</v>
      </c>
      <c r="I267" s="8">
        <v>0</v>
      </c>
      <c r="J267" s="8">
        <v>0</v>
      </c>
      <c r="K267" s="73">
        <v>0</v>
      </c>
      <c r="L267" s="73">
        <v>0</v>
      </c>
      <c r="M267" s="73">
        <v>20621</v>
      </c>
      <c r="N267" s="73">
        <f>L267-K267</f>
        <v>0</v>
      </c>
    </row>
    <row r="268" spans="1:14" s="74" customFormat="1" ht="10" x14ac:dyDescent="0.2">
      <c r="G268" s="74">
        <v>-10</v>
      </c>
      <c r="H268" s="74">
        <v>-29</v>
      </c>
      <c r="K268" s="75"/>
      <c r="L268" s="75"/>
      <c r="M268" s="75"/>
      <c r="N268" s="75"/>
    </row>
    <row r="269" spans="1:14" s="8" customFormat="1" ht="12.5" x14ac:dyDescent="0.25">
      <c r="A269" s="8">
        <v>170</v>
      </c>
      <c r="B269" s="8" t="s">
        <v>230</v>
      </c>
      <c r="C269" s="8" t="s">
        <v>231</v>
      </c>
      <c r="D269" s="8">
        <v>0</v>
      </c>
      <c r="E269" s="8">
        <v>0</v>
      </c>
      <c r="F269" s="8">
        <v>11141</v>
      </c>
      <c r="G269" s="8">
        <v>11261</v>
      </c>
      <c r="H269" s="8">
        <v>11173</v>
      </c>
      <c r="I269" s="8">
        <v>17052</v>
      </c>
      <c r="J269" s="8">
        <v>12721</v>
      </c>
      <c r="K269" s="73">
        <v>12688</v>
      </c>
      <c r="L269" s="73">
        <v>12557</v>
      </c>
      <c r="M269" s="73">
        <v>88593</v>
      </c>
      <c r="N269" s="73">
        <f>L269-K269</f>
        <v>-131</v>
      </c>
    </row>
    <row r="270" spans="1:14" s="74" customFormat="1" ht="10" x14ac:dyDescent="0.2">
      <c r="G270" s="74">
        <v>1</v>
      </c>
      <c r="H270" s="74">
        <v>-1</v>
      </c>
      <c r="I270" s="74">
        <v>53</v>
      </c>
      <c r="J270" s="74">
        <v>-25</v>
      </c>
      <c r="K270" s="75">
        <v>0</v>
      </c>
      <c r="L270" s="75">
        <v>-1</v>
      </c>
      <c r="M270" s="75"/>
      <c r="N270" s="75"/>
    </row>
    <row r="271" spans="1:14" s="8" customFormat="1" ht="12.5" x14ac:dyDescent="0.25">
      <c r="A271" s="8">
        <v>171</v>
      </c>
      <c r="B271" s="8" t="s">
        <v>503</v>
      </c>
      <c r="C271" s="8" t="s">
        <v>504</v>
      </c>
      <c r="D271" s="8">
        <v>0</v>
      </c>
      <c r="E271" s="8">
        <v>0</v>
      </c>
      <c r="F271" s="8">
        <v>11173</v>
      </c>
      <c r="G271" s="8">
        <v>11228</v>
      </c>
      <c r="H271" s="8">
        <v>11173</v>
      </c>
      <c r="I271" s="8">
        <v>16987</v>
      </c>
      <c r="J271" s="8">
        <v>12656</v>
      </c>
      <c r="K271" s="73">
        <v>12753</v>
      </c>
      <c r="L271" s="73">
        <v>12461</v>
      </c>
      <c r="M271" s="73">
        <v>88431</v>
      </c>
      <c r="N271" s="73">
        <f>L271-K271</f>
        <v>-292</v>
      </c>
    </row>
    <row r="272" spans="1:14" s="74" customFormat="1" ht="10" x14ac:dyDescent="0.2">
      <c r="G272" s="74">
        <v>0</v>
      </c>
      <c r="H272" s="74">
        <v>0</v>
      </c>
      <c r="I272" s="74">
        <v>52</v>
      </c>
      <c r="J272" s="74">
        <v>-25</v>
      </c>
      <c r="K272" s="75">
        <v>1</v>
      </c>
      <c r="L272" s="75">
        <v>-2</v>
      </c>
      <c r="M272" s="75"/>
      <c r="N272" s="75"/>
    </row>
    <row r="273" spans="1:14" s="8" customFormat="1" ht="12.5" x14ac:dyDescent="0.25">
      <c r="A273" s="8">
        <v>172</v>
      </c>
      <c r="B273" s="8" t="s">
        <v>230</v>
      </c>
      <c r="C273" s="8" t="s">
        <v>232</v>
      </c>
      <c r="D273" s="8">
        <v>0</v>
      </c>
      <c r="E273" s="8">
        <v>0</v>
      </c>
      <c r="F273" s="8">
        <v>11141</v>
      </c>
      <c r="G273" s="8">
        <v>11228</v>
      </c>
      <c r="H273" s="8">
        <v>11173</v>
      </c>
      <c r="I273" s="8">
        <v>17149</v>
      </c>
      <c r="J273" s="8">
        <v>12753</v>
      </c>
      <c r="K273" s="73">
        <v>12656</v>
      </c>
      <c r="L273" s="73">
        <v>12654</v>
      </c>
      <c r="M273" s="73">
        <v>88754</v>
      </c>
      <c r="N273" s="73">
        <f>L273-K273</f>
        <v>-2</v>
      </c>
    </row>
    <row r="274" spans="1:14" s="74" customFormat="1" ht="10" x14ac:dyDescent="0.2">
      <c r="G274" s="74">
        <v>1</v>
      </c>
      <c r="H274" s="74">
        <v>0</v>
      </c>
      <c r="I274" s="74">
        <v>53</v>
      </c>
      <c r="J274" s="74">
        <v>-26</v>
      </c>
      <c r="K274" s="75">
        <v>-1</v>
      </c>
      <c r="L274" s="75">
        <v>0</v>
      </c>
      <c r="M274" s="75"/>
      <c r="N274" s="75"/>
    </row>
    <row r="275" spans="1:14" s="8" customFormat="1" ht="12.5" x14ac:dyDescent="0.25">
      <c r="A275" s="8">
        <v>173</v>
      </c>
      <c r="B275" s="8" t="s">
        <v>233</v>
      </c>
      <c r="C275" s="8" t="s">
        <v>234</v>
      </c>
      <c r="D275" s="8">
        <v>0</v>
      </c>
      <c r="E275" s="8">
        <v>0</v>
      </c>
      <c r="F275" s="8">
        <v>11205</v>
      </c>
      <c r="G275" s="8">
        <v>11228</v>
      </c>
      <c r="H275" s="8">
        <v>11205</v>
      </c>
      <c r="I275" s="8">
        <v>16955</v>
      </c>
      <c r="J275" s="8">
        <v>12721</v>
      </c>
      <c r="K275" s="73">
        <v>12462</v>
      </c>
      <c r="L275" s="73">
        <v>12719</v>
      </c>
      <c r="M275" s="73">
        <v>88495</v>
      </c>
      <c r="N275" s="73">
        <f>L275-K275</f>
        <v>257</v>
      </c>
    </row>
    <row r="276" spans="1:14" s="74" customFormat="1" ht="10" x14ac:dyDescent="0.2">
      <c r="G276" s="74">
        <v>0</v>
      </c>
      <c r="H276" s="74">
        <v>0</v>
      </c>
      <c r="I276" s="74">
        <v>51</v>
      </c>
      <c r="J276" s="74">
        <v>-25</v>
      </c>
      <c r="K276" s="75">
        <v>-2</v>
      </c>
      <c r="L276" s="75">
        <v>2</v>
      </c>
      <c r="M276" s="75"/>
      <c r="N276" s="75"/>
    </row>
    <row r="277" spans="1:14" s="8" customFormat="1" ht="12.5" x14ac:dyDescent="0.25">
      <c r="A277" s="8">
        <v>174</v>
      </c>
      <c r="B277" s="8" t="s">
        <v>235</v>
      </c>
      <c r="C277" s="8" t="s">
        <v>236</v>
      </c>
      <c r="D277" s="8">
        <v>0</v>
      </c>
      <c r="E277" s="8">
        <v>0</v>
      </c>
      <c r="F277" s="8">
        <v>10947</v>
      </c>
      <c r="G277" s="8">
        <v>11228</v>
      </c>
      <c r="H277" s="8">
        <v>11109</v>
      </c>
      <c r="I277" s="8">
        <v>17213</v>
      </c>
      <c r="J277" s="8">
        <v>12753</v>
      </c>
      <c r="K277" s="73">
        <v>12559</v>
      </c>
      <c r="L277" s="73">
        <v>12557</v>
      </c>
      <c r="M277" s="73">
        <v>88366</v>
      </c>
      <c r="N277" s="73">
        <f>L277-K277</f>
        <v>-2</v>
      </c>
    </row>
    <row r="278" spans="1:14" s="74" customFormat="1" ht="10" x14ac:dyDescent="0.2">
      <c r="G278" s="74">
        <v>3</v>
      </c>
      <c r="H278" s="74">
        <v>-1</v>
      </c>
      <c r="I278" s="74">
        <v>55</v>
      </c>
      <c r="J278" s="74">
        <v>-26</v>
      </c>
      <c r="K278" s="75">
        <v>-2</v>
      </c>
      <c r="L278" s="75">
        <v>0</v>
      </c>
      <c r="M278" s="75"/>
      <c r="N278" s="75"/>
    </row>
    <row r="279" spans="1:14" s="8" customFormat="1" ht="12.5" x14ac:dyDescent="0.25">
      <c r="A279" s="8">
        <v>175</v>
      </c>
      <c r="B279" s="8" t="s">
        <v>237</v>
      </c>
      <c r="C279" s="8" t="s">
        <v>213</v>
      </c>
      <c r="D279" s="8">
        <v>0</v>
      </c>
      <c r="E279" s="8">
        <v>0</v>
      </c>
      <c r="F279" s="8">
        <v>11076</v>
      </c>
      <c r="G279" s="8">
        <v>11164</v>
      </c>
      <c r="H279" s="8">
        <v>6504</v>
      </c>
      <c r="I279" s="8">
        <v>16181</v>
      </c>
      <c r="J279" s="8">
        <v>12462</v>
      </c>
      <c r="K279" s="73">
        <v>12753</v>
      </c>
      <c r="L279" s="73">
        <v>12687</v>
      </c>
      <c r="M279" s="73">
        <v>82827</v>
      </c>
      <c r="N279" s="73">
        <f>L279-K279</f>
        <v>-66</v>
      </c>
    </row>
    <row r="280" spans="1:14" s="74" customFormat="1" ht="10" x14ac:dyDescent="0.2">
      <c r="G280" s="74">
        <v>1</v>
      </c>
      <c r="H280" s="74">
        <v>-42</v>
      </c>
      <c r="I280" s="74">
        <v>149</v>
      </c>
      <c r="J280" s="74">
        <v>-23</v>
      </c>
      <c r="K280" s="75">
        <v>2</v>
      </c>
      <c r="L280" s="75">
        <v>-1</v>
      </c>
      <c r="M280" s="75"/>
      <c r="N280" s="75"/>
    </row>
    <row r="281" spans="1:14" s="8" customFormat="1" ht="12.5" x14ac:dyDescent="0.25">
      <c r="A281" s="8">
        <v>176</v>
      </c>
      <c r="B281" s="8" t="s">
        <v>527</v>
      </c>
      <c r="C281" s="8" t="s">
        <v>245</v>
      </c>
      <c r="D281" s="8">
        <v>0</v>
      </c>
      <c r="E281" s="8">
        <v>0</v>
      </c>
      <c r="F281" s="8">
        <v>3404</v>
      </c>
      <c r="G281" s="8">
        <v>4579</v>
      </c>
      <c r="H281" s="8">
        <v>5043</v>
      </c>
      <c r="I281" s="8">
        <v>3104</v>
      </c>
      <c r="J281" s="8">
        <v>4405</v>
      </c>
      <c r="K281" s="73">
        <v>2636</v>
      </c>
      <c r="L281" s="73">
        <v>3936</v>
      </c>
      <c r="M281" s="73">
        <v>27107</v>
      </c>
      <c r="N281" s="73">
        <f>L281-K281</f>
        <v>1300</v>
      </c>
    </row>
    <row r="282" spans="1:14" s="74" customFormat="1" ht="10" x14ac:dyDescent="0.2">
      <c r="G282" s="74">
        <v>35</v>
      </c>
      <c r="H282" s="74">
        <v>10</v>
      </c>
      <c r="I282" s="74">
        <v>-38</v>
      </c>
      <c r="J282" s="74">
        <v>42</v>
      </c>
      <c r="K282" s="75">
        <v>-40</v>
      </c>
      <c r="L282" s="75">
        <v>49</v>
      </c>
      <c r="M282" s="75"/>
      <c r="N282" s="75"/>
    </row>
    <row r="283" spans="1:14" s="8" customFormat="1" ht="12.5" x14ac:dyDescent="0.25">
      <c r="A283" s="8">
        <v>177</v>
      </c>
      <c r="B283" s="8" t="s">
        <v>276</v>
      </c>
      <c r="C283" s="8" t="s">
        <v>277</v>
      </c>
      <c r="D283" s="8">
        <v>0</v>
      </c>
      <c r="E283" s="8">
        <v>0</v>
      </c>
      <c r="F283" s="8">
        <v>4377</v>
      </c>
      <c r="G283" s="8">
        <v>5914</v>
      </c>
      <c r="H283" s="8">
        <v>7484</v>
      </c>
      <c r="I283" s="8">
        <v>11765</v>
      </c>
      <c r="J283" s="8">
        <v>10043</v>
      </c>
      <c r="K283" s="73">
        <v>11370</v>
      </c>
      <c r="L283" s="73">
        <v>11705</v>
      </c>
      <c r="M283" s="73">
        <v>62658</v>
      </c>
      <c r="N283" s="73">
        <f>L283-K283</f>
        <v>335</v>
      </c>
    </row>
    <row r="284" spans="1:14" s="74" customFormat="1" ht="10" x14ac:dyDescent="0.2">
      <c r="G284" s="74">
        <v>35</v>
      </c>
      <c r="H284" s="74">
        <v>27</v>
      </c>
      <c r="I284" s="74">
        <v>57</v>
      </c>
      <c r="J284" s="74">
        <v>-15</v>
      </c>
      <c r="K284" s="75">
        <v>13</v>
      </c>
      <c r="L284" s="75">
        <v>3</v>
      </c>
      <c r="M284" s="75"/>
      <c r="N284" s="75"/>
    </row>
    <row r="285" spans="1:14" s="8" customFormat="1" ht="12.5" x14ac:dyDescent="0.25">
      <c r="A285" s="8">
        <v>178</v>
      </c>
      <c r="B285" s="8" t="s">
        <v>315</v>
      </c>
      <c r="C285" s="8" t="s">
        <v>316</v>
      </c>
      <c r="D285" s="8">
        <v>0</v>
      </c>
      <c r="E285" s="8">
        <v>0</v>
      </c>
      <c r="F285" s="8">
        <v>1056</v>
      </c>
      <c r="G285" s="8">
        <v>7216</v>
      </c>
      <c r="H285" s="8">
        <v>8029</v>
      </c>
      <c r="I285" s="8">
        <v>10081</v>
      </c>
      <c r="J285" s="8">
        <v>11431</v>
      </c>
      <c r="K285" s="73">
        <v>9324</v>
      </c>
      <c r="L285" s="73">
        <v>8374</v>
      </c>
      <c r="M285" s="73">
        <v>55511</v>
      </c>
      <c r="N285" s="73">
        <f>L285-K285</f>
        <v>-950</v>
      </c>
    </row>
    <row r="286" spans="1:14" s="74" customFormat="1" ht="10" x14ac:dyDescent="0.2">
      <c r="G286" s="74">
        <v>583</v>
      </c>
      <c r="H286" s="74">
        <v>11</v>
      </c>
      <c r="I286" s="74">
        <v>26</v>
      </c>
      <c r="J286" s="74">
        <v>13</v>
      </c>
      <c r="K286" s="75">
        <v>-18</v>
      </c>
      <c r="L286" s="75">
        <v>-10</v>
      </c>
      <c r="M286" s="75"/>
      <c r="N286" s="75"/>
    </row>
    <row r="287" spans="1:14" s="8" customFormat="1" ht="12.5" x14ac:dyDescent="0.25">
      <c r="A287" s="8">
        <v>179</v>
      </c>
      <c r="B287" s="8" t="s">
        <v>551</v>
      </c>
      <c r="C287" s="8" t="s">
        <v>552</v>
      </c>
      <c r="D287" s="8">
        <v>0</v>
      </c>
      <c r="E287" s="8">
        <v>0</v>
      </c>
      <c r="F287" s="8">
        <v>0</v>
      </c>
      <c r="G287" s="8">
        <v>3161</v>
      </c>
      <c r="H287" s="8">
        <v>5220</v>
      </c>
      <c r="I287" s="8">
        <v>0</v>
      </c>
      <c r="J287" s="8">
        <v>0</v>
      </c>
      <c r="K287" s="73">
        <v>0</v>
      </c>
      <c r="L287" s="73">
        <v>0</v>
      </c>
      <c r="M287" s="73">
        <v>8381</v>
      </c>
      <c r="N287" s="73">
        <f>L287-K287</f>
        <v>0</v>
      </c>
    </row>
    <row r="288" spans="1:14" s="74" customFormat="1" ht="10" x14ac:dyDescent="0.2">
      <c r="H288" s="74">
        <v>65</v>
      </c>
      <c r="K288" s="75"/>
      <c r="L288" s="75"/>
      <c r="M288" s="75"/>
      <c r="N288" s="75"/>
    </row>
    <row r="289" spans="1:14" s="8" customFormat="1" ht="12.5" x14ac:dyDescent="0.25">
      <c r="A289" s="8">
        <v>180</v>
      </c>
      <c r="B289" s="8" t="s">
        <v>251</v>
      </c>
      <c r="C289" s="8" t="s">
        <v>505</v>
      </c>
      <c r="D289" s="8">
        <v>0</v>
      </c>
      <c r="E289" s="8">
        <v>0</v>
      </c>
      <c r="F289" s="8">
        <v>0</v>
      </c>
      <c r="G289" s="8">
        <v>10672</v>
      </c>
      <c r="H289" s="8">
        <v>3786</v>
      </c>
      <c r="I289" s="8">
        <v>3616</v>
      </c>
      <c r="J289" s="8">
        <v>16424</v>
      </c>
      <c r="K289" s="73">
        <v>16917</v>
      </c>
      <c r="L289" s="73">
        <v>12495</v>
      </c>
      <c r="M289" s="73">
        <v>63910</v>
      </c>
      <c r="N289" s="76">
        <f>L289-K289</f>
        <v>-4422</v>
      </c>
    </row>
    <row r="290" spans="1:14" s="74" customFormat="1" ht="10" x14ac:dyDescent="0.2">
      <c r="H290" s="74">
        <v>-65</v>
      </c>
      <c r="I290" s="74">
        <v>-4</v>
      </c>
      <c r="J290" s="74">
        <v>354</v>
      </c>
      <c r="K290" s="75">
        <v>3</v>
      </c>
      <c r="L290" s="75">
        <v>-26</v>
      </c>
      <c r="M290" s="75"/>
      <c r="N290" s="75"/>
    </row>
    <row r="291" spans="1:14" s="8" customFormat="1" ht="12.5" x14ac:dyDescent="0.25">
      <c r="A291" s="8">
        <v>181</v>
      </c>
      <c r="B291" s="8" t="s">
        <v>278</v>
      </c>
      <c r="C291" s="8" t="s">
        <v>279</v>
      </c>
      <c r="D291" s="8">
        <v>0</v>
      </c>
      <c r="E291" s="8">
        <v>0</v>
      </c>
      <c r="F291" s="8">
        <v>0</v>
      </c>
      <c r="G291" s="8">
        <v>0</v>
      </c>
      <c r="H291" s="8">
        <v>14089</v>
      </c>
      <c r="I291" s="8">
        <v>14542</v>
      </c>
      <c r="J291" s="8">
        <v>12688</v>
      </c>
      <c r="K291" s="73">
        <v>12753</v>
      </c>
      <c r="L291" s="73">
        <v>12751</v>
      </c>
      <c r="M291" s="73">
        <v>66823</v>
      </c>
      <c r="N291" s="73">
        <f>L291-K291</f>
        <v>-2</v>
      </c>
    </row>
    <row r="292" spans="1:14" s="74" customFormat="1" ht="10" x14ac:dyDescent="0.2">
      <c r="I292" s="74">
        <v>3</v>
      </c>
      <c r="J292" s="74">
        <v>-13</v>
      </c>
      <c r="K292" s="75">
        <v>1</v>
      </c>
      <c r="L292" s="75">
        <v>0</v>
      </c>
      <c r="M292" s="75"/>
      <c r="N292" s="75"/>
    </row>
    <row r="293" spans="1:14" s="8" customFormat="1" ht="12.5" x14ac:dyDescent="0.25">
      <c r="A293" s="8">
        <v>182</v>
      </c>
      <c r="B293" s="8" t="s">
        <v>566</v>
      </c>
      <c r="C293" s="8" t="s">
        <v>361</v>
      </c>
      <c r="D293" s="8">
        <v>0</v>
      </c>
      <c r="E293" s="8">
        <v>0</v>
      </c>
      <c r="F293" s="8">
        <v>0</v>
      </c>
      <c r="G293" s="8">
        <v>1635</v>
      </c>
      <c r="H293" s="8">
        <v>0</v>
      </c>
      <c r="I293" s="8">
        <v>0</v>
      </c>
      <c r="J293" s="8">
        <v>0</v>
      </c>
      <c r="K293" s="73">
        <v>0</v>
      </c>
      <c r="L293" s="73">
        <v>0</v>
      </c>
      <c r="M293" s="73">
        <v>1635</v>
      </c>
      <c r="N293" s="73">
        <f>L293-K293</f>
        <v>0</v>
      </c>
    </row>
    <row r="294" spans="1:14" s="74" customFormat="1" ht="10" x14ac:dyDescent="0.2">
      <c r="K294" s="75"/>
      <c r="L294" s="75"/>
      <c r="M294" s="75"/>
      <c r="N294" s="75"/>
    </row>
    <row r="295" spans="1:14" s="8" customFormat="1" ht="12.5" x14ac:dyDescent="0.25">
      <c r="A295" s="8">
        <v>183</v>
      </c>
      <c r="B295" s="8" t="s">
        <v>390</v>
      </c>
      <c r="C295" s="8" t="s">
        <v>135</v>
      </c>
      <c r="D295" s="8">
        <v>0</v>
      </c>
      <c r="E295" s="8">
        <v>0</v>
      </c>
      <c r="F295" s="8">
        <v>0</v>
      </c>
      <c r="G295" s="8">
        <v>0</v>
      </c>
      <c r="H295" s="8">
        <v>2780</v>
      </c>
      <c r="I295" s="8">
        <v>687</v>
      </c>
      <c r="J295" s="8">
        <v>2420</v>
      </c>
      <c r="K295" s="73">
        <v>3346</v>
      </c>
      <c r="L295" s="73">
        <v>3454</v>
      </c>
      <c r="M295" s="73">
        <v>12687</v>
      </c>
      <c r="N295" s="73">
        <f>L295-K295</f>
        <v>108</v>
      </c>
    </row>
    <row r="296" spans="1:14" s="74" customFormat="1" ht="10" x14ac:dyDescent="0.2">
      <c r="I296" s="74">
        <v>-75</v>
      </c>
      <c r="J296" s="74">
        <v>252</v>
      </c>
      <c r="K296" s="75">
        <v>38</v>
      </c>
      <c r="L296" s="75">
        <v>3</v>
      </c>
      <c r="M296" s="75"/>
      <c r="N296" s="75"/>
    </row>
    <row r="297" spans="1:14" s="8" customFormat="1" ht="12.5" x14ac:dyDescent="0.25">
      <c r="A297" s="8">
        <v>184</v>
      </c>
      <c r="B297" s="8" t="s">
        <v>528</v>
      </c>
      <c r="C297" s="8" t="s">
        <v>123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2435</v>
      </c>
      <c r="J297" s="8">
        <v>6752</v>
      </c>
      <c r="K297" s="73">
        <v>6682</v>
      </c>
      <c r="L297" s="73">
        <v>6276</v>
      </c>
      <c r="M297" s="73">
        <v>22145</v>
      </c>
      <c r="N297" s="73">
        <f>L297-K297</f>
        <v>-406</v>
      </c>
    </row>
    <row r="298" spans="1:14" s="74" customFormat="1" ht="10" x14ac:dyDescent="0.2">
      <c r="J298" s="74">
        <v>177</v>
      </c>
      <c r="K298" s="75">
        <v>-1</v>
      </c>
      <c r="L298" s="75">
        <v>-6</v>
      </c>
      <c r="M298" s="75"/>
      <c r="N298" s="75"/>
    </row>
    <row r="299" spans="1:14" s="8" customFormat="1" ht="12.5" x14ac:dyDescent="0.25">
      <c r="A299" s="8">
        <v>185</v>
      </c>
      <c r="B299" s="8" t="s">
        <v>280</v>
      </c>
      <c r="C299" s="8" t="s">
        <v>281</v>
      </c>
      <c r="D299" s="8">
        <v>0</v>
      </c>
      <c r="E299" s="8">
        <v>0</v>
      </c>
      <c r="F299" s="8">
        <v>0</v>
      </c>
      <c r="G299" s="8">
        <v>0</v>
      </c>
      <c r="H299" s="8">
        <v>1285</v>
      </c>
      <c r="I299" s="8">
        <v>2078</v>
      </c>
      <c r="J299" s="8">
        <v>3744</v>
      </c>
      <c r="K299" s="73">
        <v>5638</v>
      </c>
      <c r="L299" s="73">
        <v>5515</v>
      </c>
      <c r="M299" s="73">
        <v>18260</v>
      </c>
      <c r="N299" s="73">
        <f>L299-K299</f>
        <v>-123</v>
      </c>
    </row>
    <row r="300" spans="1:14" s="74" customFormat="1" ht="10" x14ac:dyDescent="0.2">
      <c r="I300" s="74">
        <v>62</v>
      </c>
      <c r="J300" s="74">
        <v>80</v>
      </c>
      <c r="K300" s="75">
        <v>51</v>
      </c>
      <c r="L300" s="75">
        <v>-2</v>
      </c>
      <c r="M300" s="75"/>
      <c r="N300" s="75"/>
    </row>
    <row r="301" spans="1:14" s="8" customFormat="1" ht="12.5" x14ac:dyDescent="0.25">
      <c r="A301" s="8">
        <v>186</v>
      </c>
      <c r="B301" s="8" t="s">
        <v>529</v>
      </c>
      <c r="C301" s="8" t="s">
        <v>511</v>
      </c>
      <c r="D301" s="8">
        <v>0</v>
      </c>
      <c r="E301" s="8">
        <v>0</v>
      </c>
      <c r="F301" s="8">
        <v>0</v>
      </c>
      <c r="G301" s="8">
        <v>0</v>
      </c>
      <c r="H301" s="8">
        <v>4504</v>
      </c>
      <c r="I301" s="8">
        <v>2837</v>
      </c>
      <c r="J301" s="8">
        <v>2990</v>
      </c>
      <c r="K301" s="73">
        <v>848</v>
      </c>
      <c r="L301" s="73">
        <v>0</v>
      </c>
      <c r="M301" s="73">
        <v>11179</v>
      </c>
      <c r="N301" s="73">
        <f>L301-K301</f>
        <v>-848</v>
      </c>
    </row>
    <row r="302" spans="1:14" s="74" customFormat="1" ht="10" x14ac:dyDescent="0.2">
      <c r="I302" s="74">
        <v>-37</v>
      </c>
      <c r="J302" s="74">
        <v>5</v>
      </c>
      <c r="K302" s="75">
        <v>-72</v>
      </c>
      <c r="L302" s="75"/>
      <c r="M302" s="75"/>
      <c r="N302" s="75"/>
    </row>
    <row r="303" spans="1:14" s="8" customFormat="1" ht="12.5" x14ac:dyDescent="0.25">
      <c r="A303" s="8">
        <v>187</v>
      </c>
      <c r="B303" s="8" t="s">
        <v>362</v>
      </c>
      <c r="C303" s="8" t="s">
        <v>222</v>
      </c>
      <c r="D303" s="8">
        <v>0</v>
      </c>
      <c r="E303" s="8">
        <v>0</v>
      </c>
      <c r="F303" s="8">
        <v>0</v>
      </c>
      <c r="G303" s="8">
        <v>0</v>
      </c>
      <c r="H303" s="8">
        <v>674</v>
      </c>
      <c r="I303" s="8">
        <v>2534</v>
      </c>
      <c r="J303" s="8">
        <v>6189</v>
      </c>
      <c r="K303" s="73">
        <v>6392</v>
      </c>
      <c r="L303" s="73">
        <v>5432</v>
      </c>
      <c r="M303" s="73">
        <v>21221</v>
      </c>
      <c r="N303" s="73">
        <f>L303-K303</f>
        <v>-960</v>
      </c>
    </row>
    <row r="304" spans="1:14" s="74" customFormat="1" ht="10" x14ac:dyDescent="0.2">
      <c r="I304" s="74">
        <v>276</v>
      </c>
      <c r="J304" s="74">
        <v>144</v>
      </c>
      <c r="K304" s="75">
        <v>3</v>
      </c>
      <c r="L304" s="75">
        <v>-15</v>
      </c>
      <c r="M304" s="75"/>
      <c r="N304" s="75"/>
    </row>
    <row r="305" spans="1:14" s="8" customFormat="1" ht="12.5" x14ac:dyDescent="0.25">
      <c r="A305" s="8">
        <v>188</v>
      </c>
      <c r="B305" s="8" t="s">
        <v>317</v>
      </c>
      <c r="C305" s="8" t="s">
        <v>142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1972</v>
      </c>
      <c r="J305" s="8">
        <v>2628</v>
      </c>
      <c r="K305" s="73">
        <v>6351</v>
      </c>
      <c r="L305" s="73">
        <v>4830</v>
      </c>
      <c r="M305" s="73">
        <v>15781</v>
      </c>
      <c r="N305" s="73">
        <f>L305-K305</f>
        <v>-1521</v>
      </c>
    </row>
    <row r="306" spans="1:14" s="74" customFormat="1" ht="10" x14ac:dyDescent="0.2">
      <c r="J306" s="74">
        <v>33</v>
      </c>
      <c r="K306" s="75">
        <v>142</v>
      </c>
      <c r="L306" s="75">
        <v>-24</v>
      </c>
      <c r="M306" s="75"/>
      <c r="N306" s="75"/>
    </row>
    <row r="307" spans="1:14" s="8" customFormat="1" ht="12.5" x14ac:dyDescent="0.25">
      <c r="A307" s="8">
        <v>189</v>
      </c>
      <c r="B307" s="8" t="s">
        <v>363</v>
      </c>
      <c r="C307" s="8" t="s">
        <v>364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2305</v>
      </c>
      <c r="J307" s="8">
        <v>5789</v>
      </c>
      <c r="K307" s="73">
        <v>5482</v>
      </c>
      <c r="L307" s="73">
        <v>6488</v>
      </c>
      <c r="M307" s="73">
        <v>20064</v>
      </c>
      <c r="N307" s="73">
        <f>L307-K307</f>
        <v>1006</v>
      </c>
    </row>
    <row r="308" spans="1:14" s="74" customFormat="1" ht="10" x14ac:dyDescent="0.2">
      <c r="J308" s="74">
        <v>151</v>
      </c>
      <c r="K308" s="75">
        <v>-5</v>
      </c>
      <c r="L308" s="75">
        <v>18</v>
      </c>
      <c r="M308" s="75"/>
      <c r="N308" s="75"/>
    </row>
    <row r="309" spans="1:14" s="8" customFormat="1" ht="12.5" x14ac:dyDescent="0.25">
      <c r="A309" s="8">
        <v>190</v>
      </c>
      <c r="B309" s="8" t="s">
        <v>187</v>
      </c>
      <c r="C309" s="8" t="s">
        <v>97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5191</v>
      </c>
      <c r="K309" s="73">
        <v>6342</v>
      </c>
      <c r="L309" s="73">
        <v>7231</v>
      </c>
      <c r="M309" s="73">
        <v>18764</v>
      </c>
      <c r="N309" s="73">
        <f>L309-K309</f>
        <v>889</v>
      </c>
    </row>
    <row r="310" spans="1:14" s="74" customFormat="1" ht="10" x14ac:dyDescent="0.2">
      <c r="K310" s="75">
        <v>22</v>
      </c>
      <c r="L310" s="75">
        <v>14</v>
      </c>
      <c r="M310" s="75"/>
      <c r="N310" s="75"/>
    </row>
    <row r="311" spans="1:14" s="8" customFormat="1" ht="12.5" x14ac:dyDescent="0.25">
      <c r="A311" s="8">
        <v>191</v>
      </c>
      <c r="B311" s="8" t="s">
        <v>381</v>
      </c>
      <c r="C311" s="8" t="s">
        <v>382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3563</v>
      </c>
      <c r="K311" s="73">
        <v>8343</v>
      </c>
      <c r="L311" s="73">
        <v>6494</v>
      </c>
      <c r="M311" s="73">
        <v>18400</v>
      </c>
      <c r="N311" s="73">
        <f>L311-K311</f>
        <v>-1849</v>
      </c>
    </row>
    <row r="312" spans="1:14" s="74" customFormat="1" ht="10" x14ac:dyDescent="0.2">
      <c r="K312" s="75">
        <v>134</v>
      </c>
      <c r="L312" s="75">
        <v>-22</v>
      </c>
      <c r="M312" s="75"/>
      <c r="N312" s="75"/>
    </row>
    <row r="313" spans="1:14" s="8" customFormat="1" ht="12.5" x14ac:dyDescent="0.25">
      <c r="A313" s="8">
        <v>192</v>
      </c>
      <c r="B313" s="8" t="s">
        <v>282</v>
      </c>
      <c r="C313" s="8" t="s">
        <v>283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73">
        <v>3999</v>
      </c>
      <c r="L313" s="73">
        <v>6668</v>
      </c>
      <c r="M313" s="73">
        <v>10667</v>
      </c>
      <c r="N313" s="73">
        <f>L313-K313</f>
        <v>2669</v>
      </c>
    </row>
    <row r="314" spans="1:14" s="74" customFormat="1" ht="10" x14ac:dyDescent="0.2">
      <c r="K314" s="75"/>
      <c r="L314" s="75">
        <v>67</v>
      </c>
      <c r="M314" s="75"/>
      <c r="N314" s="75"/>
    </row>
    <row r="315" spans="1:14" s="8" customFormat="1" ht="12.5" x14ac:dyDescent="0.25">
      <c r="A315" s="8">
        <v>193</v>
      </c>
      <c r="B315" s="8" t="s">
        <v>530</v>
      </c>
      <c r="C315" s="8" t="s">
        <v>531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73">
        <v>1747</v>
      </c>
      <c r="L315" s="73">
        <v>393</v>
      </c>
      <c r="M315" s="73">
        <v>2140</v>
      </c>
      <c r="N315" s="73">
        <f>L315-K315</f>
        <v>-1354</v>
      </c>
    </row>
    <row r="316" spans="1:14" s="74" customFormat="1" ht="10" x14ac:dyDescent="0.2">
      <c r="K316" s="75"/>
      <c r="L316" s="75">
        <v>-78</v>
      </c>
      <c r="M316" s="75"/>
      <c r="N316" s="75"/>
    </row>
    <row r="317" spans="1:14" s="8" customFormat="1" ht="12.5" x14ac:dyDescent="0.25">
      <c r="A317" s="8">
        <v>194</v>
      </c>
      <c r="B317" s="8" t="s">
        <v>223</v>
      </c>
      <c r="C317" s="8" t="s">
        <v>259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73">
        <v>1503</v>
      </c>
      <c r="L317" s="73">
        <v>4194</v>
      </c>
      <c r="M317" s="73">
        <v>5697</v>
      </c>
      <c r="N317" s="73">
        <f>L317-K317</f>
        <v>2691</v>
      </c>
    </row>
    <row r="318" spans="1:14" s="74" customFormat="1" ht="10" x14ac:dyDescent="0.2">
      <c r="K318" s="75"/>
      <c r="L318" s="75">
        <v>179</v>
      </c>
      <c r="M318" s="75"/>
      <c r="N318" s="75"/>
    </row>
    <row r="319" spans="1:14" s="8" customFormat="1" ht="12.5" x14ac:dyDescent="0.25">
      <c r="A319" s="8">
        <v>195</v>
      </c>
      <c r="B319" s="8" t="s">
        <v>284</v>
      </c>
      <c r="C319" s="8" t="s">
        <v>188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73">
        <v>0</v>
      </c>
      <c r="L319" s="73">
        <v>8036</v>
      </c>
      <c r="M319" s="73">
        <v>8036</v>
      </c>
      <c r="N319" s="76">
        <f>L319-K319</f>
        <v>8036</v>
      </c>
    </row>
    <row r="320" spans="1:14" s="74" customFormat="1" ht="10" x14ac:dyDescent="0.2">
      <c r="K320" s="75"/>
      <c r="L320" s="75"/>
      <c r="M320" s="75"/>
      <c r="N320" s="75"/>
    </row>
    <row r="321" spans="1:14" s="8" customFormat="1" ht="12.5" x14ac:dyDescent="0.25">
      <c r="A321" s="8">
        <v>196</v>
      </c>
      <c r="B321" s="8" t="s">
        <v>532</v>
      </c>
      <c r="C321" s="8" t="s">
        <v>236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73">
        <v>0</v>
      </c>
      <c r="L321" s="73">
        <v>4261</v>
      </c>
      <c r="M321" s="73">
        <v>4261</v>
      </c>
      <c r="N321" s="76">
        <f>L321-K321</f>
        <v>4261</v>
      </c>
    </row>
    <row r="322" spans="1:14" s="74" customFormat="1" ht="10" x14ac:dyDescent="0.2">
      <c r="K322" s="75"/>
      <c r="L322" s="75"/>
      <c r="M322" s="75"/>
      <c r="N322" s="75"/>
    </row>
    <row r="323" spans="1:14" s="8" customFormat="1" ht="12.5" x14ac:dyDescent="0.25">
      <c r="A323" s="8">
        <v>197</v>
      </c>
      <c r="B323" s="8" t="s">
        <v>533</v>
      </c>
      <c r="C323" s="8" t="s">
        <v>534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73">
        <v>0</v>
      </c>
      <c r="L323" s="73">
        <v>647</v>
      </c>
      <c r="M323" s="73">
        <v>647</v>
      </c>
      <c r="N323" s="73">
        <f>L323-K323</f>
        <v>647</v>
      </c>
    </row>
    <row r="324" spans="1:14" s="74" customFormat="1" ht="10" x14ac:dyDescent="0.2">
      <c r="K324" s="75"/>
      <c r="L324" s="75"/>
      <c r="M324" s="75"/>
      <c r="N324" s="75"/>
    </row>
    <row r="325" spans="1:14" s="23" customFormat="1" ht="14.5" x14ac:dyDescent="0.35">
      <c r="A325" s="28" t="s">
        <v>582</v>
      </c>
      <c r="D325" s="23">
        <v>1542540</v>
      </c>
      <c r="E325" s="23">
        <v>1507863</v>
      </c>
      <c r="F325" s="23">
        <v>1776358</v>
      </c>
      <c r="G325" s="23">
        <v>1666410</v>
      </c>
      <c r="H325" s="23">
        <v>3181659</v>
      </c>
      <c r="I325" s="23">
        <v>1622873</v>
      </c>
      <c r="J325" s="23">
        <v>1817967</v>
      </c>
      <c r="K325" s="25">
        <v>1753664</v>
      </c>
      <c r="L325" s="25">
        <v>1735393</v>
      </c>
      <c r="M325" s="25">
        <v>16604727</v>
      </c>
      <c r="N325" s="73">
        <f>L325-K325</f>
        <v>-18271</v>
      </c>
    </row>
    <row r="326" spans="1:14" s="69" customFormat="1" ht="10" x14ac:dyDescent="0.2">
      <c r="E326" s="69">
        <v>-2</v>
      </c>
      <c r="F326" s="69">
        <v>18</v>
      </c>
      <c r="G326" s="69">
        <v>-6</v>
      </c>
      <c r="H326" s="69">
        <v>91</v>
      </c>
      <c r="I326" s="69">
        <v>-49</v>
      </c>
      <c r="J326" s="69">
        <v>12</v>
      </c>
      <c r="K326" s="77">
        <v>-4</v>
      </c>
      <c r="L326" s="77">
        <v>-1</v>
      </c>
      <c r="M326" s="77"/>
      <c r="N326" s="77"/>
    </row>
  </sheetData>
  <autoFilter ref="A10:O323" xr:uid="{12BC78CA-8CC5-4D38-8573-2B03DE8A7F3A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2229-112A-42EA-8B9B-DA914549CA3D}">
  <dimension ref="A1:G1048576"/>
  <sheetViews>
    <sheetView rightToLeft="1" workbookViewId="0">
      <pane ySplit="2" topLeftCell="A316" activePane="bottomLeft" state="frozen"/>
      <selection activeCell="K325" sqref="K325"/>
      <selection pane="bottomLeft" activeCell="K325" sqref="K325"/>
    </sheetView>
  </sheetViews>
  <sheetFormatPr defaultColWidth="9" defaultRowHeight="14" x14ac:dyDescent="0.3"/>
  <cols>
    <col min="1" max="1" width="9" style="15"/>
    <col min="2" max="2" width="12.25" style="15" customWidth="1"/>
    <col min="3" max="3" width="9" style="15"/>
    <col min="4" max="4" width="16.08203125" style="15" bestFit="1" customWidth="1"/>
    <col min="5" max="5" width="9.33203125" style="15" bestFit="1" customWidth="1"/>
    <col min="6" max="6" width="9" style="15"/>
    <col min="7" max="7" width="123.08203125" style="15" bestFit="1" customWidth="1"/>
    <col min="8" max="16384" width="9" style="15"/>
  </cols>
  <sheetData>
    <row r="1" spans="1:7" s="10" customFormat="1" x14ac:dyDescent="0.3">
      <c r="A1" s="1"/>
      <c r="B1" s="1"/>
      <c r="C1" s="78" t="s">
        <v>191</v>
      </c>
      <c r="D1" s="1">
        <v>10</v>
      </c>
      <c r="E1" s="1">
        <v>11</v>
      </c>
    </row>
    <row r="2" spans="1:7" s="12" customFormat="1" ht="28" customHeight="1" x14ac:dyDescent="0.3">
      <c r="A2" s="7" t="s">
        <v>499</v>
      </c>
      <c r="B2" s="7" t="s">
        <v>82</v>
      </c>
      <c r="C2" s="7" t="s">
        <v>83</v>
      </c>
      <c r="D2" s="7" t="s">
        <v>580</v>
      </c>
      <c r="E2" s="7" t="s">
        <v>580</v>
      </c>
      <c r="F2" s="7" t="s">
        <v>578</v>
      </c>
      <c r="G2" s="7" t="s">
        <v>583</v>
      </c>
    </row>
    <row r="3" spans="1:7" x14ac:dyDescent="0.3">
      <c r="D3" s="17"/>
      <c r="E3" s="17"/>
      <c r="F3" s="17"/>
    </row>
    <row r="4" spans="1:7" x14ac:dyDescent="0.3">
      <c r="A4" s="15">
        <v>2</v>
      </c>
      <c r="B4" s="15" t="s">
        <v>194</v>
      </c>
      <c r="C4" s="15" t="s">
        <v>195</v>
      </c>
      <c r="D4" s="17">
        <v>32868</v>
      </c>
      <c r="E4" s="79">
        <v>34297</v>
      </c>
      <c r="F4" s="17">
        <f>E4-D4</f>
        <v>1429</v>
      </c>
    </row>
    <row r="5" spans="1:7" ht="14.5" thickBot="1" x14ac:dyDescent="0.35">
      <c r="D5" s="17"/>
      <c r="E5" s="17"/>
      <c r="F5" s="17"/>
    </row>
    <row r="6" spans="1:7" x14ac:dyDescent="0.3">
      <c r="A6" s="80">
        <v>3</v>
      </c>
      <c r="B6" s="81" t="s">
        <v>197</v>
      </c>
      <c r="C6" s="81" t="s">
        <v>198</v>
      </c>
      <c r="D6" s="82">
        <v>25054</v>
      </c>
      <c r="E6" s="83">
        <v>39501</v>
      </c>
      <c r="F6" s="84">
        <f>E6-D6</f>
        <v>14447</v>
      </c>
      <c r="G6" s="85" t="s">
        <v>584</v>
      </c>
    </row>
    <row r="7" spans="1:7" s="90" customFormat="1" ht="14.5" thickBot="1" x14ac:dyDescent="0.35">
      <c r="A7" s="86"/>
      <c r="B7" s="87"/>
      <c r="C7" s="87"/>
      <c r="D7" s="88" t="s">
        <v>585</v>
      </c>
      <c r="E7" s="88" t="s">
        <v>586</v>
      </c>
      <c r="F7" s="88"/>
      <c r="G7" s="89"/>
    </row>
    <row r="8" spans="1:7" x14ac:dyDescent="0.3">
      <c r="A8" s="15">
        <v>7</v>
      </c>
      <c r="B8" s="15" t="s">
        <v>199</v>
      </c>
      <c r="C8" s="15" t="s">
        <v>165</v>
      </c>
      <c r="D8" s="17">
        <v>28178</v>
      </c>
      <c r="E8" s="79">
        <v>31033</v>
      </c>
      <c r="F8" s="17">
        <f>E8-D8</f>
        <v>2855</v>
      </c>
    </row>
    <row r="9" spans="1:7" ht="14.5" thickBot="1" x14ac:dyDescent="0.35">
      <c r="D9" s="17"/>
      <c r="E9" s="17"/>
      <c r="F9" s="17"/>
    </row>
    <row r="10" spans="1:7" x14ac:dyDescent="0.3">
      <c r="A10" s="80">
        <v>16</v>
      </c>
      <c r="B10" s="81" t="s">
        <v>200</v>
      </c>
      <c r="C10" s="81" t="s">
        <v>201</v>
      </c>
      <c r="D10" s="82">
        <v>15306</v>
      </c>
      <c r="E10" s="83">
        <v>20797</v>
      </c>
      <c r="F10" s="84">
        <f>E10-D10</f>
        <v>5491</v>
      </c>
      <c r="G10" s="85" t="s">
        <v>584</v>
      </c>
    </row>
    <row r="11" spans="1:7" s="90" customFormat="1" ht="14.5" thickBot="1" x14ac:dyDescent="0.35">
      <c r="A11" s="86"/>
      <c r="B11" s="87"/>
      <c r="C11" s="87"/>
      <c r="D11" s="88" t="s">
        <v>587</v>
      </c>
      <c r="E11" s="88" t="s">
        <v>588</v>
      </c>
      <c r="F11" s="91"/>
      <c r="G11" s="89"/>
    </row>
    <row r="12" spans="1:7" x14ac:dyDescent="0.3">
      <c r="A12" s="15">
        <v>20</v>
      </c>
      <c r="B12" s="15" t="s">
        <v>202</v>
      </c>
      <c r="C12" s="15" t="s">
        <v>203</v>
      </c>
      <c r="D12" s="17">
        <v>22138</v>
      </c>
      <c r="E12" s="79">
        <v>22621</v>
      </c>
      <c r="F12" s="17">
        <f>E12-D12</f>
        <v>483</v>
      </c>
    </row>
    <row r="13" spans="1:7" x14ac:dyDescent="0.3">
      <c r="D13" s="17"/>
      <c r="E13" s="17"/>
      <c r="F13" s="17"/>
    </row>
    <row r="14" spans="1:7" x14ac:dyDescent="0.3">
      <c r="A14" s="15">
        <v>30</v>
      </c>
      <c r="B14" s="15" t="s">
        <v>204</v>
      </c>
      <c r="C14" s="15" t="s">
        <v>205</v>
      </c>
      <c r="D14" s="17">
        <v>18151</v>
      </c>
      <c r="E14" s="79">
        <v>19367</v>
      </c>
      <c r="F14" s="17">
        <f>E14-D14</f>
        <v>1216</v>
      </c>
    </row>
    <row r="15" spans="1:7" x14ac:dyDescent="0.3">
      <c r="D15" s="17"/>
      <c r="E15" s="17"/>
      <c r="F15" s="17"/>
    </row>
    <row r="16" spans="1:7" x14ac:dyDescent="0.3">
      <c r="A16" s="15">
        <v>49</v>
      </c>
      <c r="B16" s="15" t="s">
        <v>206</v>
      </c>
      <c r="C16" s="15" t="s">
        <v>207</v>
      </c>
      <c r="D16" s="17">
        <v>19763</v>
      </c>
      <c r="E16" s="79">
        <v>20380</v>
      </c>
      <c r="F16" s="17">
        <f>E16-D16</f>
        <v>617</v>
      </c>
    </row>
    <row r="17" spans="1:7" x14ac:dyDescent="0.3">
      <c r="D17" s="17"/>
      <c r="E17" s="17"/>
      <c r="F17" s="17"/>
    </row>
    <row r="18" spans="1:7" x14ac:dyDescent="0.3">
      <c r="A18" s="15">
        <v>52</v>
      </c>
      <c r="B18" s="15" t="s">
        <v>208</v>
      </c>
      <c r="C18" s="15" t="s">
        <v>209</v>
      </c>
      <c r="D18" s="17">
        <v>18269</v>
      </c>
      <c r="E18" s="79">
        <v>15819</v>
      </c>
      <c r="F18" s="17">
        <f>E18-D18</f>
        <v>-2450</v>
      </c>
    </row>
    <row r="19" spans="1:7" x14ac:dyDescent="0.3">
      <c r="D19" s="17"/>
      <c r="E19" s="17"/>
      <c r="F19" s="17"/>
    </row>
    <row r="20" spans="1:7" x14ac:dyDescent="0.3">
      <c r="A20" s="15">
        <v>56</v>
      </c>
      <c r="B20" s="15" t="s">
        <v>345</v>
      </c>
      <c r="C20" s="15" t="s">
        <v>410</v>
      </c>
      <c r="D20" s="17">
        <v>0</v>
      </c>
      <c r="E20" s="17">
        <v>0</v>
      </c>
      <c r="F20" s="17">
        <f>E20-D20</f>
        <v>0</v>
      </c>
    </row>
    <row r="21" spans="1:7" x14ac:dyDescent="0.3">
      <c r="D21" s="17"/>
      <c r="E21" s="17"/>
      <c r="F21" s="17"/>
    </row>
    <row r="22" spans="1:7" x14ac:dyDescent="0.3">
      <c r="A22" s="15">
        <v>58</v>
      </c>
      <c r="B22" s="15" t="s">
        <v>411</v>
      </c>
      <c r="C22" s="15" t="s">
        <v>412</v>
      </c>
      <c r="D22" s="17">
        <v>0</v>
      </c>
      <c r="E22" s="17">
        <v>0</v>
      </c>
      <c r="F22" s="17">
        <f>E22-D22</f>
        <v>0</v>
      </c>
    </row>
    <row r="23" spans="1:7" ht="14.5" thickBot="1" x14ac:dyDescent="0.35">
      <c r="D23" s="17"/>
      <c r="E23" s="17"/>
      <c r="F23" s="17"/>
    </row>
    <row r="24" spans="1:7" x14ac:dyDescent="0.3">
      <c r="A24" s="80">
        <v>59</v>
      </c>
      <c r="B24" s="81" t="s">
        <v>210</v>
      </c>
      <c r="C24" s="81" t="s">
        <v>211</v>
      </c>
      <c r="D24" s="82">
        <v>42183</v>
      </c>
      <c r="E24" s="83">
        <v>25192</v>
      </c>
      <c r="F24" s="84">
        <f>E24-D24</f>
        <v>-16991</v>
      </c>
      <c r="G24" s="85" t="s">
        <v>589</v>
      </c>
    </row>
    <row r="25" spans="1:7" s="90" customFormat="1" ht="14.5" thickBot="1" x14ac:dyDescent="0.35">
      <c r="A25" s="86"/>
      <c r="B25" s="87"/>
      <c r="C25" s="87"/>
      <c r="D25" s="88" t="s">
        <v>590</v>
      </c>
      <c r="E25" s="88" t="s">
        <v>591</v>
      </c>
      <c r="F25" s="91"/>
      <c r="G25" s="89"/>
    </row>
    <row r="26" spans="1:7" x14ac:dyDescent="0.3">
      <c r="A26" s="80">
        <v>78</v>
      </c>
      <c r="B26" s="81" t="s">
        <v>212</v>
      </c>
      <c r="C26" s="81" t="s">
        <v>213</v>
      </c>
      <c r="D26" s="82">
        <v>25606</v>
      </c>
      <c r="E26" s="83">
        <v>16185</v>
      </c>
      <c r="F26" s="84">
        <f>E26-D26</f>
        <v>-9421</v>
      </c>
      <c r="G26" s="85" t="s">
        <v>589</v>
      </c>
    </row>
    <row r="27" spans="1:7" s="90" customFormat="1" ht="14.5" thickBot="1" x14ac:dyDescent="0.35">
      <c r="A27" s="86"/>
      <c r="B27" s="87"/>
      <c r="C27" s="87"/>
      <c r="D27" s="88" t="s">
        <v>592</v>
      </c>
      <c r="E27" s="88" t="s">
        <v>593</v>
      </c>
      <c r="F27" s="91"/>
      <c r="G27" s="89"/>
    </row>
    <row r="28" spans="1:7" x14ac:dyDescent="0.3">
      <c r="A28" s="15">
        <v>81</v>
      </c>
      <c r="B28" s="15" t="s">
        <v>214</v>
      </c>
      <c r="C28" s="15" t="s">
        <v>215</v>
      </c>
      <c r="D28" s="17">
        <v>0</v>
      </c>
      <c r="E28" s="79">
        <v>8416</v>
      </c>
      <c r="F28" s="18">
        <f>E28-D28</f>
        <v>8416</v>
      </c>
      <c r="G28" s="92" t="s">
        <v>594</v>
      </c>
    </row>
    <row r="29" spans="1:7" x14ac:dyDescent="0.3">
      <c r="D29" s="17"/>
      <c r="E29" s="17"/>
      <c r="F29" s="17"/>
    </row>
    <row r="30" spans="1:7" x14ac:dyDescent="0.3">
      <c r="A30" s="15">
        <v>82</v>
      </c>
      <c r="B30" s="15" t="s">
        <v>414</v>
      </c>
      <c r="C30" s="15" t="s">
        <v>291</v>
      </c>
      <c r="D30" s="17">
        <v>15161</v>
      </c>
      <c r="E30" s="17">
        <v>0</v>
      </c>
      <c r="F30" s="18">
        <f>E30-D30</f>
        <v>-15161</v>
      </c>
      <c r="G30" s="92" t="s">
        <v>595</v>
      </c>
    </row>
    <row r="31" spans="1:7" x14ac:dyDescent="0.3">
      <c r="D31" s="17"/>
      <c r="E31" s="17"/>
      <c r="F31" s="17"/>
    </row>
    <row r="32" spans="1:7" x14ac:dyDescent="0.3">
      <c r="A32" s="15">
        <v>83</v>
      </c>
      <c r="B32" s="15" t="s">
        <v>216</v>
      </c>
      <c r="C32" s="15" t="s">
        <v>188</v>
      </c>
      <c r="D32" s="17">
        <v>16646</v>
      </c>
      <c r="E32" s="79">
        <v>19081</v>
      </c>
      <c r="F32" s="17">
        <f>E32-D32</f>
        <v>2435</v>
      </c>
    </row>
    <row r="33" spans="1:7" x14ac:dyDescent="0.3">
      <c r="D33" s="17"/>
      <c r="E33" s="17"/>
      <c r="F33" s="17"/>
    </row>
    <row r="34" spans="1:7" x14ac:dyDescent="0.3">
      <c r="A34" s="15">
        <v>90</v>
      </c>
      <c r="B34" s="15" t="s">
        <v>217</v>
      </c>
      <c r="C34" s="15" t="s">
        <v>218</v>
      </c>
      <c r="D34" s="17">
        <v>20286</v>
      </c>
      <c r="E34" s="79">
        <v>21494</v>
      </c>
      <c r="F34" s="17">
        <f>E34-D34</f>
        <v>1208</v>
      </c>
    </row>
    <row r="35" spans="1:7" x14ac:dyDescent="0.3">
      <c r="D35" s="17"/>
      <c r="E35" s="17"/>
      <c r="F35" s="17"/>
    </row>
    <row r="36" spans="1:7" x14ac:dyDescent="0.3">
      <c r="A36" s="15">
        <v>121</v>
      </c>
      <c r="B36" s="15" t="s">
        <v>219</v>
      </c>
      <c r="C36" s="15" t="s">
        <v>220</v>
      </c>
      <c r="D36" s="17">
        <v>17506</v>
      </c>
      <c r="E36" s="79">
        <v>12366</v>
      </c>
      <c r="F36" s="18">
        <f>E36-D36</f>
        <v>-5140</v>
      </c>
      <c r="G36" s="92" t="s">
        <v>596</v>
      </c>
    </row>
    <row r="37" spans="1:7" x14ac:dyDescent="0.3">
      <c r="D37" s="17"/>
      <c r="E37" s="17"/>
      <c r="F37" s="17"/>
    </row>
    <row r="38" spans="1:7" x14ac:dyDescent="0.3">
      <c r="A38" s="15">
        <v>122</v>
      </c>
      <c r="B38" s="15" t="s">
        <v>419</v>
      </c>
      <c r="C38" s="15" t="s">
        <v>420</v>
      </c>
      <c r="D38" s="17">
        <v>0</v>
      </c>
      <c r="E38" s="17">
        <v>0</v>
      </c>
      <c r="F38" s="17">
        <f>E38-D38</f>
        <v>0</v>
      </c>
    </row>
    <row r="39" spans="1:7" x14ac:dyDescent="0.3">
      <c r="D39" s="17"/>
      <c r="E39" s="17"/>
      <c r="F39" s="17"/>
    </row>
    <row r="40" spans="1:7" x14ac:dyDescent="0.3">
      <c r="A40" s="15">
        <v>126</v>
      </c>
      <c r="B40" s="15" t="s">
        <v>421</v>
      </c>
      <c r="C40" s="15" t="s">
        <v>222</v>
      </c>
      <c r="D40" s="17">
        <v>0</v>
      </c>
      <c r="E40" s="17">
        <v>0</v>
      </c>
      <c r="F40" s="17">
        <f>E40-D40</f>
        <v>0</v>
      </c>
    </row>
    <row r="41" spans="1:7" x14ac:dyDescent="0.3">
      <c r="D41" s="17"/>
      <c r="E41" s="17"/>
      <c r="F41" s="17"/>
    </row>
    <row r="42" spans="1:7" x14ac:dyDescent="0.3">
      <c r="A42" s="15">
        <v>127</v>
      </c>
      <c r="B42" s="15" t="s">
        <v>221</v>
      </c>
      <c r="C42" s="15" t="s">
        <v>222</v>
      </c>
      <c r="D42" s="17">
        <v>4290</v>
      </c>
      <c r="E42" s="79">
        <v>20026</v>
      </c>
      <c r="F42" s="18">
        <f>E42-D42</f>
        <v>15736</v>
      </c>
      <c r="G42" s="92" t="s">
        <v>597</v>
      </c>
    </row>
    <row r="43" spans="1:7" x14ac:dyDescent="0.3">
      <c r="D43" s="17"/>
      <c r="E43" s="17"/>
      <c r="F43" s="17"/>
    </row>
    <row r="44" spans="1:7" x14ac:dyDescent="0.3">
      <c r="A44" s="15">
        <v>130</v>
      </c>
      <c r="B44" s="15" t="s">
        <v>223</v>
      </c>
      <c r="C44" s="15" t="s">
        <v>224</v>
      </c>
      <c r="D44" s="17">
        <v>23663</v>
      </c>
      <c r="E44" s="79">
        <v>24930</v>
      </c>
      <c r="F44" s="17">
        <f>E44-D44</f>
        <v>1267</v>
      </c>
    </row>
    <row r="45" spans="1:7" x14ac:dyDescent="0.3">
      <c r="D45" s="17"/>
      <c r="E45" s="17"/>
      <c r="F45" s="17"/>
    </row>
    <row r="46" spans="1:7" x14ac:dyDescent="0.3">
      <c r="A46" s="15">
        <v>136</v>
      </c>
      <c r="B46" s="15" t="s">
        <v>422</v>
      </c>
      <c r="C46" s="15" t="s">
        <v>423</v>
      </c>
      <c r="D46" s="17">
        <v>0</v>
      </c>
      <c r="E46" s="17">
        <v>0</v>
      </c>
      <c r="F46" s="17">
        <f>E46-D46</f>
        <v>0</v>
      </c>
    </row>
    <row r="47" spans="1:7" x14ac:dyDescent="0.3">
      <c r="D47" s="17"/>
      <c r="E47" s="17"/>
      <c r="F47" s="17"/>
    </row>
    <row r="48" spans="1:7" x14ac:dyDescent="0.3">
      <c r="A48" s="15">
        <v>138</v>
      </c>
      <c r="B48" s="15" t="s">
        <v>225</v>
      </c>
      <c r="C48" s="15" t="s">
        <v>226</v>
      </c>
      <c r="D48" s="17">
        <v>19136</v>
      </c>
      <c r="E48" s="79">
        <v>21858</v>
      </c>
      <c r="F48" s="17">
        <f>E48-D48</f>
        <v>2722</v>
      </c>
    </row>
    <row r="49" spans="1:7" ht="14.5" thickBot="1" x14ac:dyDescent="0.35">
      <c r="D49" s="17"/>
      <c r="E49" s="17"/>
      <c r="F49" s="17"/>
    </row>
    <row r="50" spans="1:7" x14ac:dyDescent="0.3">
      <c r="A50" s="80">
        <v>143</v>
      </c>
      <c r="B50" s="81" t="s">
        <v>227</v>
      </c>
      <c r="C50" s="81" t="s">
        <v>228</v>
      </c>
      <c r="D50" s="82">
        <v>17437</v>
      </c>
      <c r="E50" s="83">
        <v>9406</v>
      </c>
      <c r="F50" s="84">
        <f>E50-D50</f>
        <v>-8031</v>
      </c>
      <c r="G50" s="85" t="s">
        <v>598</v>
      </c>
    </row>
    <row r="51" spans="1:7" ht="14.5" thickBot="1" x14ac:dyDescent="0.35">
      <c r="A51" s="93"/>
      <c r="B51" s="94"/>
      <c r="C51" s="94"/>
      <c r="D51" s="95" t="s">
        <v>599</v>
      </c>
      <c r="E51" s="96"/>
      <c r="F51" s="96"/>
      <c r="G51" s="97"/>
    </row>
    <row r="52" spans="1:7" x14ac:dyDescent="0.3">
      <c r="A52" s="15">
        <v>145</v>
      </c>
      <c r="B52" s="15" t="s">
        <v>229</v>
      </c>
      <c r="C52" s="15" t="s">
        <v>89</v>
      </c>
      <c r="D52" s="17">
        <v>9422</v>
      </c>
      <c r="E52" s="79">
        <v>14229</v>
      </c>
      <c r="F52" s="17">
        <f>E52-D52</f>
        <v>4807</v>
      </c>
    </row>
    <row r="53" spans="1:7" x14ac:dyDescent="0.3">
      <c r="D53" s="17"/>
      <c r="E53" s="17"/>
      <c r="F53" s="17"/>
    </row>
    <row r="54" spans="1:7" x14ac:dyDescent="0.3">
      <c r="A54" s="15">
        <v>170</v>
      </c>
      <c r="B54" s="15" t="s">
        <v>230</v>
      </c>
      <c r="C54" s="15" t="s">
        <v>231</v>
      </c>
      <c r="D54" s="17">
        <v>13603</v>
      </c>
      <c r="E54" s="79">
        <v>12495</v>
      </c>
      <c r="F54" s="17">
        <f>E54-D54</f>
        <v>-1108</v>
      </c>
    </row>
    <row r="55" spans="1:7" x14ac:dyDescent="0.3">
      <c r="D55" s="17"/>
      <c r="E55" s="17"/>
      <c r="F55" s="17"/>
    </row>
    <row r="56" spans="1:7" x14ac:dyDescent="0.3">
      <c r="A56" s="15">
        <v>171</v>
      </c>
      <c r="B56" s="15" t="s">
        <v>503</v>
      </c>
      <c r="C56" s="15" t="s">
        <v>504</v>
      </c>
      <c r="D56" s="17">
        <v>15577</v>
      </c>
      <c r="E56" s="17">
        <v>0</v>
      </c>
      <c r="F56" s="18">
        <f>E56-D56</f>
        <v>-15577</v>
      </c>
      <c r="G56" s="92" t="s">
        <v>600</v>
      </c>
    </row>
    <row r="57" spans="1:7" x14ac:dyDescent="0.3">
      <c r="D57" s="17"/>
      <c r="E57" s="17"/>
      <c r="F57" s="17"/>
    </row>
    <row r="58" spans="1:7" x14ac:dyDescent="0.3">
      <c r="A58" s="15">
        <v>172</v>
      </c>
      <c r="B58" s="15" t="s">
        <v>230</v>
      </c>
      <c r="C58" s="15" t="s">
        <v>232</v>
      </c>
      <c r="D58" s="17">
        <v>13635</v>
      </c>
      <c r="E58" s="79">
        <v>12656</v>
      </c>
      <c r="F58" s="17">
        <f>E58-D58</f>
        <v>-979</v>
      </c>
    </row>
    <row r="59" spans="1:7" x14ac:dyDescent="0.3">
      <c r="D59" s="17"/>
      <c r="E59" s="17"/>
      <c r="F59" s="17"/>
    </row>
    <row r="60" spans="1:7" x14ac:dyDescent="0.3">
      <c r="A60" s="15">
        <v>173</v>
      </c>
      <c r="B60" s="15" t="s">
        <v>233</v>
      </c>
      <c r="C60" s="15" t="s">
        <v>234</v>
      </c>
      <c r="D60" s="17">
        <v>13764</v>
      </c>
      <c r="E60" s="79">
        <v>12559</v>
      </c>
      <c r="F60" s="17">
        <f>E60-D60</f>
        <v>-1205</v>
      </c>
    </row>
    <row r="61" spans="1:7" x14ac:dyDescent="0.3">
      <c r="D61" s="17"/>
      <c r="E61" s="17"/>
      <c r="F61" s="17"/>
    </row>
    <row r="62" spans="1:7" x14ac:dyDescent="0.3">
      <c r="A62" s="15">
        <v>174</v>
      </c>
      <c r="B62" s="15" t="s">
        <v>235</v>
      </c>
      <c r="C62" s="15" t="s">
        <v>236</v>
      </c>
      <c r="D62" s="17">
        <v>12721</v>
      </c>
      <c r="E62" s="79">
        <v>12688</v>
      </c>
      <c r="F62" s="17">
        <f>E62-D62</f>
        <v>-33</v>
      </c>
    </row>
    <row r="63" spans="1:7" x14ac:dyDescent="0.3">
      <c r="D63" s="17"/>
      <c r="E63" s="17"/>
      <c r="F63" s="17"/>
    </row>
    <row r="64" spans="1:7" x14ac:dyDescent="0.3">
      <c r="A64" s="15">
        <v>175</v>
      </c>
      <c r="B64" s="15" t="s">
        <v>237</v>
      </c>
      <c r="C64" s="15" t="s">
        <v>213</v>
      </c>
      <c r="D64" s="17">
        <v>12527</v>
      </c>
      <c r="E64" s="79">
        <v>12688</v>
      </c>
      <c r="F64" s="17">
        <f>E64-D64</f>
        <v>161</v>
      </c>
    </row>
    <row r="65" spans="1:7" x14ac:dyDescent="0.3">
      <c r="D65" s="17"/>
      <c r="E65" s="17"/>
      <c r="F65" s="17"/>
    </row>
    <row r="66" spans="1:7" x14ac:dyDescent="0.3">
      <c r="A66" s="15">
        <v>180</v>
      </c>
      <c r="B66" s="15" t="s">
        <v>251</v>
      </c>
      <c r="C66" s="15" t="s">
        <v>505</v>
      </c>
      <c r="D66" s="17">
        <v>8746</v>
      </c>
      <c r="E66" s="17">
        <v>0</v>
      </c>
      <c r="F66" s="18">
        <f>E66-D66</f>
        <v>-8746</v>
      </c>
      <c r="G66" s="92" t="s">
        <v>601</v>
      </c>
    </row>
    <row r="67" spans="1:7" x14ac:dyDescent="0.3">
      <c r="D67" s="17"/>
      <c r="E67" s="17"/>
      <c r="F67" s="17"/>
    </row>
    <row r="68" spans="1:7" x14ac:dyDescent="0.3">
      <c r="A68" s="15">
        <v>14</v>
      </c>
      <c r="B68" s="15" t="s">
        <v>506</v>
      </c>
      <c r="C68" s="15" t="s">
        <v>507</v>
      </c>
      <c r="D68" s="17">
        <v>0</v>
      </c>
      <c r="E68" s="17">
        <v>0</v>
      </c>
      <c r="F68" s="17">
        <f>E68-D68</f>
        <v>0</v>
      </c>
    </row>
    <row r="69" spans="1:7" x14ac:dyDescent="0.3">
      <c r="D69" s="17"/>
      <c r="E69" s="17"/>
      <c r="F69" s="17"/>
    </row>
    <row r="70" spans="1:7" x14ac:dyDescent="0.3">
      <c r="A70" s="15">
        <v>23</v>
      </c>
      <c r="B70" s="15" t="s">
        <v>238</v>
      </c>
      <c r="C70" s="15" t="s">
        <v>239</v>
      </c>
      <c r="D70" s="17">
        <v>26440</v>
      </c>
      <c r="E70" s="79">
        <v>20211</v>
      </c>
      <c r="F70" s="18">
        <f>E70-D70</f>
        <v>-6229</v>
      </c>
      <c r="G70" s="92" t="s">
        <v>602</v>
      </c>
    </row>
    <row r="71" spans="1:7" x14ac:dyDescent="0.3">
      <c r="D71" s="17"/>
      <c r="E71" s="17"/>
      <c r="F71" s="17"/>
    </row>
    <row r="72" spans="1:7" x14ac:dyDescent="0.3">
      <c r="A72" s="15">
        <v>28</v>
      </c>
      <c r="B72" s="15" t="s">
        <v>114</v>
      </c>
      <c r="C72" s="15" t="s">
        <v>240</v>
      </c>
      <c r="D72" s="17">
        <v>24007</v>
      </c>
      <c r="E72" s="79">
        <v>19481</v>
      </c>
      <c r="F72" s="17">
        <f>E72-D72</f>
        <v>-4526</v>
      </c>
    </row>
    <row r="73" spans="1:7" x14ac:dyDescent="0.3">
      <c r="D73" s="17"/>
      <c r="E73" s="17"/>
      <c r="F73" s="17"/>
    </row>
    <row r="74" spans="1:7" x14ac:dyDescent="0.3">
      <c r="A74" s="15">
        <v>33</v>
      </c>
      <c r="B74" s="15" t="s">
        <v>241</v>
      </c>
      <c r="C74" s="15" t="s">
        <v>242</v>
      </c>
      <c r="D74" s="17">
        <v>10245</v>
      </c>
      <c r="E74" s="79">
        <v>6520</v>
      </c>
      <c r="F74" s="17">
        <f>E74-D74</f>
        <v>-3725</v>
      </c>
    </row>
    <row r="75" spans="1:7" x14ac:dyDescent="0.3">
      <c r="D75" s="17"/>
      <c r="E75" s="17"/>
      <c r="F75" s="17"/>
    </row>
    <row r="76" spans="1:7" x14ac:dyDescent="0.3">
      <c r="A76" s="15">
        <v>34</v>
      </c>
      <c r="B76" s="15" t="s">
        <v>236</v>
      </c>
      <c r="C76" s="15" t="s">
        <v>508</v>
      </c>
      <c r="D76" s="17">
        <v>0</v>
      </c>
      <c r="E76" s="17">
        <v>0</v>
      </c>
      <c r="F76" s="17">
        <f>E76-D76</f>
        <v>0</v>
      </c>
    </row>
    <row r="77" spans="1:7" x14ac:dyDescent="0.3">
      <c r="D77" s="17"/>
      <c r="E77" s="17"/>
      <c r="F77" s="17"/>
    </row>
    <row r="78" spans="1:7" x14ac:dyDescent="0.3">
      <c r="A78" s="15">
        <v>36</v>
      </c>
      <c r="B78" s="15" t="s">
        <v>243</v>
      </c>
      <c r="C78" s="15" t="s">
        <v>87</v>
      </c>
      <c r="D78" s="17">
        <v>10964</v>
      </c>
      <c r="E78" s="79">
        <v>7887</v>
      </c>
      <c r="F78" s="17">
        <f>E78-D78</f>
        <v>-3077</v>
      </c>
    </row>
    <row r="79" spans="1:7" x14ac:dyDescent="0.3">
      <c r="D79" s="17"/>
      <c r="E79" s="17"/>
      <c r="F79" s="17"/>
    </row>
    <row r="80" spans="1:7" x14ac:dyDescent="0.3">
      <c r="A80" s="15">
        <v>39</v>
      </c>
      <c r="B80" s="15" t="s">
        <v>244</v>
      </c>
      <c r="C80" s="15" t="s">
        <v>245</v>
      </c>
      <c r="D80" s="17">
        <v>21394</v>
      </c>
      <c r="E80" s="79">
        <v>10385</v>
      </c>
      <c r="F80" s="18">
        <f>E80-D80</f>
        <v>-11009</v>
      </c>
      <c r="G80" s="92" t="s">
        <v>602</v>
      </c>
    </row>
    <row r="81" spans="1:7" x14ac:dyDescent="0.3">
      <c r="D81" s="17"/>
      <c r="E81" s="17"/>
      <c r="F81" s="17"/>
    </row>
    <row r="82" spans="1:7" x14ac:dyDescent="0.3">
      <c r="A82" s="15">
        <v>43</v>
      </c>
      <c r="B82" s="15" t="s">
        <v>246</v>
      </c>
      <c r="C82" s="15" t="s">
        <v>247</v>
      </c>
      <c r="D82" s="17">
        <v>28453</v>
      </c>
      <c r="E82" s="79">
        <v>9840</v>
      </c>
      <c r="F82" s="18">
        <f>E82-D82</f>
        <v>-18613</v>
      </c>
      <c r="G82" s="92" t="s">
        <v>603</v>
      </c>
    </row>
    <row r="83" spans="1:7" x14ac:dyDescent="0.3">
      <c r="D83" s="17"/>
      <c r="E83" s="17"/>
      <c r="F83" s="17"/>
    </row>
    <row r="84" spans="1:7" x14ac:dyDescent="0.3">
      <c r="A84" s="15">
        <v>48</v>
      </c>
      <c r="B84" s="15" t="s">
        <v>248</v>
      </c>
      <c r="C84" s="15" t="s">
        <v>249</v>
      </c>
      <c r="D84" s="17">
        <v>16153</v>
      </c>
      <c r="E84" s="79">
        <v>12562</v>
      </c>
      <c r="F84" s="17">
        <f>E84-D84</f>
        <v>-3591</v>
      </c>
    </row>
    <row r="85" spans="1:7" x14ac:dyDescent="0.3">
      <c r="D85" s="17"/>
      <c r="E85" s="17"/>
      <c r="F85" s="17"/>
    </row>
    <row r="86" spans="1:7" x14ac:dyDescent="0.3">
      <c r="A86" s="15">
        <v>60</v>
      </c>
      <c r="B86" s="15" t="s">
        <v>250</v>
      </c>
      <c r="C86" s="15" t="s">
        <v>251</v>
      </c>
      <c r="D86" s="17">
        <v>19728</v>
      </c>
      <c r="E86" s="79">
        <v>9129</v>
      </c>
      <c r="F86" s="18">
        <f>E86-D86</f>
        <v>-10599</v>
      </c>
      <c r="G86" s="92" t="s">
        <v>602</v>
      </c>
    </row>
    <row r="87" spans="1:7" x14ac:dyDescent="0.3">
      <c r="D87" s="17"/>
      <c r="E87" s="17"/>
      <c r="F87" s="17"/>
    </row>
    <row r="88" spans="1:7" x14ac:dyDescent="0.3">
      <c r="A88" s="15">
        <v>63</v>
      </c>
      <c r="B88" s="15" t="s">
        <v>252</v>
      </c>
      <c r="C88" s="15" t="s">
        <v>251</v>
      </c>
      <c r="D88" s="17">
        <v>18953</v>
      </c>
      <c r="E88" s="79">
        <v>18144</v>
      </c>
      <c r="F88" s="17">
        <f>E88-D88</f>
        <v>-809</v>
      </c>
    </row>
    <row r="89" spans="1:7" x14ac:dyDescent="0.3">
      <c r="D89" s="17"/>
      <c r="E89" s="17"/>
      <c r="F89" s="17"/>
    </row>
    <row r="90" spans="1:7" x14ac:dyDescent="0.3">
      <c r="A90" s="15">
        <v>68</v>
      </c>
      <c r="B90" s="15" t="s">
        <v>253</v>
      </c>
      <c r="C90" s="15" t="s">
        <v>254</v>
      </c>
      <c r="D90" s="17">
        <v>18496</v>
      </c>
      <c r="E90" s="79">
        <v>14909</v>
      </c>
      <c r="F90" s="17">
        <f>E90-D90</f>
        <v>-3587</v>
      </c>
    </row>
    <row r="91" spans="1:7" ht="14.5" thickBot="1" x14ac:dyDescent="0.35">
      <c r="D91" s="17"/>
      <c r="E91" s="17"/>
      <c r="F91" s="17"/>
    </row>
    <row r="92" spans="1:7" x14ac:dyDescent="0.3">
      <c r="A92" s="80">
        <v>72</v>
      </c>
      <c r="B92" s="81" t="s">
        <v>255</v>
      </c>
      <c r="C92" s="81" t="s">
        <v>215</v>
      </c>
      <c r="D92" s="82">
        <v>11938</v>
      </c>
      <c r="E92" s="83">
        <v>3138</v>
      </c>
      <c r="F92" s="84">
        <f>E92-D92</f>
        <v>-8800</v>
      </c>
      <c r="G92" s="85" t="s">
        <v>604</v>
      </c>
    </row>
    <row r="93" spans="1:7" ht="14.5" thickBot="1" x14ac:dyDescent="0.35">
      <c r="A93" s="93"/>
      <c r="B93" s="94"/>
      <c r="C93" s="94"/>
      <c r="D93" s="88" t="s">
        <v>591</v>
      </c>
      <c r="E93" s="88" t="s">
        <v>605</v>
      </c>
      <c r="F93" s="96"/>
      <c r="G93" s="97"/>
    </row>
    <row r="94" spans="1:7" x14ac:dyDescent="0.3">
      <c r="A94" s="15">
        <v>73</v>
      </c>
      <c r="B94" s="15" t="s">
        <v>509</v>
      </c>
      <c r="C94" s="15" t="s">
        <v>283</v>
      </c>
      <c r="D94" s="17">
        <v>8150</v>
      </c>
      <c r="E94" s="17">
        <v>0</v>
      </c>
      <c r="F94" s="18">
        <f>E94-D94</f>
        <v>-8150</v>
      </c>
      <c r="G94" s="92" t="s">
        <v>600</v>
      </c>
    </row>
    <row r="95" spans="1:7" x14ac:dyDescent="0.3">
      <c r="D95" s="17"/>
      <c r="E95" s="17"/>
      <c r="F95" s="17"/>
    </row>
    <row r="96" spans="1:7" x14ac:dyDescent="0.3">
      <c r="A96" s="15">
        <v>76</v>
      </c>
      <c r="B96" s="15" t="s">
        <v>256</v>
      </c>
      <c r="C96" s="15" t="s">
        <v>257</v>
      </c>
      <c r="D96" s="17">
        <v>10829</v>
      </c>
      <c r="E96" s="79">
        <v>5656</v>
      </c>
      <c r="F96" s="18">
        <f>E96-D96</f>
        <v>-5173</v>
      </c>
      <c r="G96" s="92" t="s">
        <v>606</v>
      </c>
    </row>
    <row r="97" spans="1:7" x14ac:dyDescent="0.3">
      <c r="D97" s="17"/>
      <c r="E97" s="17"/>
      <c r="F97" s="17"/>
    </row>
    <row r="98" spans="1:7" x14ac:dyDescent="0.3">
      <c r="A98" s="15">
        <v>77</v>
      </c>
      <c r="B98" s="15" t="s">
        <v>258</v>
      </c>
      <c r="C98" s="15" t="s">
        <v>259</v>
      </c>
      <c r="D98" s="17">
        <v>23926</v>
      </c>
      <c r="E98" s="79">
        <v>22486</v>
      </c>
      <c r="F98" s="17">
        <f>E98-D98</f>
        <v>-1440</v>
      </c>
    </row>
    <row r="99" spans="1:7" x14ac:dyDescent="0.3">
      <c r="D99" s="17"/>
      <c r="E99" s="17"/>
      <c r="F99" s="17"/>
    </row>
    <row r="100" spans="1:7" x14ac:dyDescent="0.3">
      <c r="A100" s="15">
        <v>79</v>
      </c>
      <c r="B100" s="15" t="s">
        <v>260</v>
      </c>
      <c r="C100" s="15" t="s">
        <v>87</v>
      </c>
      <c r="D100" s="17">
        <v>15043</v>
      </c>
      <c r="E100" s="79">
        <v>11732</v>
      </c>
      <c r="F100" s="17">
        <f>E100-D100</f>
        <v>-3311</v>
      </c>
    </row>
    <row r="101" spans="1:7" x14ac:dyDescent="0.3">
      <c r="D101" s="17"/>
      <c r="E101" s="17"/>
      <c r="F101" s="17"/>
    </row>
    <row r="102" spans="1:7" x14ac:dyDescent="0.3">
      <c r="A102" s="15">
        <v>80</v>
      </c>
      <c r="B102" s="15" t="s">
        <v>510</v>
      </c>
      <c r="C102" s="15" t="s">
        <v>511</v>
      </c>
      <c r="D102" s="17">
        <v>5240</v>
      </c>
      <c r="E102" s="79">
        <v>1939</v>
      </c>
      <c r="F102" s="17">
        <f>E102-D102</f>
        <v>-3301</v>
      </c>
    </row>
    <row r="103" spans="1:7" x14ac:dyDescent="0.3">
      <c r="D103" s="17"/>
      <c r="E103" s="17"/>
      <c r="F103" s="17"/>
    </row>
    <row r="104" spans="1:7" x14ac:dyDescent="0.3">
      <c r="A104" s="15">
        <v>89</v>
      </c>
      <c r="B104" s="15" t="s">
        <v>512</v>
      </c>
      <c r="C104" s="15" t="s">
        <v>513</v>
      </c>
      <c r="D104" s="17">
        <v>0</v>
      </c>
      <c r="E104" s="17">
        <v>0</v>
      </c>
      <c r="F104" s="17">
        <f>E104-D104</f>
        <v>0</v>
      </c>
    </row>
    <row r="105" spans="1:7" x14ac:dyDescent="0.3">
      <c r="D105" s="17"/>
      <c r="E105" s="17"/>
      <c r="F105" s="17"/>
    </row>
    <row r="106" spans="1:7" x14ac:dyDescent="0.3">
      <c r="A106" s="15">
        <v>91</v>
      </c>
      <c r="B106" s="15" t="s">
        <v>114</v>
      </c>
      <c r="C106" s="15" t="s">
        <v>261</v>
      </c>
      <c r="D106" s="17">
        <v>20778</v>
      </c>
      <c r="E106" s="79">
        <v>14978</v>
      </c>
      <c r="F106" s="18">
        <f>E106-D106</f>
        <v>-5800</v>
      </c>
      <c r="G106" s="92" t="s">
        <v>606</v>
      </c>
    </row>
    <row r="107" spans="1:7" x14ac:dyDescent="0.3">
      <c r="D107" s="17"/>
      <c r="E107" s="17"/>
      <c r="F107" s="17"/>
    </row>
    <row r="108" spans="1:7" x14ac:dyDescent="0.3">
      <c r="A108" s="15">
        <v>92</v>
      </c>
      <c r="B108" s="15" t="s">
        <v>262</v>
      </c>
      <c r="C108" s="15" t="s">
        <v>263</v>
      </c>
      <c r="D108" s="17">
        <v>8623</v>
      </c>
      <c r="E108" s="79">
        <v>7158</v>
      </c>
      <c r="F108" s="17">
        <f>E108-D108</f>
        <v>-1465</v>
      </c>
    </row>
    <row r="109" spans="1:7" x14ac:dyDescent="0.3">
      <c r="D109" s="17"/>
      <c r="E109" s="79"/>
      <c r="F109" s="17"/>
    </row>
    <row r="110" spans="1:7" x14ac:dyDescent="0.3">
      <c r="A110" s="15">
        <v>93</v>
      </c>
      <c r="B110" s="15" t="s">
        <v>264</v>
      </c>
      <c r="C110" s="15" t="s">
        <v>207</v>
      </c>
      <c r="D110" s="17">
        <v>13754</v>
      </c>
      <c r="E110" s="79">
        <v>10831</v>
      </c>
      <c r="F110" s="17">
        <f>E110-D110</f>
        <v>-2923</v>
      </c>
    </row>
    <row r="111" spans="1:7" x14ac:dyDescent="0.3">
      <c r="D111" s="17"/>
      <c r="E111" s="79"/>
      <c r="F111" s="17"/>
    </row>
    <row r="112" spans="1:7" x14ac:dyDescent="0.3">
      <c r="A112" s="15">
        <v>94</v>
      </c>
      <c r="B112" s="15" t="s">
        <v>253</v>
      </c>
      <c r="C112" s="15" t="s">
        <v>265</v>
      </c>
      <c r="D112" s="17">
        <v>9963</v>
      </c>
      <c r="E112" s="79">
        <v>6621</v>
      </c>
      <c r="F112" s="17">
        <f>E112-D112</f>
        <v>-3342</v>
      </c>
    </row>
    <row r="113" spans="1:7" x14ac:dyDescent="0.3">
      <c r="D113" s="17"/>
      <c r="E113" s="79"/>
      <c r="F113" s="17"/>
    </row>
    <row r="114" spans="1:7" x14ac:dyDescent="0.3">
      <c r="A114" s="15">
        <v>100</v>
      </c>
      <c r="B114" s="15" t="s">
        <v>223</v>
      </c>
      <c r="C114" s="15" t="s">
        <v>266</v>
      </c>
      <c r="D114" s="17">
        <v>4935</v>
      </c>
      <c r="E114" s="79">
        <v>2635</v>
      </c>
      <c r="F114" s="17">
        <f>E114-D114</f>
        <v>-2300</v>
      </c>
    </row>
    <row r="115" spans="1:7" x14ac:dyDescent="0.3">
      <c r="D115" s="17"/>
      <c r="E115" s="17"/>
      <c r="F115" s="17"/>
    </row>
    <row r="116" spans="1:7" x14ac:dyDescent="0.3">
      <c r="A116" s="15">
        <v>102</v>
      </c>
      <c r="B116" s="15" t="s">
        <v>514</v>
      </c>
      <c r="C116" s="15" t="s">
        <v>180</v>
      </c>
      <c r="D116" s="17">
        <v>0</v>
      </c>
      <c r="E116" s="17">
        <v>0</v>
      </c>
      <c r="F116" s="17">
        <f>E116-D116</f>
        <v>0</v>
      </c>
    </row>
    <row r="117" spans="1:7" x14ac:dyDescent="0.3">
      <c r="D117" s="17"/>
      <c r="E117" s="17"/>
      <c r="F117" s="17"/>
    </row>
    <row r="118" spans="1:7" x14ac:dyDescent="0.3">
      <c r="A118" s="15">
        <v>105</v>
      </c>
      <c r="B118" s="15" t="s">
        <v>267</v>
      </c>
      <c r="C118" s="15" t="s">
        <v>268</v>
      </c>
      <c r="D118" s="17">
        <v>6175</v>
      </c>
      <c r="E118" s="79">
        <v>3005</v>
      </c>
      <c r="F118" s="17">
        <f>E118-D118</f>
        <v>-3170</v>
      </c>
    </row>
    <row r="119" spans="1:7" x14ac:dyDescent="0.3">
      <c r="D119" s="17"/>
      <c r="E119" s="17"/>
      <c r="F119" s="17"/>
    </row>
    <row r="120" spans="1:7" x14ac:dyDescent="0.3">
      <c r="A120" s="15">
        <v>133</v>
      </c>
      <c r="B120" s="15" t="s">
        <v>187</v>
      </c>
      <c r="C120" s="15" t="s">
        <v>515</v>
      </c>
      <c r="D120" s="17">
        <v>0</v>
      </c>
      <c r="E120" s="17">
        <v>0</v>
      </c>
      <c r="F120" s="17">
        <f>E120-D120</f>
        <v>0</v>
      </c>
    </row>
    <row r="121" spans="1:7" x14ac:dyDescent="0.3">
      <c r="D121" s="17"/>
      <c r="E121" s="17"/>
      <c r="F121" s="17"/>
    </row>
    <row r="122" spans="1:7" x14ac:dyDescent="0.3">
      <c r="A122" s="15">
        <v>147</v>
      </c>
      <c r="B122" s="15" t="s">
        <v>269</v>
      </c>
      <c r="C122" s="15" t="s">
        <v>270</v>
      </c>
      <c r="D122" s="17">
        <v>16112</v>
      </c>
      <c r="E122" s="79">
        <v>13147</v>
      </c>
      <c r="F122" s="17">
        <f>E122-D122</f>
        <v>-2965</v>
      </c>
    </row>
    <row r="123" spans="1:7" x14ac:dyDescent="0.3">
      <c r="D123" s="17"/>
      <c r="E123" s="17"/>
      <c r="F123" s="17"/>
    </row>
    <row r="124" spans="1:7" x14ac:dyDescent="0.3">
      <c r="A124" s="15">
        <v>153</v>
      </c>
      <c r="B124" s="15" t="s">
        <v>516</v>
      </c>
      <c r="C124" s="15" t="s">
        <v>517</v>
      </c>
      <c r="D124" s="17">
        <v>0</v>
      </c>
      <c r="E124" s="17">
        <v>0</v>
      </c>
      <c r="F124" s="17">
        <f>E124-D124</f>
        <v>0</v>
      </c>
    </row>
    <row r="125" spans="1:7" ht="14.5" thickBot="1" x14ac:dyDescent="0.35">
      <c r="D125" s="17"/>
      <c r="E125" s="17"/>
      <c r="F125" s="17"/>
    </row>
    <row r="126" spans="1:7" x14ac:dyDescent="0.3">
      <c r="A126" s="80">
        <v>154</v>
      </c>
      <c r="B126" s="81" t="s">
        <v>271</v>
      </c>
      <c r="C126" s="81" t="s">
        <v>272</v>
      </c>
      <c r="D126" s="82">
        <v>8895</v>
      </c>
      <c r="E126" s="83">
        <v>1519</v>
      </c>
      <c r="F126" s="98">
        <f>E126-D126</f>
        <v>-7376</v>
      </c>
      <c r="G126" s="15" t="s">
        <v>607</v>
      </c>
    </row>
    <row r="127" spans="1:7" s="90" customFormat="1" ht="14.5" thickBot="1" x14ac:dyDescent="0.35">
      <c r="A127" s="86"/>
      <c r="B127" s="87"/>
      <c r="C127" s="87"/>
      <c r="D127" s="88" t="s">
        <v>608</v>
      </c>
      <c r="E127" s="88" t="s">
        <v>609</v>
      </c>
      <c r="F127" s="99"/>
    </row>
    <row r="128" spans="1:7" x14ac:dyDescent="0.3">
      <c r="A128" s="15">
        <v>155</v>
      </c>
      <c r="B128" s="15" t="s">
        <v>273</v>
      </c>
      <c r="C128" s="15" t="s">
        <v>91</v>
      </c>
      <c r="D128" s="17">
        <v>10748</v>
      </c>
      <c r="E128" s="79">
        <v>8666</v>
      </c>
      <c r="F128" s="17">
        <f>E128-D128</f>
        <v>-2082</v>
      </c>
    </row>
    <row r="129" spans="1:6" x14ac:dyDescent="0.3">
      <c r="D129" s="17"/>
      <c r="E129" s="17"/>
      <c r="F129" s="17"/>
    </row>
    <row r="130" spans="1:6" x14ac:dyDescent="0.3">
      <c r="A130" s="15">
        <v>159</v>
      </c>
      <c r="B130" s="15" t="s">
        <v>518</v>
      </c>
      <c r="C130" s="15" t="s">
        <v>519</v>
      </c>
      <c r="D130" s="17">
        <v>0</v>
      </c>
      <c r="E130" s="17">
        <v>0</v>
      </c>
      <c r="F130" s="17">
        <f>E130-D130</f>
        <v>0</v>
      </c>
    </row>
    <row r="131" spans="1:6" x14ac:dyDescent="0.3">
      <c r="D131" s="17"/>
      <c r="E131" s="17"/>
      <c r="F131" s="17"/>
    </row>
    <row r="132" spans="1:6" x14ac:dyDescent="0.3">
      <c r="A132" s="15">
        <v>160</v>
      </c>
      <c r="B132" s="15" t="s">
        <v>520</v>
      </c>
      <c r="C132" s="15" t="s">
        <v>521</v>
      </c>
      <c r="D132" s="17">
        <v>0</v>
      </c>
      <c r="E132" s="17">
        <v>0</v>
      </c>
      <c r="F132" s="17">
        <f>E132-D132</f>
        <v>0</v>
      </c>
    </row>
    <row r="133" spans="1:6" x14ac:dyDescent="0.3">
      <c r="D133" s="17"/>
      <c r="E133" s="17"/>
      <c r="F133" s="17"/>
    </row>
    <row r="134" spans="1:6" x14ac:dyDescent="0.3">
      <c r="A134" s="15">
        <v>164</v>
      </c>
      <c r="B134" s="15" t="s">
        <v>522</v>
      </c>
      <c r="C134" s="15" t="s">
        <v>523</v>
      </c>
      <c r="D134" s="17">
        <v>0</v>
      </c>
      <c r="E134" s="17">
        <v>0</v>
      </c>
      <c r="F134" s="17">
        <f>E134-D134</f>
        <v>0</v>
      </c>
    </row>
    <row r="135" spans="1:6" x14ac:dyDescent="0.3">
      <c r="D135" s="17"/>
      <c r="E135" s="17"/>
      <c r="F135" s="17"/>
    </row>
    <row r="136" spans="1:6" x14ac:dyDescent="0.3">
      <c r="A136" s="15">
        <v>165</v>
      </c>
      <c r="B136" s="15" t="s">
        <v>524</v>
      </c>
      <c r="C136" s="15" t="s">
        <v>525</v>
      </c>
      <c r="D136" s="17">
        <v>0</v>
      </c>
      <c r="E136" s="17">
        <v>0</v>
      </c>
      <c r="F136" s="17">
        <f>E136-D136</f>
        <v>0</v>
      </c>
    </row>
    <row r="137" spans="1:6" x14ac:dyDescent="0.3">
      <c r="D137" s="17"/>
      <c r="E137" s="17"/>
      <c r="F137" s="17"/>
    </row>
    <row r="138" spans="1:6" x14ac:dyDescent="0.3">
      <c r="A138" s="15">
        <v>166</v>
      </c>
      <c r="B138" s="15" t="s">
        <v>274</v>
      </c>
      <c r="C138" s="15" t="s">
        <v>275</v>
      </c>
      <c r="D138" s="17">
        <v>13580</v>
      </c>
      <c r="E138" s="79">
        <v>13532</v>
      </c>
      <c r="F138" s="17">
        <f>E138-D138</f>
        <v>-48</v>
      </c>
    </row>
    <row r="139" spans="1:6" x14ac:dyDescent="0.3">
      <c r="D139" s="17"/>
      <c r="E139" s="17"/>
      <c r="F139" s="17"/>
    </row>
    <row r="140" spans="1:6" x14ac:dyDescent="0.3">
      <c r="A140" s="15">
        <v>167</v>
      </c>
      <c r="B140" s="15" t="s">
        <v>526</v>
      </c>
      <c r="C140" s="15" t="s">
        <v>319</v>
      </c>
      <c r="D140" s="17">
        <v>0</v>
      </c>
      <c r="E140" s="17">
        <v>0</v>
      </c>
      <c r="F140" s="17">
        <f>E140-D140</f>
        <v>0</v>
      </c>
    </row>
    <row r="141" spans="1:6" x14ac:dyDescent="0.3">
      <c r="D141" s="17"/>
      <c r="E141" s="17"/>
      <c r="F141" s="17"/>
    </row>
    <row r="142" spans="1:6" x14ac:dyDescent="0.3">
      <c r="A142" s="15">
        <v>176</v>
      </c>
      <c r="B142" s="15" t="s">
        <v>527</v>
      </c>
      <c r="C142" s="15" t="s">
        <v>245</v>
      </c>
      <c r="D142" s="17">
        <v>0</v>
      </c>
      <c r="E142" s="17">
        <v>0</v>
      </c>
      <c r="F142" s="17">
        <f>E142-D142</f>
        <v>0</v>
      </c>
    </row>
    <row r="143" spans="1:6" x14ac:dyDescent="0.3">
      <c r="D143" s="17"/>
      <c r="E143" s="17"/>
      <c r="F143" s="17"/>
    </row>
    <row r="144" spans="1:6" x14ac:dyDescent="0.3">
      <c r="A144" s="15">
        <v>177</v>
      </c>
      <c r="B144" s="15" t="s">
        <v>276</v>
      </c>
      <c r="C144" s="15" t="s">
        <v>277</v>
      </c>
      <c r="D144" s="17">
        <v>11089</v>
      </c>
      <c r="E144" s="79">
        <v>8307</v>
      </c>
      <c r="F144" s="17">
        <f>E144-D144</f>
        <v>-2782</v>
      </c>
    </row>
    <row r="145" spans="1:6" x14ac:dyDescent="0.3">
      <c r="D145" s="17"/>
      <c r="E145" s="79"/>
      <c r="F145" s="17"/>
    </row>
    <row r="146" spans="1:6" x14ac:dyDescent="0.3">
      <c r="A146" s="15">
        <v>181</v>
      </c>
      <c r="B146" s="15" t="s">
        <v>278</v>
      </c>
      <c r="C146" s="15" t="s">
        <v>279</v>
      </c>
      <c r="D146" s="17">
        <v>12656</v>
      </c>
      <c r="E146" s="79">
        <v>12592</v>
      </c>
      <c r="F146" s="17">
        <f>E146-D146</f>
        <v>-64</v>
      </c>
    </row>
    <row r="147" spans="1:6" x14ac:dyDescent="0.3">
      <c r="D147" s="17"/>
      <c r="E147" s="79"/>
      <c r="F147" s="17"/>
    </row>
    <row r="148" spans="1:6" x14ac:dyDescent="0.3">
      <c r="A148" s="15">
        <v>184</v>
      </c>
      <c r="B148" s="15" t="s">
        <v>528</v>
      </c>
      <c r="C148" s="15" t="s">
        <v>123</v>
      </c>
      <c r="D148" s="17">
        <v>6905</v>
      </c>
      <c r="E148" s="79">
        <v>6880</v>
      </c>
      <c r="F148" s="17">
        <f>E148-D148</f>
        <v>-25</v>
      </c>
    </row>
    <row r="149" spans="1:6" x14ac:dyDescent="0.3">
      <c r="D149" s="17"/>
      <c r="E149" s="79"/>
      <c r="F149" s="17"/>
    </row>
    <row r="150" spans="1:6" x14ac:dyDescent="0.3">
      <c r="A150" s="15">
        <v>185</v>
      </c>
      <c r="B150" s="15" t="s">
        <v>280</v>
      </c>
      <c r="C150" s="15" t="s">
        <v>281</v>
      </c>
      <c r="D150" s="17">
        <v>5402</v>
      </c>
      <c r="E150" s="79">
        <v>4422</v>
      </c>
      <c r="F150" s="17">
        <f>E150-D150</f>
        <v>-980</v>
      </c>
    </row>
    <row r="151" spans="1:6" x14ac:dyDescent="0.3">
      <c r="D151" s="17"/>
      <c r="E151" s="17"/>
      <c r="F151" s="17"/>
    </row>
    <row r="152" spans="1:6" x14ac:dyDescent="0.3">
      <c r="A152" s="15">
        <v>186</v>
      </c>
      <c r="B152" s="15" t="s">
        <v>529</v>
      </c>
      <c r="C152" s="15" t="s">
        <v>511</v>
      </c>
      <c r="D152" s="17">
        <v>0</v>
      </c>
      <c r="E152" s="17">
        <v>0</v>
      </c>
      <c r="F152" s="17">
        <f>E152-D152</f>
        <v>0</v>
      </c>
    </row>
    <row r="153" spans="1:6" x14ac:dyDescent="0.3">
      <c r="D153" s="17"/>
      <c r="E153" s="17"/>
      <c r="F153" s="17"/>
    </row>
    <row r="154" spans="1:6" x14ac:dyDescent="0.3">
      <c r="A154" s="15">
        <v>190</v>
      </c>
      <c r="B154" s="15" t="s">
        <v>187</v>
      </c>
      <c r="C154" s="15" t="s">
        <v>97</v>
      </c>
      <c r="D154" s="17">
        <v>7868</v>
      </c>
      <c r="E154" s="79">
        <v>8832</v>
      </c>
      <c r="F154" s="17">
        <f>E154-D154</f>
        <v>964</v>
      </c>
    </row>
    <row r="155" spans="1:6" x14ac:dyDescent="0.3">
      <c r="D155" s="17"/>
      <c r="E155" s="79"/>
      <c r="F155" s="17"/>
    </row>
    <row r="156" spans="1:6" x14ac:dyDescent="0.3">
      <c r="A156" s="15">
        <v>192</v>
      </c>
      <c r="B156" s="15" t="s">
        <v>282</v>
      </c>
      <c r="C156" s="15" t="s">
        <v>283</v>
      </c>
      <c r="D156" s="17">
        <v>4543</v>
      </c>
      <c r="E156" s="79">
        <v>7420</v>
      </c>
      <c r="F156" s="17">
        <f>E156-D156</f>
        <v>2877</v>
      </c>
    </row>
    <row r="157" spans="1:6" x14ac:dyDescent="0.3">
      <c r="D157" s="17"/>
      <c r="E157" s="17"/>
      <c r="F157" s="17"/>
    </row>
    <row r="158" spans="1:6" x14ac:dyDescent="0.3">
      <c r="A158" s="15">
        <v>193</v>
      </c>
      <c r="B158" s="15" t="s">
        <v>530</v>
      </c>
      <c r="C158" s="15" t="s">
        <v>531</v>
      </c>
      <c r="D158" s="17">
        <v>0</v>
      </c>
      <c r="E158" s="17">
        <v>0</v>
      </c>
      <c r="F158" s="17">
        <f>E158-D158</f>
        <v>0</v>
      </c>
    </row>
    <row r="159" spans="1:6" x14ac:dyDescent="0.3">
      <c r="D159" s="17"/>
      <c r="E159" s="17"/>
      <c r="F159" s="17"/>
    </row>
    <row r="160" spans="1:6" x14ac:dyDescent="0.3">
      <c r="A160" s="15">
        <v>195</v>
      </c>
      <c r="B160" s="15" t="s">
        <v>284</v>
      </c>
      <c r="C160" s="15" t="s">
        <v>188</v>
      </c>
      <c r="D160" s="17">
        <v>32589</v>
      </c>
      <c r="E160" s="79">
        <v>31825</v>
      </c>
      <c r="F160" s="17">
        <f>E160-D160</f>
        <v>-764</v>
      </c>
    </row>
    <row r="161" spans="1:7" x14ac:dyDescent="0.3">
      <c r="D161" s="17"/>
      <c r="E161" s="17"/>
      <c r="F161" s="17"/>
    </row>
    <row r="162" spans="1:7" x14ac:dyDescent="0.3">
      <c r="A162" s="15">
        <v>196</v>
      </c>
      <c r="B162" s="15" t="s">
        <v>532</v>
      </c>
      <c r="C162" s="15" t="s">
        <v>236</v>
      </c>
      <c r="D162" s="17">
        <v>4689</v>
      </c>
      <c r="E162" s="17">
        <v>0</v>
      </c>
      <c r="F162" s="17">
        <f>E162-D162</f>
        <v>-4689</v>
      </c>
    </row>
    <row r="163" spans="1:7" x14ac:dyDescent="0.3">
      <c r="D163" s="17"/>
      <c r="E163" s="17"/>
      <c r="F163" s="17"/>
    </row>
    <row r="164" spans="1:7" x14ac:dyDescent="0.3">
      <c r="A164" s="15">
        <v>197</v>
      </c>
      <c r="B164" s="15" t="s">
        <v>533</v>
      </c>
      <c r="C164" s="15" t="s">
        <v>534</v>
      </c>
      <c r="D164" s="17">
        <v>5533</v>
      </c>
      <c r="E164" s="79">
        <v>2614</v>
      </c>
      <c r="F164" s="17">
        <f>E164-D164</f>
        <v>-2919</v>
      </c>
    </row>
    <row r="165" spans="1:7" x14ac:dyDescent="0.3">
      <c r="D165" s="17"/>
      <c r="E165" s="79"/>
      <c r="F165" s="17"/>
    </row>
    <row r="166" spans="1:7" x14ac:dyDescent="0.3">
      <c r="A166" s="15">
        <v>199</v>
      </c>
      <c r="B166" s="15" t="s">
        <v>535</v>
      </c>
      <c r="C166" s="15" t="s">
        <v>536</v>
      </c>
      <c r="D166" s="17">
        <v>2434</v>
      </c>
      <c r="E166" s="79">
        <v>4997</v>
      </c>
      <c r="F166" s="17">
        <f>E166-D166</f>
        <v>2563</v>
      </c>
    </row>
    <row r="167" spans="1:7" x14ac:dyDescent="0.3">
      <c r="D167" s="17"/>
      <c r="E167" s="79"/>
      <c r="F167" s="17"/>
    </row>
    <row r="168" spans="1:7" x14ac:dyDescent="0.3">
      <c r="A168" s="15">
        <v>200</v>
      </c>
      <c r="B168" s="15" t="s">
        <v>285</v>
      </c>
      <c r="C168" s="15" t="s">
        <v>286</v>
      </c>
      <c r="D168" s="17">
        <v>3095</v>
      </c>
      <c r="E168" s="79">
        <v>5959</v>
      </c>
      <c r="F168" s="17">
        <f>E168-D168</f>
        <v>2864</v>
      </c>
    </row>
    <row r="169" spans="1:7" x14ac:dyDescent="0.3">
      <c r="D169" s="17"/>
      <c r="E169" s="17"/>
      <c r="F169" s="17"/>
    </row>
    <row r="170" spans="1:7" x14ac:dyDescent="0.3">
      <c r="A170" s="15">
        <v>201</v>
      </c>
      <c r="B170" s="15" t="s">
        <v>537</v>
      </c>
      <c r="C170" s="15" t="s">
        <v>538</v>
      </c>
      <c r="D170" s="17">
        <v>199</v>
      </c>
      <c r="E170" s="17">
        <v>0</v>
      </c>
      <c r="F170" s="17">
        <f>E170-D170</f>
        <v>-199</v>
      </c>
    </row>
    <row r="171" spans="1:7" x14ac:dyDescent="0.3">
      <c r="D171" s="17"/>
      <c r="E171" s="17"/>
      <c r="F171" s="17"/>
    </row>
    <row r="172" spans="1:7" x14ac:dyDescent="0.3">
      <c r="A172" s="15">
        <v>203</v>
      </c>
      <c r="B172" s="15" t="s">
        <v>287</v>
      </c>
      <c r="C172" s="15" t="s">
        <v>288</v>
      </c>
      <c r="D172" s="17">
        <v>0</v>
      </c>
      <c r="E172" s="79">
        <v>2267</v>
      </c>
      <c r="F172" s="17">
        <f>E172-D172</f>
        <v>2267</v>
      </c>
    </row>
    <row r="173" spans="1:7" x14ac:dyDescent="0.3">
      <c r="D173" s="17"/>
      <c r="E173" s="79"/>
      <c r="F173" s="17"/>
    </row>
    <row r="174" spans="1:7" x14ac:dyDescent="0.3">
      <c r="A174" s="15">
        <v>4</v>
      </c>
      <c r="B174" s="15" t="s">
        <v>291</v>
      </c>
      <c r="C174" s="15" t="s">
        <v>292</v>
      </c>
      <c r="D174" s="17">
        <v>34591</v>
      </c>
      <c r="E174" s="79">
        <v>39008</v>
      </c>
      <c r="F174" s="17">
        <f>E174-D174</f>
        <v>4417</v>
      </c>
    </row>
    <row r="175" spans="1:7" x14ac:dyDescent="0.3">
      <c r="D175" s="17"/>
      <c r="E175" s="79"/>
      <c r="F175" s="17"/>
    </row>
    <row r="176" spans="1:7" x14ac:dyDescent="0.3">
      <c r="A176" s="15">
        <v>5</v>
      </c>
      <c r="B176" s="15" t="s">
        <v>294</v>
      </c>
      <c r="C176" s="15" t="s">
        <v>295</v>
      </c>
      <c r="D176" s="17">
        <v>67424</v>
      </c>
      <c r="E176" s="79">
        <v>40501</v>
      </c>
      <c r="F176" s="18">
        <f>E176-D176</f>
        <v>-26923</v>
      </c>
      <c r="G176" s="92" t="s">
        <v>610</v>
      </c>
    </row>
    <row r="177" spans="1:7" x14ac:dyDescent="0.3">
      <c r="D177" s="17"/>
      <c r="E177" s="79"/>
      <c r="F177" s="17"/>
    </row>
    <row r="178" spans="1:7" x14ac:dyDescent="0.3">
      <c r="A178" s="15">
        <v>54</v>
      </c>
      <c r="B178" s="15" t="s">
        <v>425</v>
      </c>
      <c r="C178" s="15" t="s">
        <v>426</v>
      </c>
      <c r="D178" s="17">
        <v>157</v>
      </c>
      <c r="E178" s="79">
        <v>4640</v>
      </c>
      <c r="F178" s="17">
        <f>E178-D178</f>
        <v>4483</v>
      </c>
    </row>
    <row r="179" spans="1:7" x14ac:dyDescent="0.3">
      <c r="D179" s="17"/>
      <c r="E179" s="17"/>
      <c r="F179" s="17"/>
    </row>
    <row r="180" spans="1:7" x14ac:dyDescent="0.3">
      <c r="A180" s="15">
        <v>61</v>
      </c>
      <c r="B180" s="15" t="s">
        <v>427</v>
      </c>
      <c r="C180" s="15" t="s">
        <v>237</v>
      </c>
      <c r="D180" s="17">
        <v>510</v>
      </c>
      <c r="E180" s="17">
        <v>0</v>
      </c>
      <c r="F180" s="17">
        <f>E180-D180</f>
        <v>-510</v>
      </c>
    </row>
    <row r="181" spans="1:7" x14ac:dyDescent="0.3">
      <c r="D181" s="17"/>
      <c r="E181" s="17"/>
      <c r="F181" s="17"/>
    </row>
    <row r="182" spans="1:7" x14ac:dyDescent="0.3">
      <c r="A182" s="15">
        <v>163</v>
      </c>
      <c r="B182" s="15" t="s">
        <v>296</v>
      </c>
      <c r="C182" s="15" t="s">
        <v>297</v>
      </c>
      <c r="D182" s="17">
        <v>13537</v>
      </c>
      <c r="E182" s="79">
        <v>13375</v>
      </c>
      <c r="F182" s="17">
        <f>E182-D182</f>
        <v>-162</v>
      </c>
    </row>
    <row r="183" spans="1:7" x14ac:dyDescent="0.3">
      <c r="D183" s="17"/>
      <c r="E183" s="79"/>
      <c r="F183" s="17"/>
    </row>
    <row r="184" spans="1:7" x14ac:dyDescent="0.3">
      <c r="A184" s="15">
        <v>6</v>
      </c>
      <c r="B184" s="15" t="s">
        <v>298</v>
      </c>
      <c r="C184" s="15" t="s">
        <v>127</v>
      </c>
      <c r="D184" s="17">
        <v>1984</v>
      </c>
      <c r="E184" s="79">
        <v>4795</v>
      </c>
      <c r="F184" s="17">
        <f>E184-D184</f>
        <v>2811</v>
      </c>
    </row>
    <row r="185" spans="1:7" x14ac:dyDescent="0.3">
      <c r="D185" s="17"/>
      <c r="E185" s="79"/>
      <c r="F185" s="17"/>
    </row>
    <row r="186" spans="1:7" x14ac:dyDescent="0.3">
      <c r="A186" s="15">
        <v>17</v>
      </c>
      <c r="B186" s="15" t="s">
        <v>299</v>
      </c>
      <c r="C186" s="15" t="s">
        <v>300</v>
      </c>
      <c r="D186" s="17">
        <v>21869</v>
      </c>
      <c r="E186" s="79">
        <v>24898</v>
      </c>
      <c r="F186" s="17">
        <f>E186-D186</f>
        <v>3029</v>
      </c>
    </row>
    <row r="187" spans="1:7" x14ac:dyDescent="0.3">
      <c r="D187" s="17"/>
      <c r="E187" s="79"/>
      <c r="F187" s="17"/>
    </row>
    <row r="188" spans="1:7" x14ac:dyDescent="0.3">
      <c r="A188" s="15">
        <v>32</v>
      </c>
      <c r="B188" s="15" t="s">
        <v>301</v>
      </c>
      <c r="C188" s="15" t="s">
        <v>283</v>
      </c>
      <c r="D188" s="17">
        <v>11190</v>
      </c>
      <c r="E188" s="79">
        <v>15083</v>
      </c>
      <c r="F188" s="17">
        <f>E188-D188</f>
        <v>3893</v>
      </c>
    </row>
    <row r="189" spans="1:7" x14ac:dyDescent="0.3">
      <c r="D189" s="17"/>
      <c r="E189" s="79"/>
      <c r="F189" s="17"/>
    </row>
    <row r="190" spans="1:7" x14ac:dyDescent="0.3">
      <c r="A190" s="15">
        <v>37</v>
      </c>
      <c r="B190" s="15" t="s">
        <v>302</v>
      </c>
      <c r="C190" s="15" t="s">
        <v>303</v>
      </c>
      <c r="D190" s="17">
        <v>325</v>
      </c>
      <c r="E190" s="79">
        <v>6244</v>
      </c>
      <c r="F190" s="18">
        <f>E190-D190</f>
        <v>5919</v>
      </c>
      <c r="G190" s="92" t="s">
        <v>611</v>
      </c>
    </row>
    <row r="191" spans="1:7" x14ac:dyDescent="0.3">
      <c r="D191" s="17"/>
      <c r="E191" s="79"/>
      <c r="F191" s="17"/>
    </row>
    <row r="192" spans="1:7" x14ac:dyDescent="0.3">
      <c r="A192" s="15">
        <v>44</v>
      </c>
      <c r="B192" s="15" t="s">
        <v>543</v>
      </c>
      <c r="C192" s="15" t="s">
        <v>544</v>
      </c>
      <c r="D192" s="17">
        <v>22198</v>
      </c>
      <c r="E192" s="79">
        <v>2657</v>
      </c>
      <c r="F192" s="18">
        <f>E192-D192</f>
        <v>-19541</v>
      </c>
      <c r="G192" s="92" t="s">
        <v>612</v>
      </c>
    </row>
    <row r="193" spans="1:7" x14ac:dyDescent="0.3">
      <c r="D193" s="17"/>
      <c r="E193" s="79"/>
      <c r="F193" s="17"/>
    </row>
    <row r="194" spans="1:7" x14ac:dyDescent="0.3">
      <c r="A194" s="15">
        <v>53</v>
      </c>
      <c r="B194" s="15" t="s">
        <v>304</v>
      </c>
      <c r="C194" s="15" t="s">
        <v>164</v>
      </c>
      <c r="D194" s="17">
        <v>11567</v>
      </c>
      <c r="E194" s="79">
        <v>15311</v>
      </c>
      <c r="F194" s="17">
        <f>E194-D194</f>
        <v>3744</v>
      </c>
    </row>
    <row r="195" spans="1:7" x14ac:dyDescent="0.3">
      <c r="D195" s="17"/>
      <c r="E195" s="79"/>
      <c r="F195" s="17"/>
    </row>
    <row r="196" spans="1:7" x14ac:dyDescent="0.3">
      <c r="A196" s="15">
        <v>57</v>
      </c>
      <c r="B196" s="15" t="s">
        <v>305</v>
      </c>
      <c r="C196" s="15" t="s">
        <v>306</v>
      </c>
      <c r="D196" s="17">
        <v>7753</v>
      </c>
      <c r="E196" s="79">
        <v>7057</v>
      </c>
      <c r="F196" s="17">
        <f>E196-D196</f>
        <v>-696</v>
      </c>
    </row>
    <row r="197" spans="1:7" ht="14.5" thickBot="1" x14ac:dyDescent="0.35">
      <c r="D197" s="17"/>
      <c r="E197" s="17"/>
      <c r="F197" s="17"/>
    </row>
    <row r="198" spans="1:7" x14ac:dyDescent="0.3">
      <c r="A198" s="80">
        <v>109</v>
      </c>
      <c r="B198" s="81" t="s">
        <v>307</v>
      </c>
      <c r="C198" s="81" t="s">
        <v>222</v>
      </c>
      <c r="D198" s="82">
        <v>586</v>
      </c>
      <c r="E198" s="83">
        <v>6005</v>
      </c>
      <c r="F198" s="84">
        <f>E198-D198</f>
        <v>5419</v>
      </c>
      <c r="G198" s="85" t="s">
        <v>613</v>
      </c>
    </row>
    <row r="199" spans="1:7" ht="14.5" thickBot="1" x14ac:dyDescent="0.35">
      <c r="A199" s="93"/>
      <c r="B199" s="94"/>
      <c r="C199" s="94"/>
      <c r="D199" s="88" t="s">
        <v>614</v>
      </c>
      <c r="E199" s="88" t="s">
        <v>615</v>
      </c>
      <c r="F199" s="96"/>
      <c r="G199" s="97"/>
    </row>
    <row r="200" spans="1:7" x14ac:dyDescent="0.3">
      <c r="A200" s="80">
        <v>119</v>
      </c>
      <c r="B200" s="81" t="s">
        <v>308</v>
      </c>
      <c r="C200" s="81" t="s">
        <v>91</v>
      </c>
      <c r="D200" s="82">
        <v>10527</v>
      </c>
      <c r="E200" s="83">
        <v>17350</v>
      </c>
      <c r="F200" s="84">
        <f>E200-D200</f>
        <v>6823</v>
      </c>
      <c r="G200" s="85" t="s">
        <v>613</v>
      </c>
    </row>
    <row r="201" spans="1:7" ht="14.5" thickBot="1" x14ac:dyDescent="0.35">
      <c r="A201" s="93"/>
      <c r="B201" s="94"/>
      <c r="C201" s="94"/>
      <c r="D201" s="88" t="s">
        <v>616</v>
      </c>
      <c r="E201" s="88" t="s">
        <v>617</v>
      </c>
      <c r="F201" s="96"/>
      <c r="G201" s="97"/>
    </row>
    <row r="202" spans="1:7" x14ac:dyDescent="0.3">
      <c r="A202" s="15">
        <v>120</v>
      </c>
      <c r="B202" s="15" t="s">
        <v>309</v>
      </c>
      <c r="C202" s="15" t="s">
        <v>310</v>
      </c>
      <c r="D202" s="17">
        <v>1203</v>
      </c>
      <c r="E202" s="79">
        <v>4342</v>
      </c>
      <c r="F202" s="17">
        <f>E202-D202</f>
        <v>3139</v>
      </c>
    </row>
    <row r="203" spans="1:7" x14ac:dyDescent="0.3">
      <c r="D203" s="17"/>
      <c r="E203" s="17"/>
      <c r="F203" s="17"/>
    </row>
    <row r="204" spans="1:7" x14ac:dyDescent="0.3">
      <c r="A204" s="15">
        <v>123</v>
      </c>
      <c r="B204" s="15" t="s">
        <v>311</v>
      </c>
      <c r="C204" s="15" t="s">
        <v>312</v>
      </c>
      <c r="D204" s="17">
        <v>10956</v>
      </c>
      <c r="E204" s="79">
        <v>15122</v>
      </c>
      <c r="F204" s="17">
        <f>E204-D204</f>
        <v>4166</v>
      </c>
    </row>
    <row r="205" spans="1:7" x14ac:dyDescent="0.3">
      <c r="D205" s="17"/>
      <c r="E205" s="17"/>
      <c r="F205" s="17"/>
    </row>
    <row r="206" spans="1:7" x14ac:dyDescent="0.3">
      <c r="A206" s="15">
        <v>142</v>
      </c>
      <c r="B206" s="15" t="s">
        <v>545</v>
      </c>
      <c r="C206" s="15" t="s">
        <v>546</v>
      </c>
      <c r="D206" s="17">
        <v>0</v>
      </c>
      <c r="E206" s="17">
        <v>0</v>
      </c>
      <c r="F206" s="17">
        <f>E206-D206</f>
        <v>0</v>
      </c>
    </row>
    <row r="207" spans="1:7" x14ac:dyDescent="0.3">
      <c r="D207" s="17"/>
      <c r="E207" s="17"/>
      <c r="F207" s="17"/>
    </row>
    <row r="208" spans="1:7" x14ac:dyDescent="0.3">
      <c r="A208" s="15">
        <v>162</v>
      </c>
      <c r="B208" s="15" t="s">
        <v>313</v>
      </c>
      <c r="C208" s="15" t="s">
        <v>314</v>
      </c>
      <c r="D208" s="17">
        <v>5682</v>
      </c>
      <c r="E208" s="79">
        <v>7795</v>
      </c>
      <c r="F208" s="17">
        <f>E208-D208</f>
        <v>2113</v>
      </c>
    </row>
    <row r="209" spans="1:7" x14ac:dyDescent="0.3">
      <c r="D209" s="17"/>
      <c r="E209" s="79"/>
      <c r="F209" s="17"/>
    </row>
    <row r="210" spans="1:7" x14ac:dyDescent="0.3">
      <c r="A210" s="15">
        <v>178</v>
      </c>
      <c r="B210" s="15" t="s">
        <v>315</v>
      </c>
      <c r="C210" s="15" t="s">
        <v>316</v>
      </c>
      <c r="D210" s="17">
        <v>9241</v>
      </c>
      <c r="E210" s="79">
        <v>10536</v>
      </c>
      <c r="F210" s="17">
        <f>E210-D210</f>
        <v>1295</v>
      </c>
    </row>
    <row r="211" spans="1:7" x14ac:dyDescent="0.3">
      <c r="D211" s="17"/>
      <c r="E211" s="79"/>
      <c r="F211" s="17"/>
    </row>
    <row r="212" spans="1:7" x14ac:dyDescent="0.3">
      <c r="A212" s="15">
        <v>188</v>
      </c>
      <c r="B212" s="15" t="s">
        <v>317</v>
      </c>
      <c r="C212" s="15" t="s">
        <v>142</v>
      </c>
      <c r="D212" s="17">
        <v>5683</v>
      </c>
      <c r="E212" s="79">
        <v>3356</v>
      </c>
      <c r="F212" s="17">
        <f>E212-D212</f>
        <v>-2327</v>
      </c>
    </row>
    <row r="213" spans="1:7" x14ac:dyDescent="0.3">
      <c r="D213" s="17"/>
      <c r="E213" s="79"/>
      <c r="F213" s="17"/>
    </row>
    <row r="214" spans="1:7" x14ac:dyDescent="0.3">
      <c r="A214" s="15">
        <v>10</v>
      </c>
      <c r="B214" s="15" t="s">
        <v>320</v>
      </c>
      <c r="C214" s="15" t="s">
        <v>165</v>
      </c>
      <c r="D214" s="17">
        <v>16607</v>
      </c>
      <c r="E214" s="79">
        <v>19234</v>
      </c>
      <c r="F214" s="17">
        <f>E214-D214</f>
        <v>2627</v>
      </c>
    </row>
    <row r="215" spans="1:7" x14ac:dyDescent="0.3">
      <c r="D215" s="17"/>
      <c r="E215" s="79"/>
      <c r="F215" s="17"/>
    </row>
    <row r="216" spans="1:7" x14ac:dyDescent="0.3">
      <c r="A216" s="15">
        <v>11</v>
      </c>
      <c r="B216" s="15" t="s">
        <v>322</v>
      </c>
      <c r="C216" s="15" t="s">
        <v>323</v>
      </c>
      <c r="D216" s="17">
        <v>21630</v>
      </c>
      <c r="E216" s="79">
        <v>24971</v>
      </c>
      <c r="F216" s="17">
        <f>E216-D216</f>
        <v>3341</v>
      </c>
    </row>
    <row r="217" spans="1:7" x14ac:dyDescent="0.3">
      <c r="D217" s="17"/>
      <c r="E217" s="79"/>
      <c r="F217" s="17"/>
    </row>
    <row r="218" spans="1:7" x14ac:dyDescent="0.3">
      <c r="A218" s="15">
        <v>12</v>
      </c>
      <c r="B218" s="15" t="s">
        <v>324</v>
      </c>
      <c r="C218" s="15" t="s">
        <v>325</v>
      </c>
      <c r="D218" s="17">
        <v>15423</v>
      </c>
      <c r="E218" s="79">
        <v>18879</v>
      </c>
      <c r="F218" s="17">
        <f>E218-D218</f>
        <v>3456</v>
      </c>
    </row>
    <row r="219" spans="1:7" x14ac:dyDescent="0.3">
      <c r="D219" s="17"/>
      <c r="E219" s="79"/>
      <c r="F219" s="17"/>
    </row>
    <row r="220" spans="1:7" x14ac:dyDescent="0.3">
      <c r="A220" s="15">
        <v>15</v>
      </c>
      <c r="B220" s="15" t="s">
        <v>326</v>
      </c>
      <c r="C220" s="15" t="s">
        <v>327</v>
      </c>
      <c r="D220" s="17">
        <v>13587</v>
      </c>
      <c r="E220" s="79">
        <v>17632</v>
      </c>
      <c r="F220" s="17">
        <f>E220-D220</f>
        <v>4045</v>
      </c>
    </row>
    <row r="221" spans="1:7" ht="14.5" thickBot="1" x14ac:dyDescent="0.35">
      <c r="D221" s="17"/>
      <c r="E221" s="17"/>
      <c r="F221" s="17"/>
    </row>
    <row r="222" spans="1:7" ht="14.5" thickBot="1" x14ac:dyDescent="0.35">
      <c r="A222" s="100">
        <v>140</v>
      </c>
      <c r="B222" s="101" t="s">
        <v>328</v>
      </c>
      <c r="C222" s="101" t="s">
        <v>172</v>
      </c>
      <c r="D222" s="102">
        <v>16976</v>
      </c>
      <c r="E222" s="103">
        <v>11906</v>
      </c>
      <c r="F222" s="104">
        <f>E222-D222</f>
        <v>-5070</v>
      </c>
      <c r="G222" s="105" t="s">
        <v>618</v>
      </c>
    </row>
    <row r="223" spans="1:7" x14ac:dyDescent="0.3">
      <c r="D223" s="17"/>
      <c r="E223" s="17"/>
      <c r="F223" s="17"/>
    </row>
    <row r="224" spans="1:7" x14ac:dyDescent="0.3">
      <c r="A224" s="15">
        <v>144</v>
      </c>
      <c r="B224" s="15" t="s">
        <v>547</v>
      </c>
      <c r="C224" s="15" t="s">
        <v>548</v>
      </c>
      <c r="D224" s="17">
        <v>0</v>
      </c>
      <c r="E224" s="17">
        <v>0</v>
      </c>
      <c r="F224" s="17">
        <f>E224-D224</f>
        <v>0</v>
      </c>
    </row>
    <row r="225" spans="1:7" x14ac:dyDescent="0.3">
      <c r="D225" s="17"/>
      <c r="E225" s="17"/>
      <c r="F225" s="17"/>
    </row>
    <row r="226" spans="1:7" x14ac:dyDescent="0.3">
      <c r="A226" s="15">
        <v>146</v>
      </c>
      <c r="B226" s="15" t="s">
        <v>549</v>
      </c>
      <c r="C226" s="15" t="s">
        <v>550</v>
      </c>
      <c r="D226" s="17">
        <v>0</v>
      </c>
      <c r="E226" s="17">
        <v>0</v>
      </c>
      <c r="F226" s="17">
        <f>E226-D226</f>
        <v>0</v>
      </c>
    </row>
    <row r="227" spans="1:7" x14ac:dyDescent="0.3">
      <c r="D227" s="17"/>
      <c r="E227" s="17"/>
      <c r="F227" s="17"/>
    </row>
    <row r="228" spans="1:7" x14ac:dyDescent="0.3">
      <c r="A228" s="15">
        <v>149</v>
      </c>
      <c r="B228" s="15" t="s">
        <v>329</v>
      </c>
      <c r="C228" s="15" t="s">
        <v>330</v>
      </c>
      <c r="D228" s="17">
        <v>11020</v>
      </c>
      <c r="E228" s="79">
        <v>13326</v>
      </c>
      <c r="F228" s="17">
        <f>E228-D228</f>
        <v>2306</v>
      </c>
    </row>
    <row r="229" spans="1:7" x14ac:dyDescent="0.3">
      <c r="D229" s="17"/>
      <c r="E229" s="17"/>
      <c r="F229" s="17"/>
    </row>
    <row r="230" spans="1:7" x14ac:dyDescent="0.3">
      <c r="A230" s="15">
        <v>179</v>
      </c>
      <c r="B230" s="15" t="s">
        <v>551</v>
      </c>
      <c r="C230" s="15" t="s">
        <v>552</v>
      </c>
      <c r="D230" s="17">
        <v>0</v>
      </c>
      <c r="E230" s="17">
        <v>0</v>
      </c>
      <c r="F230" s="17">
        <f>E230-D230</f>
        <v>0</v>
      </c>
    </row>
    <row r="231" spans="1:7" x14ac:dyDescent="0.3">
      <c r="D231" s="17"/>
      <c r="E231" s="17"/>
      <c r="F231" s="17"/>
    </row>
    <row r="232" spans="1:7" x14ac:dyDescent="0.3">
      <c r="A232" s="15">
        <v>194</v>
      </c>
      <c r="B232" s="15" t="s">
        <v>223</v>
      </c>
      <c r="C232" s="15" t="s">
        <v>259</v>
      </c>
      <c r="D232" s="17">
        <v>0</v>
      </c>
      <c r="E232" s="17">
        <v>0</v>
      </c>
      <c r="F232" s="17">
        <f>E232-D232</f>
        <v>0</v>
      </c>
    </row>
    <row r="233" spans="1:7" x14ac:dyDescent="0.3">
      <c r="D233" s="17"/>
      <c r="E233" s="17"/>
      <c r="F233" s="17"/>
    </row>
    <row r="234" spans="1:7" x14ac:dyDescent="0.3">
      <c r="A234" s="15">
        <v>202</v>
      </c>
      <c r="B234" s="15" t="s">
        <v>331</v>
      </c>
      <c r="C234" s="15" t="s">
        <v>332</v>
      </c>
      <c r="D234" s="17">
        <v>0</v>
      </c>
      <c r="E234" s="79">
        <v>4506</v>
      </c>
      <c r="F234" s="17">
        <f>E234-D234</f>
        <v>4506</v>
      </c>
    </row>
    <row r="235" spans="1:7" x14ac:dyDescent="0.3">
      <c r="D235" s="17"/>
      <c r="E235" s="79"/>
      <c r="F235" s="17"/>
    </row>
    <row r="236" spans="1:7" x14ac:dyDescent="0.3">
      <c r="A236" s="15">
        <v>8</v>
      </c>
      <c r="B236" s="15" t="s">
        <v>336</v>
      </c>
      <c r="C236" s="15" t="s">
        <v>337</v>
      </c>
      <c r="D236" s="17">
        <v>6648</v>
      </c>
      <c r="E236" s="79">
        <v>6648</v>
      </c>
      <c r="F236" s="17">
        <f>E236-D236</f>
        <v>0</v>
      </c>
    </row>
    <row r="237" spans="1:7" x14ac:dyDescent="0.3">
      <c r="D237" s="17"/>
      <c r="E237" s="79"/>
      <c r="F237" s="17"/>
    </row>
    <row r="238" spans="1:7" x14ac:dyDescent="0.3">
      <c r="A238" s="15">
        <v>9</v>
      </c>
      <c r="B238" s="15" t="s">
        <v>338</v>
      </c>
      <c r="C238" s="15" t="s">
        <v>337</v>
      </c>
      <c r="D238" s="17">
        <v>38643</v>
      </c>
      <c r="E238" s="79">
        <v>38632</v>
      </c>
      <c r="F238" s="17">
        <f>E238-D238</f>
        <v>-11</v>
      </c>
    </row>
    <row r="239" spans="1:7" ht="14.5" thickBot="1" x14ac:dyDescent="0.35">
      <c r="D239" s="17"/>
      <c r="E239" s="17"/>
      <c r="F239" s="17"/>
    </row>
    <row r="240" spans="1:7" ht="14.5" thickBot="1" x14ac:dyDescent="0.35">
      <c r="A240" s="106">
        <v>35</v>
      </c>
      <c r="B240" s="107" t="s">
        <v>339</v>
      </c>
      <c r="C240" s="107" t="s">
        <v>340</v>
      </c>
      <c r="D240" s="108">
        <v>6976</v>
      </c>
      <c r="E240" s="109">
        <v>14948</v>
      </c>
      <c r="F240" s="110">
        <f>E240-D240</f>
        <v>7972</v>
      </c>
      <c r="G240" s="105" t="s">
        <v>619</v>
      </c>
    </row>
    <row r="241" spans="1:7" x14ac:dyDescent="0.3">
      <c r="D241" s="17"/>
      <c r="E241" s="17"/>
      <c r="F241" s="17"/>
    </row>
    <row r="242" spans="1:7" x14ac:dyDescent="0.3">
      <c r="A242" s="15">
        <v>45</v>
      </c>
      <c r="B242" s="15" t="s">
        <v>341</v>
      </c>
      <c r="C242" s="15" t="s">
        <v>342</v>
      </c>
      <c r="D242" s="17">
        <v>12592</v>
      </c>
      <c r="E242" s="79">
        <v>15811</v>
      </c>
      <c r="F242" s="17">
        <f>E242-D242</f>
        <v>3219</v>
      </c>
    </row>
    <row r="243" spans="1:7" x14ac:dyDescent="0.3">
      <c r="D243" s="17"/>
      <c r="E243" s="17"/>
      <c r="F243" s="17"/>
    </row>
    <row r="244" spans="1:7" x14ac:dyDescent="0.3">
      <c r="A244" s="15">
        <v>51</v>
      </c>
      <c r="B244" s="15" t="s">
        <v>431</v>
      </c>
      <c r="C244" s="15" t="s">
        <v>222</v>
      </c>
      <c r="D244" s="17">
        <v>0</v>
      </c>
      <c r="E244" s="17">
        <v>0</v>
      </c>
      <c r="F244" s="17">
        <f>E244-D244</f>
        <v>0</v>
      </c>
    </row>
    <row r="245" spans="1:7" x14ac:dyDescent="0.3">
      <c r="D245" s="17"/>
      <c r="E245" s="17"/>
      <c r="F245" s="17"/>
    </row>
    <row r="246" spans="1:7" x14ac:dyDescent="0.3">
      <c r="A246" s="15">
        <v>125</v>
      </c>
      <c r="B246" s="15" t="s">
        <v>343</v>
      </c>
      <c r="C246" s="15" t="s">
        <v>259</v>
      </c>
      <c r="D246" s="17">
        <v>17373</v>
      </c>
      <c r="E246" s="79">
        <v>18996</v>
      </c>
      <c r="F246" s="17">
        <f>E246-D246</f>
        <v>1623</v>
      </c>
    </row>
    <row r="247" spans="1:7" x14ac:dyDescent="0.3">
      <c r="D247" s="17"/>
      <c r="E247" s="17"/>
      <c r="F247" s="17"/>
    </row>
    <row r="248" spans="1:7" x14ac:dyDescent="0.3">
      <c r="A248" s="15">
        <v>113</v>
      </c>
      <c r="B248" s="15" t="s">
        <v>553</v>
      </c>
      <c r="C248" s="15" t="s">
        <v>218</v>
      </c>
      <c r="D248" s="17">
        <v>0</v>
      </c>
      <c r="E248" s="17">
        <v>0</v>
      </c>
      <c r="F248" s="17">
        <f>E248-D248</f>
        <v>0</v>
      </c>
    </row>
    <row r="249" spans="1:7" x14ac:dyDescent="0.3">
      <c r="D249" s="17"/>
      <c r="E249" s="17"/>
      <c r="F249" s="17"/>
    </row>
    <row r="250" spans="1:7" x14ac:dyDescent="0.3">
      <c r="A250" s="15">
        <v>124</v>
      </c>
      <c r="B250" s="15" t="s">
        <v>554</v>
      </c>
      <c r="C250" s="15" t="s">
        <v>555</v>
      </c>
      <c r="D250" s="17">
        <v>5661</v>
      </c>
      <c r="E250" s="17">
        <v>0</v>
      </c>
      <c r="F250" s="18">
        <f>E250-D250</f>
        <v>-5661</v>
      </c>
      <c r="G250" s="92" t="s">
        <v>620</v>
      </c>
    </row>
    <row r="251" spans="1:7" x14ac:dyDescent="0.3">
      <c r="D251" s="17"/>
      <c r="E251" s="17"/>
      <c r="F251" s="17"/>
    </row>
    <row r="252" spans="1:7" x14ac:dyDescent="0.3">
      <c r="A252" s="15">
        <v>25</v>
      </c>
      <c r="B252" s="15" t="s">
        <v>344</v>
      </c>
      <c r="C252" s="15" t="s">
        <v>345</v>
      </c>
      <c r="D252" s="17">
        <v>48758</v>
      </c>
      <c r="E252" s="79">
        <v>48758</v>
      </c>
      <c r="F252" s="17">
        <f>E252-D252</f>
        <v>0</v>
      </c>
    </row>
    <row r="253" spans="1:7" x14ac:dyDescent="0.3">
      <c r="D253" s="17"/>
      <c r="E253" s="79"/>
      <c r="F253" s="17"/>
    </row>
    <row r="254" spans="1:7" x14ac:dyDescent="0.3">
      <c r="A254" s="15">
        <v>29</v>
      </c>
      <c r="B254" s="15" t="s">
        <v>347</v>
      </c>
      <c r="C254" s="15" t="s">
        <v>348</v>
      </c>
      <c r="D254" s="17">
        <v>20804</v>
      </c>
      <c r="E254" s="79">
        <v>18060</v>
      </c>
      <c r="F254" s="17">
        <f>E254-D254</f>
        <v>-2744</v>
      </c>
    </row>
    <row r="255" spans="1:7" x14ac:dyDescent="0.3">
      <c r="D255" s="17"/>
      <c r="E255" s="79"/>
      <c r="F255" s="17"/>
    </row>
    <row r="256" spans="1:7" x14ac:dyDescent="0.3">
      <c r="A256" s="15">
        <v>40</v>
      </c>
      <c r="B256" s="15" t="s">
        <v>349</v>
      </c>
      <c r="C256" s="15" t="s">
        <v>350</v>
      </c>
      <c r="D256" s="17">
        <v>22111</v>
      </c>
      <c r="E256" s="79">
        <v>19188</v>
      </c>
      <c r="F256" s="17">
        <f>E256-D256</f>
        <v>-2923</v>
      </c>
    </row>
    <row r="257" spans="1:6" x14ac:dyDescent="0.3">
      <c r="D257" s="17"/>
      <c r="E257" s="79"/>
      <c r="F257" s="17"/>
    </row>
    <row r="258" spans="1:6" x14ac:dyDescent="0.3">
      <c r="A258" s="15">
        <v>114</v>
      </c>
      <c r="B258" s="15" t="s">
        <v>294</v>
      </c>
      <c r="C258" s="15" t="s">
        <v>351</v>
      </c>
      <c r="D258" s="17">
        <v>19003</v>
      </c>
      <c r="E258" s="79">
        <v>17923</v>
      </c>
      <c r="F258" s="17">
        <f>E258-D258</f>
        <v>-1080</v>
      </c>
    </row>
    <row r="259" spans="1:6" x14ac:dyDescent="0.3">
      <c r="D259" s="17"/>
      <c r="E259" s="79"/>
      <c r="F259" s="17"/>
    </row>
    <row r="260" spans="1:6" x14ac:dyDescent="0.3">
      <c r="A260" s="15">
        <v>26</v>
      </c>
      <c r="B260" s="15" t="s">
        <v>352</v>
      </c>
      <c r="C260" s="15" t="s">
        <v>237</v>
      </c>
      <c r="D260" s="17">
        <v>11796</v>
      </c>
      <c r="E260" s="79">
        <v>8337</v>
      </c>
      <c r="F260" s="17">
        <f>E260-D260</f>
        <v>-3459</v>
      </c>
    </row>
    <row r="261" spans="1:6" x14ac:dyDescent="0.3">
      <c r="D261" s="17"/>
      <c r="E261" s="79"/>
      <c r="F261" s="17"/>
    </row>
    <row r="262" spans="1:6" x14ac:dyDescent="0.3">
      <c r="A262" s="15">
        <v>27</v>
      </c>
      <c r="B262" s="15" t="s">
        <v>243</v>
      </c>
      <c r="C262" s="15" t="s">
        <v>291</v>
      </c>
      <c r="D262" s="17">
        <v>15454</v>
      </c>
      <c r="E262" s="79">
        <v>13665</v>
      </c>
      <c r="F262" s="17">
        <f>E262-D262</f>
        <v>-1789</v>
      </c>
    </row>
    <row r="263" spans="1:6" x14ac:dyDescent="0.3">
      <c r="D263" s="17"/>
      <c r="E263" s="79"/>
      <c r="F263" s="17"/>
    </row>
    <row r="264" spans="1:6" x14ac:dyDescent="0.3">
      <c r="A264" s="15">
        <v>42</v>
      </c>
      <c r="B264" s="15" t="s">
        <v>353</v>
      </c>
      <c r="C264" s="15" t="s">
        <v>142</v>
      </c>
      <c r="D264" s="17">
        <v>2943</v>
      </c>
      <c r="E264" s="79">
        <v>2702</v>
      </c>
      <c r="F264" s="17">
        <f>E264-D264</f>
        <v>-241</v>
      </c>
    </row>
    <row r="265" spans="1:6" x14ac:dyDescent="0.3">
      <c r="D265" s="17"/>
      <c r="E265" s="79"/>
      <c r="F265" s="17"/>
    </row>
    <row r="266" spans="1:6" x14ac:dyDescent="0.3">
      <c r="A266" s="15">
        <v>55</v>
      </c>
      <c r="B266" s="15" t="s">
        <v>354</v>
      </c>
      <c r="C266" s="15" t="s">
        <v>355</v>
      </c>
      <c r="D266" s="17">
        <v>1348</v>
      </c>
      <c r="E266" s="79">
        <v>5248</v>
      </c>
      <c r="F266" s="17">
        <f>E266-D266</f>
        <v>3900</v>
      </c>
    </row>
    <row r="267" spans="1:6" x14ac:dyDescent="0.3">
      <c r="D267" s="17"/>
      <c r="E267" s="79"/>
      <c r="F267" s="17"/>
    </row>
    <row r="268" spans="1:6" x14ac:dyDescent="0.3">
      <c r="A268" s="15">
        <v>84</v>
      </c>
      <c r="B268" s="15" t="s">
        <v>356</v>
      </c>
      <c r="C268" s="15" t="s">
        <v>357</v>
      </c>
      <c r="D268" s="17">
        <v>17342</v>
      </c>
      <c r="E268" s="79">
        <v>15354</v>
      </c>
      <c r="F268" s="17">
        <f>E268-D268</f>
        <v>-1988</v>
      </c>
    </row>
    <row r="269" spans="1:6" x14ac:dyDescent="0.3">
      <c r="D269" s="17"/>
      <c r="E269" s="79"/>
      <c r="F269" s="17"/>
    </row>
    <row r="270" spans="1:6" x14ac:dyDescent="0.3">
      <c r="A270" s="15">
        <v>95</v>
      </c>
      <c r="B270" s="15" t="s">
        <v>358</v>
      </c>
      <c r="C270" s="15" t="s">
        <v>359</v>
      </c>
      <c r="D270" s="17">
        <v>11796</v>
      </c>
      <c r="E270" s="79">
        <v>11195</v>
      </c>
      <c r="F270" s="17">
        <f>E270-D270</f>
        <v>-601</v>
      </c>
    </row>
    <row r="271" spans="1:6" x14ac:dyDescent="0.3">
      <c r="D271" s="17"/>
      <c r="E271" s="17"/>
      <c r="F271" s="17"/>
    </row>
    <row r="272" spans="1:6" x14ac:dyDescent="0.3">
      <c r="A272" s="15">
        <v>108</v>
      </c>
      <c r="B272" s="15" t="s">
        <v>556</v>
      </c>
      <c r="C272" s="15" t="s">
        <v>557</v>
      </c>
      <c r="D272" s="17">
        <v>0</v>
      </c>
      <c r="E272" s="17">
        <v>0</v>
      </c>
      <c r="F272" s="17">
        <f>E272-D272</f>
        <v>0</v>
      </c>
    </row>
    <row r="273" spans="1:7" x14ac:dyDescent="0.3">
      <c r="D273" s="17"/>
      <c r="E273" s="17"/>
      <c r="F273" s="17"/>
    </row>
    <row r="274" spans="1:7" x14ac:dyDescent="0.3">
      <c r="A274" s="15">
        <v>117</v>
      </c>
      <c r="B274" s="15" t="s">
        <v>360</v>
      </c>
      <c r="C274" s="15" t="s">
        <v>361</v>
      </c>
      <c r="D274" s="17">
        <v>14904</v>
      </c>
      <c r="E274" s="79">
        <v>12449</v>
      </c>
      <c r="F274" s="17">
        <f>E274-D274</f>
        <v>-2455</v>
      </c>
    </row>
    <row r="275" spans="1:7" x14ac:dyDescent="0.3">
      <c r="D275" s="17"/>
      <c r="E275" s="17"/>
      <c r="F275" s="17"/>
    </row>
    <row r="276" spans="1:7" x14ac:dyDescent="0.3">
      <c r="A276" s="15">
        <v>169</v>
      </c>
      <c r="B276" s="15" t="s">
        <v>558</v>
      </c>
      <c r="C276" s="15" t="s">
        <v>542</v>
      </c>
      <c r="D276" s="17">
        <v>0</v>
      </c>
      <c r="E276" s="17">
        <v>0</v>
      </c>
      <c r="F276" s="17">
        <f>E276-D276</f>
        <v>0</v>
      </c>
    </row>
    <row r="277" spans="1:7" x14ac:dyDescent="0.3">
      <c r="D277" s="17"/>
      <c r="E277" s="17"/>
      <c r="F277" s="17"/>
    </row>
    <row r="278" spans="1:7" x14ac:dyDescent="0.3">
      <c r="A278" s="15">
        <v>187</v>
      </c>
      <c r="B278" s="15" t="s">
        <v>362</v>
      </c>
      <c r="C278" s="15" t="s">
        <v>222</v>
      </c>
      <c r="D278" s="17">
        <v>5920</v>
      </c>
      <c r="E278" s="79">
        <v>6080</v>
      </c>
      <c r="F278" s="17">
        <f>E278-D278</f>
        <v>160</v>
      </c>
    </row>
    <row r="279" spans="1:7" x14ac:dyDescent="0.3">
      <c r="D279" s="17"/>
      <c r="E279" s="17"/>
      <c r="F279" s="17"/>
    </row>
    <row r="280" spans="1:7" x14ac:dyDescent="0.3">
      <c r="A280" s="15">
        <v>189</v>
      </c>
      <c r="B280" s="15" t="s">
        <v>363</v>
      </c>
      <c r="C280" s="15" t="s">
        <v>364</v>
      </c>
      <c r="D280" s="17">
        <v>5949</v>
      </c>
      <c r="E280" s="79">
        <v>5876</v>
      </c>
      <c r="F280" s="17">
        <f>E280-D280</f>
        <v>-73</v>
      </c>
    </row>
    <row r="281" spans="1:7" x14ac:dyDescent="0.3">
      <c r="D281" s="17"/>
      <c r="E281" s="17"/>
      <c r="F281" s="17"/>
    </row>
    <row r="282" spans="1:7" x14ac:dyDescent="0.3">
      <c r="A282" s="15">
        <v>21</v>
      </c>
      <c r="B282" s="15" t="s">
        <v>367</v>
      </c>
      <c r="C282" s="15" t="s">
        <v>368</v>
      </c>
      <c r="D282" s="17">
        <v>13492</v>
      </c>
      <c r="E282" s="79">
        <v>15760</v>
      </c>
      <c r="F282" s="17">
        <f>E282-D282</f>
        <v>2268</v>
      </c>
    </row>
    <row r="283" spans="1:7" x14ac:dyDescent="0.3">
      <c r="D283" s="17"/>
      <c r="E283" s="17"/>
      <c r="F283" s="17"/>
    </row>
    <row r="284" spans="1:7" x14ac:dyDescent="0.3">
      <c r="A284" s="15">
        <v>22</v>
      </c>
      <c r="B284" s="15" t="s">
        <v>370</v>
      </c>
      <c r="C284" s="15" t="s">
        <v>371</v>
      </c>
      <c r="D284" s="17">
        <v>15852</v>
      </c>
      <c r="E284" s="79">
        <v>15922</v>
      </c>
      <c r="F284" s="17">
        <f>E284-D284</f>
        <v>70</v>
      </c>
    </row>
    <row r="285" spans="1:7" x14ac:dyDescent="0.3">
      <c r="D285" s="17"/>
      <c r="E285" s="17"/>
      <c r="F285" s="17"/>
    </row>
    <row r="286" spans="1:7" x14ac:dyDescent="0.3">
      <c r="A286" s="15">
        <v>47</v>
      </c>
      <c r="B286" s="15" t="s">
        <v>559</v>
      </c>
      <c r="C286" s="15" t="s">
        <v>560</v>
      </c>
      <c r="D286" s="17">
        <v>0</v>
      </c>
      <c r="E286" s="17">
        <v>0</v>
      </c>
      <c r="F286" s="17">
        <f>E286-D286</f>
        <v>0</v>
      </c>
    </row>
    <row r="287" spans="1:7" ht="14.5" thickBot="1" x14ac:dyDescent="0.35">
      <c r="D287" s="17"/>
      <c r="E287" s="17"/>
      <c r="F287" s="17"/>
    </row>
    <row r="288" spans="1:7" x14ac:dyDescent="0.3">
      <c r="A288" s="80">
        <v>69</v>
      </c>
      <c r="B288" s="81" t="s">
        <v>372</v>
      </c>
      <c r="C288" s="81" t="s">
        <v>91</v>
      </c>
      <c r="D288" s="82">
        <v>8778</v>
      </c>
      <c r="E288" s="83">
        <v>3558</v>
      </c>
      <c r="F288" s="84">
        <f>E288-D288</f>
        <v>-5220</v>
      </c>
      <c r="G288" s="85" t="s">
        <v>621</v>
      </c>
    </row>
    <row r="289" spans="1:7" ht="14.5" thickBot="1" x14ac:dyDescent="0.35">
      <c r="A289" s="93"/>
      <c r="B289" s="94"/>
      <c r="C289" s="94"/>
      <c r="D289" s="88" t="s">
        <v>622</v>
      </c>
      <c r="E289" s="88" t="s">
        <v>623</v>
      </c>
      <c r="F289" s="96"/>
      <c r="G289" s="97"/>
    </row>
    <row r="290" spans="1:7" x14ac:dyDescent="0.3">
      <c r="A290" s="15">
        <v>85</v>
      </c>
      <c r="B290" s="15" t="s">
        <v>373</v>
      </c>
      <c r="C290" s="15" t="s">
        <v>374</v>
      </c>
      <c r="D290" s="17">
        <v>10738</v>
      </c>
      <c r="E290" s="79">
        <v>9461</v>
      </c>
      <c r="F290" s="17">
        <f>E290-D290</f>
        <v>-1277</v>
      </c>
    </row>
    <row r="291" spans="1:7" x14ac:dyDescent="0.3">
      <c r="D291" s="17"/>
      <c r="E291" s="17"/>
      <c r="F291" s="17"/>
    </row>
    <row r="292" spans="1:7" x14ac:dyDescent="0.3">
      <c r="A292" s="15">
        <v>87</v>
      </c>
      <c r="B292" s="15" t="s">
        <v>375</v>
      </c>
      <c r="C292" s="15" t="s">
        <v>142</v>
      </c>
      <c r="D292" s="17">
        <v>9723</v>
      </c>
      <c r="E292" s="79">
        <v>10367</v>
      </c>
      <c r="F292" s="17">
        <f>E292-D292</f>
        <v>644</v>
      </c>
    </row>
    <row r="293" spans="1:7" x14ac:dyDescent="0.3">
      <c r="D293" s="17"/>
      <c r="E293" s="17"/>
      <c r="F293" s="17"/>
    </row>
    <row r="294" spans="1:7" x14ac:dyDescent="0.3">
      <c r="A294" s="15">
        <v>88</v>
      </c>
      <c r="B294" s="15" t="s">
        <v>376</v>
      </c>
      <c r="C294" s="15" t="s">
        <v>377</v>
      </c>
      <c r="D294" s="17">
        <v>7070</v>
      </c>
      <c r="E294" s="79">
        <v>4872</v>
      </c>
      <c r="F294" s="17">
        <f>E294-D294</f>
        <v>-2198</v>
      </c>
    </row>
    <row r="295" spans="1:7" x14ac:dyDescent="0.3">
      <c r="D295" s="17"/>
      <c r="E295" s="17"/>
      <c r="F295" s="17"/>
    </row>
    <row r="296" spans="1:7" x14ac:dyDescent="0.3">
      <c r="A296" s="15">
        <v>118</v>
      </c>
      <c r="B296" s="15" t="s">
        <v>378</v>
      </c>
      <c r="C296" s="15" t="s">
        <v>379</v>
      </c>
      <c r="D296" s="17">
        <v>11448</v>
      </c>
      <c r="E296" s="79">
        <v>10896</v>
      </c>
      <c r="F296" s="17">
        <f>E296-D296</f>
        <v>-552</v>
      </c>
    </row>
    <row r="297" spans="1:7" x14ac:dyDescent="0.3">
      <c r="D297" s="17"/>
      <c r="E297" s="17"/>
      <c r="F297" s="17"/>
    </row>
    <row r="298" spans="1:7" x14ac:dyDescent="0.3">
      <c r="A298" s="15">
        <v>132</v>
      </c>
      <c r="B298" s="15" t="s">
        <v>380</v>
      </c>
      <c r="C298" s="15" t="s">
        <v>322</v>
      </c>
      <c r="D298" s="17">
        <v>7236</v>
      </c>
      <c r="E298" s="79">
        <v>8005</v>
      </c>
      <c r="F298" s="17">
        <f>E298-D298</f>
        <v>769</v>
      </c>
    </row>
    <row r="299" spans="1:7" x14ac:dyDescent="0.3">
      <c r="D299" s="17"/>
      <c r="E299" s="17"/>
      <c r="F299" s="17"/>
    </row>
    <row r="300" spans="1:7" x14ac:dyDescent="0.3">
      <c r="A300" s="15">
        <v>148</v>
      </c>
      <c r="B300" s="15" t="s">
        <v>561</v>
      </c>
      <c r="C300" s="15" t="s">
        <v>562</v>
      </c>
      <c r="D300" s="17">
        <v>0</v>
      </c>
      <c r="E300" s="17">
        <v>0</v>
      </c>
      <c r="F300" s="17">
        <f>E300-D300</f>
        <v>0</v>
      </c>
    </row>
    <row r="301" spans="1:7" x14ac:dyDescent="0.3">
      <c r="D301" s="17"/>
      <c r="E301" s="17"/>
      <c r="F301" s="17"/>
    </row>
    <row r="302" spans="1:7" x14ac:dyDescent="0.3">
      <c r="A302" s="15">
        <v>150</v>
      </c>
      <c r="B302" s="15" t="s">
        <v>563</v>
      </c>
      <c r="C302" s="15" t="s">
        <v>283</v>
      </c>
      <c r="D302" s="17">
        <v>0</v>
      </c>
      <c r="E302" s="17">
        <v>0</v>
      </c>
      <c r="F302" s="17">
        <f>E302-D302</f>
        <v>0</v>
      </c>
    </row>
    <row r="303" spans="1:7" x14ac:dyDescent="0.3">
      <c r="D303" s="17"/>
      <c r="E303" s="17"/>
      <c r="F303" s="17"/>
    </row>
    <row r="304" spans="1:7" x14ac:dyDescent="0.3">
      <c r="A304" s="15">
        <v>152</v>
      </c>
      <c r="B304" s="15" t="s">
        <v>564</v>
      </c>
      <c r="C304" s="15" t="s">
        <v>565</v>
      </c>
      <c r="D304" s="17">
        <v>0</v>
      </c>
      <c r="E304" s="17">
        <v>0</v>
      </c>
      <c r="F304" s="17">
        <f>E304-D304</f>
        <v>0</v>
      </c>
    </row>
    <row r="305" spans="1:7" x14ac:dyDescent="0.3">
      <c r="D305" s="17"/>
      <c r="E305" s="17"/>
      <c r="F305" s="17"/>
    </row>
    <row r="306" spans="1:7" x14ac:dyDescent="0.3">
      <c r="A306" s="15">
        <v>182</v>
      </c>
      <c r="B306" s="15" t="s">
        <v>566</v>
      </c>
      <c r="C306" s="15" t="s">
        <v>361</v>
      </c>
      <c r="D306" s="17">
        <v>0</v>
      </c>
      <c r="E306" s="17">
        <v>0</v>
      </c>
      <c r="F306" s="17">
        <f>E306-D306</f>
        <v>0</v>
      </c>
    </row>
    <row r="307" spans="1:7" x14ac:dyDescent="0.3">
      <c r="D307" s="17"/>
      <c r="E307" s="17"/>
      <c r="F307" s="17"/>
    </row>
    <row r="308" spans="1:7" x14ac:dyDescent="0.3">
      <c r="A308" s="15">
        <v>191</v>
      </c>
      <c r="B308" s="15" t="s">
        <v>381</v>
      </c>
      <c r="C308" s="15" t="s">
        <v>382</v>
      </c>
      <c r="D308" s="17">
        <v>9452</v>
      </c>
      <c r="E308" s="79">
        <v>8007</v>
      </c>
      <c r="F308" s="17">
        <f>E308-D308</f>
        <v>-1445</v>
      </c>
    </row>
    <row r="309" spans="1:7" x14ac:dyDescent="0.3">
      <c r="D309" s="17"/>
      <c r="E309" s="79"/>
      <c r="F309" s="17"/>
    </row>
    <row r="310" spans="1:7" x14ac:dyDescent="0.3">
      <c r="A310" s="15">
        <v>41</v>
      </c>
      <c r="B310" s="15" t="s">
        <v>194</v>
      </c>
      <c r="C310" s="15" t="s">
        <v>383</v>
      </c>
      <c r="D310" s="17">
        <v>27656</v>
      </c>
      <c r="E310" s="79">
        <v>27914</v>
      </c>
      <c r="F310" s="17">
        <f>E310-D310</f>
        <v>258</v>
      </c>
    </row>
    <row r="311" spans="1:7" x14ac:dyDescent="0.3">
      <c r="D311" s="17"/>
      <c r="E311" s="79"/>
      <c r="F311" s="17"/>
    </row>
    <row r="312" spans="1:7" x14ac:dyDescent="0.3">
      <c r="A312" s="15">
        <v>65</v>
      </c>
      <c r="B312" s="15" t="s">
        <v>384</v>
      </c>
      <c r="C312" s="15" t="s">
        <v>385</v>
      </c>
      <c r="D312" s="17">
        <v>12890</v>
      </c>
      <c r="E312" s="79">
        <v>13049</v>
      </c>
      <c r="F312" s="17">
        <f>E312-D312</f>
        <v>159</v>
      </c>
    </row>
    <row r="313" spans="1:7" x14ac:dyDescent="0.3">
      <c r="D313" s="17"/>
      <c r="E313" s="79"/>
      <c r="F313" s="17"/>
    </row>
    <row r="314" spans="1:7" x14ac:dyDescent="0.3">
      <c r="A314" s="15">
        <v>96</v>
      </c>
      <c r="B314" s="15" t="s">
        <v>386</v>
      </c>
      <c r="C314" s="15" t="s">
        <v>387</v>
      </c>
      <c r="D314" s="17">
        <v>27789</v>
      </c>
      <c r="E314" s="79">
        <v>24361</v>
      </c>
      <c r="F314" s="17">
        <f>E314-D314</f>
        <v>-3428</v>
      </c>
    </row>
    <row r="315" spans="1:7" ht="14.5" thickBot="1" x14ac:dyDescent="0.35">
      <c r="D315" s="17"/>
      <c r="E315" s="17"/>
      <c r="F315" s="17"/>
    </row>
    <row r="316" spans="1:7" ht="14.5" thickBot="1" x14ac:dyDescent="0.35">
      <c r="A316" s="106">
        <v>151</v>
      </c>
      <c r="B316" s="107" t="s">
        <v>388</v>
      </c>
      <c r="C316" s="107" t="s">
        <v>389</v>
      </c>
      <c r="D316" s="108">
        <v>10787</v>
      </c>
      <c r="E316" s="109">
        <v>21805</v>
      </c>
      <c r="F316" s="110">
        <f>E316-D316</f>
        <v>11018</v>
      </c>
      <c r="G316" s="111" t="s">
        <v>624</v>
      </c>
    </row>
    <row r="317" spans="1:7" x14ac:dyDescent="0.3">
      <c r="D317" s="17"/>
      <c r="E317" s="17"/>
      <c r="F317" s="17"/>
    </row>
    <row r="318" spans="1:7" x14ac:dyDescent="0.3">
      <c r="A318" s="15">
        <v>183</v>
      </c>
      <c r="B318" s="15" t="s">
        <v>390</v>
      </c>
      <c r="C318" s="15" t="s">
        <v>135</v>
      </c>
      <c r="D318" s="17">
        <v>2313</v>
      </c>
      <c r="E318" s="79">
        <v>4807</v>
      </c>
      <c r="F318" s="17">
        <f>E318-D318</f>
        <v>2494</v>
      </c>
    </row>
    <row r="319" spans="1:7" x14ac:dyDescent="0.3">
      <c r="D319" s="17"/>
      <c r="E319" s="79"/>
      <c r="F319" s="17"/>
    </row>
    <row r="320" spans="1:7" x14ac:dyDescent="0.3">
      <c r="A320" s="15">
        <v>141</v>
      </c>
      <c r="B320" s="15" t="s">
        <v>391</v>
      </c>
      <c r="C320" s="15" t="s">
        <v>392</v>
      </c>
      <c r="D320" s="17">
        <v>7525</v>
      </c>
      <c r="E320" s="79">
        <v>7927</v>
      </c>
      <c r="F320" s="17">
        <f>E320-D320</f>
        <v>402</v>
      </c>
    </row>
    <row r="321" spans="1:7" x14ac:dyDescent="0.3">
      <c r="D321" s="17"/>
      <c r="E321" s="79"/>
      <c r="F321" s="17"/>
    </row>
    <row r="322" spans="1:7" x14ac:dyDescent="0.3">
      <c r="A322" s="15">
        <v>161</v>
      </c>
      <c r="B322" s="15" t="s">
        <v>393</v>
      </c>
      <c r="C322" s="15" t="s">
        <v>394</v>
      </c>
      <c r="D322" s="17">
        <v>31553</v>
      </c>
      <c r="E322" s="79">
        <v>31553</v>
      </c>
      <c r="F322" s="17">
        <f>E322-D322</f>
        <v>0</v>
      </c>
    </row>
    <row r="323" spans="1:7" x14ac:dyDescent="0.3">
      <c r="D323" s="17"/>
      <c r="E323" s="79"/>
      <c r="F323" s="17"/>
    </row>
    <row r="324" spans="1:7" x14ac:dyDescent="0.3">
      <c r="A324" s="15">
        <v>97</v>
      </c>
      <c r="B324" s="15" t="s">
        <v>395</v>
      </c>
      <c r="C324" s="15" t="s">
        <v>236</v>
      </c>
      <c r="D324" s="17">
        <v>7056</v>
      </c>
      <c r="E324" s="79">
        <v>3471</v>
      </c>
      <c r="F324" s="17">
        <f>E324-D324</f>
        <v>-3585</v>
      </c>
    </row>
    <row r="325" spans="1:7" x14ac:dyDescent="0.3">
      <c r="D325" s="17"/>
      <c r="E325" s="79"/>
      <c r="F325" s="17"/>
    </row>
    <row r="326" spans="1:7" x14ac:dyDescent="0.3">
      <c r="A326" s="15">
        <v>1</v>
      </c>
      <c r="B326" s="15" t="s">
        <v>396</v>
      </c>
      <c r="C326" s="15" t="s">
        <v>397</v>
      </c>
      <c r="D326" s="17">
        <v>39530</v>
      </c>
      <c r="E326" s="79">
        <v>39530</v>
      </c>
      <c r="F326" s="17">
        <f>E326-D326</f>
        <v>0</v>
      </c>
    </row>
    <row r="327" spans="1:7" x14ac:dyDescent="0.3">
      <c r="D327" s="17"/>
      <c r="E327" s="17"/>
      <c r="F327" s="17"/>
    </row>
    <row r="328" spans="1:7" x14ac:dyDescent="0.3">
      <c r="A328" s="15">
        <v>168</v>
      </c>
      <c r="B328" s="15" t="s">
        <v>175</v>
      </c>
      <c r="C328" s="15" t="s">
        <v>567</v>
      </c>
      <c r="D328" s="17">
        <v>0</v>
      </c>
      <c r="E328" s="17">
        <v>0</v>
      </c>
      <c r="F328" s="17">
        <f>E328-D328</f>
        <v>0</v>
      </c>
    </row>
    <row r="329" spans="1:7" x14ac:dyDescent="0.3">
      <c r="D329" s="17"/>
      <c r="E329" s="17"/>
      <c r="F329" s="17"/>
    </row>
    <row r="330" spans="1:7" x14ac:dyDescent="0.3">
      <c r="A330" s="15">
        <v>198</v>
      </c>
      <c r="B330" s="15" t="s">
        <v>398</v>
      </c>
      <c r="C330" s="15" t="s">
        <v>303</v>
      </c>
      <c r="D330" s="17">
        <v>16123</v>
      </c>
      <c r="E330" s="79">
        <v>38014</v>
      </c>
      <c r="F330" s="18">
        <f>E330-D330</f>
        <v>21891</v>
      </c>
      <c r="G330" s="92" t="s">
        <v>625</v>
      </c>
    </row>
    <row r="331" spans="1:7" x14ac:dyDescent="0.3">
      <c r="D331" s="17"/>
      <c r="E331" s="17"/>
      <c r="F331" s="17"/>
    </row>
    <row r="332" spans="1:7" x14ac:dyDescent="0.3">
      <c r="D332" s="65">
        <f>SUM(D4:D330)</f>
        <v>1857418</v>
      </c>
      <c r="E332" s="65">
        <f>SUM(E4:E330)</f>
        <v>1739988</v>
      </c>
      <c r="F332" s="65">
        <f>SUM(F4:F330)</f>
        <v>-117430</v>
      </c>
    </row>
    <row r="333" spans="1:7" x14ac:dyDescent="0.3">
      <c r="D333" s="17"/>
      <c r="E333" s="17"/>
      <c r="F333" s="17"/>
    </row>
    <row r="334" spans="1:7" x14ac:dyDescent="0.3">
      <c r="D334" s="17"/>
      <c r="E334" s="112">
        <f>E332/D332</f>
        <v>0.93677782814638388</v>
      </c>
      <c r="F334" s="17"/>
    </row>
    <row r="335" spans="1:7" x14ac:dyDescent="0.3">
      <c r="D335" s="17"/>
    </row>
    <row r="339" spans="5:5" x14ac:dyDescent="0.3">
      <c r="E339" s="17"/>
    </row>
    <row r="1048576" spans="6:6" x14ac:dyDescent="0.3">
      <c r="F1048576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885AC642488A443B4DBC03C35BF4BD2" ma:contentTypeVersion="11" ma:contentTypeDescription="צור מסמך חדש." ma:contentTypeScope="" ma:versionID="ca0f5b0c741a26d016d9f7be38e9caae">
  <xsd:schema xmlns:xsd="http://www.w3.org/2001/XMLSchema" xmlns:xs="http://www.w3.org/2001/XMLSchema" xmlns:p="http://schemas.microsoft.com/office/2006/metadata/properties" xmlns:ns2="54a449ee-c8cc-4fea-a6c0-4b0cfb2778c2" xmlns:ns3="f149b1aa-de95-4454-a36b-2aa770d4e472" targetNamespace="http://schemas.microsoft.com/office/2006/metadata/properties" ma:root="true" ma:fieldsID="b3a88f120a46d8ae4fb2b626c9883112" ns2:_="" ns3:_="">
    <xsd:import namespace="54a449ee-c8cc-4fea-a6c0-4b0cfb2778c2"/>
    <xsd:import namespace="f149b1aa-de95-4454-a36b-2aa770d4e4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449ee-c8cc-4fea-a6c0-4b0cfb2778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278247e2-4556-45bd-b1be-26ffbbc1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9b1aa-de95-4454-a36b-2aa770d4e4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3044e93-f534-4bfa-9f9c-6e840997c548}" ma:internalName="TaxCatchAll" ma:showField="CatchAllData" ma:web="f149b1aa-de95-4454-a36b-2aa770d4e4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a449ee-c8cc-4fea-a6c0-4b0cfb2778c2">
      <Terms xmlns="http://schemas.microsoft.com/office/infopath/2007/PartnerControls"/>
    </lcf76f155ced4ddcb4097134ff3c332f>
    <TaxCatchAll xmlns="f149b1aa-de95-4454-a36b-2aa770d4e472" xsi:nil="true"/>
  </documentManagement>
</p:properties>
</file>

<file path=customXml/itemProps1.xml><?xml version="1.0" encoding="utf-8"?>
<ds:datastoreItem xmlns:ds="http://schemas.openxmlformats.org/officeDocument/2006/customXml" ds:itemID="{BAEE4BE5-D66F-4CEE-871E-9AA0A2A7E3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2F9FE9-6975-4C98-9637-32C9BF551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449ee-c8cc-4fea-a6c0-4b0cfb2778c2"/>
    <ds:schemaRef ds:uri="f149b1aa-de95-4454-a36b-2aa770d4e4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895B65-8F8F-40D8-B226-735303CE9254}">
  <ds:schemaRefs>
    <ds:schemaRef ds:uri="http://schemas.microsoft.com/office/2006/metadata/properties"/>
    <ds:schemaRef ds:uri="http://schemas.microsoft.com/office/infopath/2007/PartnerControls"/>
    <ds:schemaRef ds:uri="54a449ee-c8cc-4fea-a6c0-4b0cfb2778c2"/>
    <ds:schemaRef ds:uri="f149b1aa-de95-4454-a36b-2aa770d4e4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סיכום -  סניפים ומחלקות</vt:lpstr>
      <vt:lpstr>הכנסות - מרכז</vt:lpstr>
      <vt:lpstr>סעיפי הכנסות</vt:lpstr>
      <vt:lpstr>וטרמקט ואלסמד</vt:lpstr>
      <vt:lpstr>וטמרקט ואלסמד 2-4.26</vt:lpstr>
      <vt:lpstr>רופאים בחשבונית</vt:lpstr>
      <vt:lpstr>נתוני רחובות</vt:lpstr>
      <vt:lpstr>נתוני ב"ש</vt:lpstr>
      <vt:lpstr>נתוני חיפה</vt:lpstr>
      <vt:lpstr>נתוני מוצקין</vt:lpstr>
      <vt:lpstr>סה"כ כ"ס</vt:lpstr>
      <vt:lpstr>נתוני כ"ס - חירום</vt:lpstr>
      <vt:lpstr>נתוני כ"ס - נוירו </vt:lpstr>
      <vt:lpstr>נתוני כ"ס - הדמיה</vt:lpstr>
      <vt:lpstr>נתוני כ"ס - כירורגיה</vt:lpstr>
      <vt:lpstr>נתוני כ"ס - קרדיולוגיה</vt:lpstr>
      <vt:lpstr>נתוני כ"ס - הרדמה</vt:lpstr>
      <vt:lpstr>נתוני כ"ס - אחר</vt:lpstr>
      <vt:lpstr>גיליון3</vt:lpstr>
      <vt:lpstr>כ"ס ללא מע"מ  2.26</vt:lpstr>
      <vt:lpstr>גליון1</vt:lpstr>
      <vt:lpstr>השוואה חודשית 11.25 מול 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דנה נמני סמנכ"לית כספים חוות דעת</dc:creator>
  <cp:lastModifiedBy>Dr  Zeev Gans</cp:lastModifiedBy>
  <dcterms:created xsi:type="dcterms:W3CDTF">2026-02-08T17:07:03Z</dcterms:created>
  <dcterms:modified xsi:type="dcterms:W3CDTF">2026-06-18T11:10:31Z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0x010100A885AC642488A443B4DBC03C35BF4BD2</vt:lpwstr>
  </property>
  <property fmtid="{D5CDD505-2E9C-101B-9397-08002B2CF9AE}" pid="3" name="MediaServiceImageTags">
    <vt:lpwstr/>
  </property>
</Properties>
</file>