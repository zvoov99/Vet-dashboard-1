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vatdaat-my.sharepoint.com/personal/zeev_gans_chavatdaat_co_il/Documents/Desktop/"/>
    </mc:Choice>
  </mc:AlternateContent>
  <xr:revisionPtr revIDLastSave="2" documentId="8_{FBE4B445-D35E-42D5-965E-3A6853382F1B}" xr6:coauthVersionLast="47" xr6:coauthVersionMax="47" xr10:uidLastSave="{9B3E39D4-84AF-435B-9ABE-A45A2E73EEB0}"/>
  <bookViews>
    <workbookView xWindow="-110" yWindow="-110" windowWidth="19420" windowHeight="10300" xr2:uid="{E1F200D0-6968-47F1-8AB6-8751FB29347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96" i="1" l="1"/>
  <c r="K197" i="1" s="1"/>
  <c r="C196" i="1"/>
  <c r="C197" i="1" s="1"/>
  <c r="D195" i="1"/>
  <c r="K194" i="1"/>
  <c r="J194" i="1"/>
  <c r="I194" i="1"/>
  <c r="H194" i="1"/>
  <c r="G194" i="1"/>
  <c r="G195" i="1" s="1"/>
  <c r="F194" i="1"/>
  <c r="F195" i="1" s="1"/>
  <c r="E194" i="1"/>
  <c r="E195" i="1" s="1"/>
  <c r="D194" i="1"/>
  <c r="E193" i="1"/>
  <c r="D193" i="1"/>
  <c r="E191" i="1"/>
  <c r="K190" i="1"/>
  <c r="K191" i="1" s="1"/>
  <c r="J190" i="1"/>
  <c r="I190" i="1"/>
  <c r="H190" i="1"/>
  <c r="H191" i="1" s="1"/>
  <c r="G190" i="1"/>
  <c r="G191" i="1" s="1"/>
  <c r="F190" i="1"/>
  <c r="F191" i="1" s="1"/>
  <c r="E190" i="1"/>
  <c r="D190" i="1"/>
  <c r="D191" i="1" s="1"/>
  <c r="C190" i="1"/>
  <c r="C191" i="1" s="1"/>
  <c r="H189" i="1"/>
  <c r="G189" i="1"/>
  <c r="K188" i="1"/>
  <c r="K189" i="1" s="1"/>
  <c r="J188" i="1"/>
  <c r="I188" i="1"/>
  <c r="I189" i="1" s="1"/>
  <c r="H188" i="1"/>
  <c r="G188" i="1"/>
  <c r="F188" i="1"/>
  <c r="F189" i="1" s="1"/>
  <c r="E188" i="1"/>
  <c r="E189" i="1" s="1"/>
  <c r="D188" i="1"/>
  <c r="C188" i="1"/>
  <c r="C189" i="1" s="1"/>
  <c r="K187" i="1"/>
  <c r="K195" i="1" s="1"/>
  <c r="J187" i="1"/>
  <c r="I187" i="1"/>
  <c r="H187" i="1"/>
  <c r="H196" i="1" s="1"/>
  <c r="H197" i="1" s="1"/>
  <c r="G187" i="1"/>
  <c r="G196" i="1" s="1"/>
  <c r="G197" i="1" s="1"/>
  <c r="F187" i="1"/>
  <c r="F193" i="1" s="1"/>
  <c r="E187" i="1"/>
  <c r="E196" i="1" s="1"/>
  <c r="E197" i="1" s="1"/>
  <c r="D187" i="1"/>
  <c r="D196" i="1" s="1"/>
  <c r="D197" i="1" s="1"/>
  <c r="C187" i="1"/>
  <c r="C195" i="1" s="1"/>
  <c r="K182" i="1"/>
  <c r="K183" i="1" s="1"/>
  <c r="D182" i="1"/>
  <c r="D183" i="1" s="1"/>
  <c r="D181" i="1"/>
  <c r="K180" i="1"/>
  <c r="J180" i="1"/>
  <c r="I180" i="1"/>
  <c r="H180" i="1"/>
  <c r="H181" i="1" s="1"/>
  <c r="G180" i="1"/>
  <c r="G181" i="1" s="1"/>
  <c r="F180" i="1"/>
  <c r="F181" i="1" s="1"/>
  <c r="E180" i="1"/>
  <c r="E182" i="1" s="1"/>
  <c r="E183" i="1" s="1"/>
  <c r="F179" i="1"/>
  <c r="E179" i="1"/>
  <c r="D179" i="1"/>
  <c r="G177" i="1"/>
  <c r="F177" i="1"/>
  <c r="E177" i="1"/>
  <c r="K176" i="1"/>
  <c r="J176" i="1"/>
  <c r="J177" i="1" s="1"/>
  <c r="I176" i="1"/>
  <c r="H176" i="1"/>
  <c r="H177" i="1" s="1"/>
  <c r="G176" i="1"/>
  <c r="F176" i="1"/>
  <c r="E176" i="1"/>
  <c r="D176" i="1"/>
  <c r="D177" i="1" s="1"/>
  <c r="C176" i="1"/>
  <c r="I175" i="1"/>
  <c r="G175" i="1"/>
  <c r="K174" i="1"/>
  <c r="J174" i="1"/>
  <c r="I174" i="1"/>
  <c r="H174" i="1"/>
  <c r="H175" i="1" s="1"/>
  <c r="G174" i="1"/>
  <c r="F174" i="1"/>
  <c r="F175" i="1" s="1"/>
  <c r="E174" i="1"/>
  <c r="E175" i="1" s="1"/>
  <c r="D174" i="1"/>
  <c r="D175" i="1" s="1"/>
  <c r="C174" i="1"/>
  <c r="K173" i="1"/>
  <c r="K179" i="1" s="1"/>
  <c r="J173" i="1"/>
  <c r="I173" i="1"/>
  <c r="H173" i="1"/>
  <c r="G173" i="1"/>
  <c r="G182" i="1" s="1"/>
  <c r="G183" i="1" s="1"/>
  <c r="F173" i="1"/>
  <c r="E173" i="1"/>
  <c r="D173" i="1"/>
  <c r="C173" i="1"/>
  <c r="C169" i="1"/>
  <c r="C168" i="1"/>
  <c r="K166" i="1"/>
  <c r="K167" i="1" s="1"/>
  <c r="J166" i="1"/>
  <c r="I166" i="1"/>
  <c r="H166" i="1"/>
  <c r="H167" i="1" s="1"/>
  <c r="G166" i="1"/>
  <c r="G167" i="1" s="1"/>
  <c r="F166" i="1"/>
  <c r="F167" i="1" s="1"/>
  <c r="E166" i="1"/>
  <c r="E167" i="1" s="1"/>
  <c r="D166" i="1"/>
  <c r="G165" i="1"/>
  <c r="F165" i="1"/>
  <c r="E165" i="1"/>
  <c r="G163" i="1"/>
  <c r="F163" i="1"/>
  <c r="K162" i="1"/>
  <c r="J162" i="1"/>
  <c r="I162" i="1"/>
  <c r="I163" i="1" s="1"/>
  <c r="H162" i="1"/>
  <c r="H163" i="1" s="1"/>
  <c r="G162" i="1"/>
  <c r="F162" i="1"/>
  <c r="E162" i="1"/>
  <c r="E163" i="1" s="1"/>
  <c r="D162" i="1"/>
  <c r="D163" i="1" s="1"/>
  <c r="C162" i="1"/>
  <c r="I161" i="1"/>
  <c r="H161" i="1"/>
  <c r="K160" i="1"/>
  <c r="K161" i="1" s="1"/>
  <c r="J160" i="1"/>
  <c r="J161" i="1" s="1"/>
  <c r="I160" i="1"/>
  <c r="H160" i="1"/>
  <c r="G160" i="1"/>
  <c r="G161" i="1" s="1"/>
  <c r="F160" i="1"/>
  <c r="F161" i="1" s="1"/>
  <c r="E160" i="1"/>
  <c r="E161" i="1" s="1"/>
  <c r="D160" i="1"/>
  <c r="C160" i="1"/>
  <c r="K159" i="1"/>
  <c r="J159" i="1"/>
  <c r="I159" i="1"/>
  <c r="H159" i="1"/>
  <c r="H168" i="1" s="1"/>
  <c r="H169" i="1" s="1"/>
  <c r="G159" i="1"/>
  <c r="F159" i="1"/>
  <c r="F168" i="1" s="1"/>
  <c r="F169" i="1" s="1"/>
  <c r="E159" i="1"/>
  <c r="D159" i="1"/>
  <c r="D165" i="1" s="1"/>
  <c r="C159" i="1"/>
  <c r="E155" i="1"/>
  <c r="D155" i="1"/>
  <c r="F154" i="1"/>
  <c r="F155" i="1" s="1"/>
  <c r="E154" i="1"/>
  <c r="D154" i="1"/>
  <c r="F153" i="1"/>
  <c r="E153" i="1"/>
  <c r="K152" i="1"/>
  <c r="J152" i="1"/>
  <c r="I152" i="1"/>
  <c r="H152" i="1"/>
  <c r="H153" i="1" s="1"/>
  <c r="G152" i="1"/>
  <c r="G153" i="1" s="1"/>
  <c r="F152" i="1"/>
  <c r="E152" i="1"/>
  <c r="G151" i="1"/>
  <c r="F151" i="1"/>
  <c r="E151" i="1"/>
  <c r="H149" i="1"/>
  <c r="G149" i="1"/>
  <c r="F149" i="1"/>
  <c r="K148" i="1"/>
  <c r="J148" i="1"/>
  <c r="I148" i="1"/>
  <c r="I149" i="1" s="1"/>
  <c r="H148" i="1"/>
  <c r="G148" i="1"/>
  <c r="F148" i="1"/>
  <c r="E148" i="1"/>
  <c r="E149" i="1" s="1"/>
  <c r="D148" i="1"/>
  <c r="D149" i="1" s="1"/>
  <c r="C148" i="1"/>
  <c r="I147" i="1"/>
  <c r="H147" i="1"/>
  <c r="K146" i="1"/>
  <c r="J146" i="1"/>
  <c r="J147" i="1" s="1"/>
  <c r="I146" i="1"/>
  <c r="H146" i="1"/>
  <c r="G146" i="1"/>
  <c r="G147" i="1" s="1"/>
  <c r="F146" i="1"/>
  <c r="F147" i="1" s="1"/>
  <c r="E146" i="1"/>
  <c r="E147" i="1" s="1"/>
  <c r="D146" i="1"/>
  <c r="C146" i="1"/>
  <c r="K145" i="1"/>
  <c r="J145" i="1"/>
  <c r="I145" i="1"/>
  <c r="H145" i="1"/>
  <c r="G145" i="1"/>
  <c r="G154" i="1" s="1"/>
  <c r="G155" i="1" s="1"/>
  <c r="F145" i="1"/>
  <c r="E145" i="1"/>
  <c r="D145" i="1"/>
  <c r="C145" i="1"/>
  <c r="C141" i="1"/>
  <c r="F140" i="1"/>
  <c r="F141" i="1" s="1"/>
  <c r="E140" i="1"/>
  <c r="E141" i="1" s="1"/>
  <c r="D140" i="1"/>
  <c r="D141" i="1" s="1"/>
  <c r="G139" i="1"/>
  <c r="F139" i="1"/>
  <c r="E139" i="1"/>
  <c r="G137" i="1"/>
  <c r="F137" i="1"/>
  <c r="G135" i="1"/>
  <c r="K134" i="1"/>
  <c r="K135" i="1" s="1"/>
  <c r="J134" i="1"/>
  <c r="I134" i="1"/>
  <c r="H134" i="1"/>
  <c r="H135" i="1" s="1"/>
  <c r="G134" i="1"/>
  <c r="F134" i="1"/>
  <c r="F135" i="1" s="1"/>
  <c r="E134" i="1"/>
  <c r="E135" i="1" s="1"/>
  <c r="D134" i="1"/>
  <c r="D135" i="1" s="1"/>
  <c r="K132" i="1"/>
  <c r="K133" i="1" s="1"/>
  <c r="J132" i="1"/>
  <c r="J133" i="1" s="1"/>
  <c r="I132" i="1"/>
  <c r="I133" i="1" s="1"/>
  <c r="H132" i="1"/>
  <c r="G132" i="1"/>
  <c r="G133" i="1" s="1"/>
  <c r="F132" i="1"/>
  <c r="F133" i="1" s="1"/>
  <c r="E132" i="1"/>
  <c r="E133" i="1" s="1"/>
  <c r="K131" i="1"/>
  <c r="J131" i="1"/>
  <c r="I131" i="1"/>
  <c r="H131" i="1"/>
  <c r="H137" i="1" s="1"/>
  <c r="G131" i="1"/>
  <c r="G140" i="1" s="1"/>
  <c r="G141" i="1" s="1"/>
  <c r="F131" i="1"/>
  <c r="E131" i="1"/>
  <c r="E137" i="1" s="1"/>
  <c r="D131" i="1"/>
  <c r="D139" i="1" s="1"/>
  <c r="C131" i="1"/>
  <c r="C140" i="1" s="1"/>
  <c r="J127" i="1"/>
  <c r="C127" i="1"/>
  <c r="K126" i="1"/>
  <c r="K127" i="1" s="1"/>
  <c r="J126" i="1"/>
  <c r="D126" i="1"/>
  <c r="D127" i="1" s="1"/>
  <c r="C126" i="1"/>
  <c r="K125" i="1"/>
  <c r="E125" i="1"/>
  <c r="D125" i="1"/>
  <c r="C125" i="1"/>
  <c r="F123" i="1"/>
  <c r="E123" i="1"/>
  <c r="D123" i="1"/>
  <c r="F121" i="1"/>
  <c r="E121" i="1"/>
  <c r="K120" i="1"/>
  <c r="K121" i="1" s="1"/>
  <c r="J120" i="1"/>
  <c r="J121" i="1" s="1"/>
  <c r="I120" i="1"/>
  <c r="I121" i="1" s="1"/>
  <c r="H120" i="1"/>
  <c r="G120" i="1"/>
  <c r="G121" i="1" s="1"/>
  <c r="F120" i="1"/>
  <c r="E120" i="1"/>
  <c r="D120" i="1"/>
  <c r="D121" i="1" s="1"/>
  <c r="H119" i="1"/>
  <c r="F119" i="1"/>
  <c r="K118" i="1"/>
  <c r="K119" i="1" s="1"/>
  <c r="J118" i="1"/>
  <c r="J119" i="1" s="1"/>
  <c r="I118" i="1"/>
  <c r="H118" i="1"/>
  <c r="G118" i="1"/>
  <c r="G119" i="1" s="1"/>
  <c r="F118" i="1"/>
  <c r="E118" i="1"/>
  <c r="E119" i="1" s="1"/>
  <c r="D118" i="1"/>
  <c r="D119" i="1" s="1"/>
  <c r="K117" i="1"/>
  <c r="K123" i="1" s="1"/>
  <c r="J117" i="1"/>
  <c r="J125" i="1" s="1"/>
  <c r="I117" i="1"/>
  <c r="H117" i="1"/>
  <c r="G117" i="1"/>
  <c r="F117" i="1"/>
  <c r="F126" i="1" s="1"/>
  <c r="F127" i="1" s="1"/>
  <c r="E117" i="1"/>
  <c r="E126" i="1" s="1"/>
  <c r="E127" i="1" s="1"/>
  <c r="D117" i="1"/>
  <c r="C117" i="1"/>
  <c r="C123" i="1" s="1"/>
  <c r="K112" i="1"/>
  <c r="K113" i="1" s="1"/>
  <c r="J112" i="1"/>
  <c r="J113" i="1" s="1"/>
  <c r="I112" i="1"/>
  <c r="I113" i="1" s="1"/>
  <c r="C112" i="1"/>
  <c r="C113" i="1" s="1"/>
  <c r="K111" i="1"/>
  <c r="J111" i="1"/>
  <c r="D111" i="1"/>
  <c r="C111" i="1"/>
  <c r="K109" i="1"/>
  <c r="E109" i="1"/>
  <c r="D109" i="1"/>
  <c r="C109" i="1"/>
  <c r="F107" i="1"/>
  <c r="D107" i="1"/>
  <c r="F105" i="1"/>
  <c r="E105" i="1"/>
  <c r="K104" i="1"/>
  <c r="K105" i="1" s="1"/>
  <c r="J104" i="1"/>
  <c r="J105" i="1" s="1"/>
  <c r="I104" i="1"/>
  <c r="I105" i="1" s="1"/>
  <c r="H104" i="1"/>
  <c r="H105" i="1" s="1"/>
  <c r="G104" i="1"/>
  <c r="F104" i="1"/>
  <c r="E104" i="1"/>
  <c r="K103" i="1"/>
  <c r="K107" i="1" s="1"/>
  <c r="J103" i="1"/>
  <c r="J109" i="1" s="1"/>
  <c r="I103" i="1"/>
  <c r="I111" i="1" s="1"/>
  <c r="H103" i="1"/>
  <c r="G103" i="1"/>
  <c r="G105" i="1" s="1"/>
  <c r="F103" i="1"/>
  <c r="E103" i="1"/>
  <c r="D103" i="1"/>
  <c r="D105" i="1" s="1"/>
  <c r="C103" i="1"/>
  <c r="C107" i="1" s="1"/>
  <c r="G99" i="1"/>
  <c r="I98" i="1"/>
  <c r="I99" i="1" s="1"/>
  <c r="H98" i="1"/>
  <c r="H99" i="1" s="1"/>
  <c r="G98" i="1"/>
  <c r="J97" i="1"/>
  <c r="I97" i="1"/>
  <c r="H97" i="1"/>
  <c r="K95" i="1"/>
  <c r="J95" i="1"/>
  <c r="I95" i="1"/>
  <c r="C95" i="1"/>
  <c r="J93" i="1"/>
  <c r="D93" i="1"/>
  <c r="C93" i="1"/>
  <c r="K92" i="1"/>
  <c r="K93" i="1" s="1"/>
  <c r="J92" i="1"/>
  <c r="I92" i="1"/>
  <c r="I93" i="1" s="1"/>
  <c r="H92" i="1"/>
  <c r="H93" i="1" s="1"/>
  <c r="G92" i="1"/>
  <c r="G93" i="1" s="1"/>
  <c r="F92" i="1"/>
  <c r="F93" i="1" s="1"/>
  <c r="E92" i="1"/>
  <c r="E93" i="1" s="1"/>
  <c r="D92" i="1"/>
  <c r="K91" i="1"/>
  <c r="D91" i="1"/>
  <c r="C91" i="1"/>
  <c r="K90" i="1"/>
  <c r="J90" i="1"/>
  <c r="J91" i="1" s="1"/>
  <c r="I90" i="1"/>
  <c r="I91" i="1" s="1"/>
  <c r="H90" i="1"/>
  <c r="H91" i="1" s="1"/>
  <c r="G90" i="1"/>
  <c r="G91" i="1" s="1"/>
  <c r="F90" i="1"/>
  <c r="E90" i="1"/>
  <c r="E91" i="1" s="1"/>
  <c r="D90" i="1"/>
  <c r="K89" i="1"/>
  <c r="J89" i="1"/>
  <c r="J98" i="1" s="1"/>
  <c r="J99" i="1" s="1"/>
  <c r="I89" i="1"/>
  <c r="H89" i="1"/>
  <c r="H95" i="1" s="1"/>
  <c r="G89" i="1"/>
  <c r="G97" i="1" s="1"/>
  <c r="F89" i="1"/>
  <c r="E89" i="1"/>
  <c r="D89" i="1"/>
  <c r="C89" i="1"/>
  <c r="C98" i="1" s="1"/>
  <c r="C99" i="1" s="1"/>
  <c r="G85" i="1"/>
  <c r="F85" i="1"/>
  <c r="H84" i="1"/>
  <c r="H85" i="1" s="1"/>
  <c r="G84" i="1"/>
  <c r="F84" i="1"/>
  <c r="H83" i="1"/>
  <c r="G83" i="1"/>
  <c r="K82" i="1"/>
  <c r="K83" i="1" s="1"/>
  <c r="J82" i="1"/>
  <c r="I82" i="1"/>
  <c r="I26" i="1" s="1"/>
  <c r="H82" i="1"/>
  <c r="G82" i="1"/>
  <c r="F82" i="1"/>
  <c r="F83" i="1" s="1"/>
  <c r="E82" i="1"/>
  <c r="E83" i="1" s="1"/>
  <c r="I81" i="1"/>
  <c r="H81" i="1"/>
  <c r="G81" i="1"/>
  <c r="H79" i="1"/>
  <c r="K78" i="1"/>
  <c r="J78" i="1"/>
  <c r="I78" i="1"/>
  <c r="I79" i="1" s="1"/>
  <c r="H78" i="1"/>
  <c r="G78" i="1"/>
  <c r="G79" i="1" s="1"/>
  <c r="F78" i="1"/>
  <c r="F79" i="1" s="1"/>
  <c r="E78" i="1"/>
  <c r="E79" i="1" s="1"/>
  <c r="D78" i="1"/>
  <c r="I77" i="1"/>
  <c r="C77" i="1"/>
  <c r="K76" i="1"/>
  <c r="K77" i="1" s="1"/>
  <c r="J76" i="1"/>
  <c r="J77" i="1" s="1"/>
  <c r="I76" i="1"/>
  <c r="H76" i="1"/>
  <c r="H77" i="1" s="1"/>
  <c r="G76" i="1"/>
  <c r="G77" i="1" s="1"/>
  <c r="F76" i="1"/>
  <c r="F77" i="1" s="1"/>
  <c r="E76" i="1"/>
  <c r="E77" i="1" s="1"/>
  <c r="D76" i="1"/>
  <c r="K75" i="1"/>
  <c r="J75" i="1"/>
  <c r="I75" i="1"/>
  <c r="H75" i="1"/>
  <c r="G75" i="1"/>
  <c r="F75" i="1"/>
  <c r="F81" i="1" s="1"/>
  <c r="E75" i="1"/>
  <c r="E84" i="1" s="1"/>
  <c r="E85" i="1" s="1"/>
  <c r="D75" i="1"/>
  <c r="C75" i="1"/>
  <c r="K71" i="1"/>
  <c r="F70" i="1"/>
  <c r="F71" i="1" s="1"/>
  <c r="E70" i="1"/>
  <c r="E71" i="1" s="1"/>
  <c r="D70" i="1"/>
  <c r="D71" i="1" s="1"/>
  <c r="F69" i="1"/>
  <c r="E69" i="1"/>
  <c r="K68" i="1"/>
  <c r="K69" i="1" s="1"/>
  <c r="J68" i="1"/>
  <c r="J69" i="1" s="1"/>
  <c r="I68" i="1"/>
  <c r="I69" i="1" s="1"/>
  <c r="H68" i="1"/>
  <c r="H69" i="1" s="1"/>
  <c r="G68" i="1"/>
  <c r="G69" i="1" s="1"/>
  <c r="F68" i="1"/>
  <c r="E68" i="1"/>
  <c r="F67" i="1"/>
  <c r="E67" i="1"/>
  <c r="K66" i="1"/>
  <c r="K67" i="1" s="1"/>
  <c r="J66" i="1"/>
  <c r="J67" i="1" s="1"/>
  <c r="I66" i="1"/>
  <c r="I67" i="1" s="1"/>
  <c r="H66" i="1"/>
  <c r="G66" i="1"/>
  <c r="G67" i="1" s="1"/>
  <c r="F66" i="1"/>
  <c r="E66" i="1"/>
  <c r="F65" i="1"/>
  <c r="E65" i="1"/>
  <c r="K64" i="1"/>
  <c r="K65" i="1" s="1"/>
  <c r="J64" i="1"/>
  <c r="J65" i="1" s="1"/>
  <c r="I64" i="1"/>
  <c r="I65" i="1" s="1"/>
  <c r="H64" i="1"/>
  <c r="G64" i="1"/>
  <c r="G65" i="1" s="1"/>
  <c r="F64" i="1"/>
  <c r="E64" i="1"/>
  <c r="D64" i="1"/>
  <c r="D65" i="1" s="1"/>
  <c r="H63" i="1"/>
  <c r="F63" i="1"/>
  <c r="K62" i="1"/>
  <c r="K63" i="1" s="1"/>
  <c r="J62" i="1"/>
  <c r="J63" i="1" s="1"/>
  <c r="I62" i="1"/>
  <c r="H62" i="1"/>
  <c r="G62" i="1"/>
  <c r="G63" i="1" s="1"/>
  <c r="F62" i="1"/>
  <c r="E62" i="1"/>
  <c r="E63" i="1" s="1"/>
  <c r="D62" i="1"/>
  <c r="D63" i="1" s="1"/>
  <c r="K61" i="1"/>
  <c r="K70" i="1" s="1"/>
  <c r="J61" i="1"/>
  <c r="J70" i="1" s="1"/>
  <c r="J71" i="1" s="1"/>
  <c r="I61" i="1"/>
  <c r="I70" i="1" s="1"/>
  <c r="I71" i="1" s="1"/>
  <c r="H61" i="1"/>
  <c r="G61" i="1"/>
  <c r="F61" i="1"/>
  <c r="E61" i="1"/>
  <c r="D61" i="1"/>
  <c r="D69" i="1" s="1"/>
  <c r="C61" i="1"/>
  <c r="C70" i="1" s="1"/>
  <c r="C71" i="1" s="1"/>
  <c r="I57" i="1"/>
  <c r="I56" i="1"/>
  <c r="C56" i="1"/>
  <c r="C57" i="1" s="1"/>
  <c r="J55" i="1"/>
  <c r="K54" i="1"/>
  <c r="K26" i="1" s="1"/>
  <c r="J54" i="1"/>
  <c r="I54" i="1"/>
  <c r="I55" i="1" s="1"/>
  <c r="H54" i="1"/>
  <c r="H55" i="1" s="1"/>
  <c r="G54" i="1"/>
  <c r="G55" i="1" s="1"/>
  <c r="F54" i="1"/>
  <c r="F55" i="1" s="1"/>
  <c r="E54" i="1"/>
  <c r="J53" i="1"/>
  <c r="I53" i="1"/>
  <c r="C53" i="1"/>
  <c r="K52" i="1"/>
  <c r="J52" i="1"/>
  <c r="I52" i="1"/>
  <c r="H52" i="1"/>
  <c r="H53" i="1" s="1"/>
  <c r="G52" i="1"/>
  <c r="G53" i="1" s="1"/>
  <c r="F52" i="1"/>
  <c r="F53" i="1" s="1"/>
  <c r="E52" i="1"/>
  <c r="K51" i="1"/>
  <c r="I51" i="1"/>
  <c r="K50" i="1"/>
  <c r="K56" i="1" s="1"/>
  <c r="K57" i="1" s="1"/>
  <c r="J50" i="1"/>
  <c r="J56" i="1" s="1"/>
  <c r="J57" i="1" s="1"/>
  <c r="I50" i="1"/>
  <c r="H50" i="1"/>
  <c r="H51" i="1" s="1"/>
  <c r="G50" i="1"/>
  <c r="G51" i="1" s="1"/>
  <c r="F50" i="1"/>
  <c r="F51" i="1" s="1"/>
  <c r="E50" i="1"/>
  <c r="D50" i="1"/>
  <c r="D51" i="1" s="1"/>
  <c r="K49" i="1"/>
  <c r="J49" i="1"/>
  <c r="D49" i="1"/>
  <c r="K48" i="1"/>
  <c r="J48" i="1"/>
  <c r="I48" i="1"/>
  <c r="I49" i="1" s="1"/>
  <c r="H48" i="1"/>
  <c r="H49" i="1" s="1"/>
  <c r="G48" i="1"/>
  <c r="G49" i="1" s="1"/>
  <c r="F48" i="1"/>
  <c r="E48" i="1"/>
  <c r="E49" i="1" s="1"/>
  <c r="D48" i="1"/>
  <c r="K47" i="1"/>
  <c r="K53" i="1" s="1"/>
  <c r="J47" i="1"/>
  <c r="I47" i="1"/>
  <c r="H47" i="1"/>
  <c r="H56" i="1" s="1"/>
  <c r="H57" i="1" s="1"/>
  <c r="G47" i="1"/>
  <c r="G56" i="1" s="1"/>
  <c r="G57" i="1" s="1"/>
  <c r="F47" i="1"/>
  <c r="F56" i="1" s="1"/>
  <c r="F57" i="1" s="1"/>
  <c r="E47" i="1"/>
  <c r="E56" i="1" s="1"/>
  <c r="E57" i="1" s="1"/>
  <c r="D47" i="1"/>
  <c r="D55" i="1" s="1"/>
  <c r="C47" i="1"/>
  <c r="C49" i="1" s="1"/>
  <c r="E43" i="1"/>
  <c r="G42" i="1"/>
  <c r="G43" i="1" s="1"/>
  <c r="E42" i="1"/>
  <c r="G41" i="1"/>
  <c r="F41" i="1"/>
  <c r="K40" i="1"/>
  <c r="J40" i="1"/>
  <c r="J41" i="1" s="1"/>
  <c r="I40" i="1"/>
  <c r="I41" i="1" s="1"/>
  <c r="H40" i="1"/>
  <c r="H41" i="1" s="1"/>
  <c r="G40" i="1"/>
  <c r="F40" i="1"/>
  <c r="E40" i="1"/>
  <c r="E41" i="1" s="1"/>
  <c r="I39" i="1"/>
  <c r="G39" i="1"/>
  <c r="J37" i="1"/>
  <c r="G37" i="1"/>
  <c r="K36" i="1"/>
  <c r="K37" i="1" s="1"/>
  <c r="J36" i="1"/>
  <c r="I36" i="1"/>
  <c r="I22" i="1" s="1"/>
  <c r="H36" i="1"/>
  <c r="H37" i="1" s="1"/>
  <c r="G36" i="1"/>
  <c r="F36" i="1"/>
  <c r="E36" i="1"/>
  <c r="D36" i="1"/>
  <c r="D37" i="1" s="1"/>
  <c r="K35" i="1"/>
  <c r="I35" i="1"/>
  <c r="C35" i="1"/>
  <c r="K34" i="1"/>
  <c r="J34" i="1"/>
  <c r="J35" i="1" s="1"/>
  <c r="I34" i="1"/>
  <c r="I20" i="1" s="1"/>
  <c r="H34" i="1"/>
  <c r="H35" i="1" s="1"/>
  <c r="G34" i="1"/>
  <c r="F34" i="1"/>
  <c r="E34" i="1"/>
  <c r="D34" i="1"/>
  <c r="D20" i="1" s="1"/>
  <c r="K33" i="1"/>
  <c r="J33" i="1"/>
  <c r="I33" i="1"/>
  <c r="H33" i="1"/>
  <c r="H42" i="1" s="1"/>
  <c r="H43" i="1" s="1"/>
  <c r="G33" i="1"/>
  <c r="F33" i="1"/>
  <c r="F42" i="1" s="1"/>
  <c r="F43" i="1" s="1"/>
  <c r="E33" i="1"/>
  <c r="E39" i="1" s="1"/>
  <c r="D33" i="1"/>
  <c r="C33" i="1"/>
  <c r="J26" i="1"/>
  <c r="F26" i="1"/>
  <c r="E26" i="1"/>
  <c r="E11" i="1" s="1"/>
  <c r="D26" i="1"/>
  <c r="D11" i="1" s="1"/>
  <c r="C26" i="1"/>
  <c r="K25" i="1"/>
  <c r="C25" i="1"/>
  <c r="K24" i="1"/>
  <c r="J24" i="1"/>
  <c r="I24" i="1"/>
  <c r="H24" i="1"/>
  <c r="F24" i="1"/>
  <c r="E24" i="1"/>
  <c r="D24" i="1"/>
  <c r="D25" i="1" s="1"/>
  <c r="C24" i="1"/>
  <c r="H22" i="1"/>
  <c r="H7" i="1" s="1"/>
  <c r="G22" i="1"/>
  <c r="F22" i="1"/>
  <c r="D22" i="1"/>
  <c r="D23" i="1" s="1"/>
  <c r="C22" i="1"/>
  <c r="K20" i="1"/>
  <c r="K5" i="1" s="1"/>
  <c r="J20" i="1"/>
  <c r="J5" i="1" s="1"/>
  <c r="H20" i="1"/>
  <c r="F20" i="1"/>
  <c r="C20" i="1"/>
  <c r="C5" i="1" s="1"/>
  <c r="K19" i="1"/>
  <c r="K4" i="1" s="1"/>
  <c r="I19" i="1"/>
  <c r="I28" i="1" s="1"/>
  <c r="I29" i="1" s="1"/>
  <c r="D19" i="1"/>
  <c r="D4" i="1" s="1"/>
  <c r="C19" i="1"/>
  <c r="C4" i="1" s="1"/>
  <c r="F11" i="1"/>
  <c r="C11" i="1"/>
  <c r="K9" i="1"/>
  <c r="K10" i="1" s="1"/>
  <c r="J9" i="1"/>
  <c r="I9" i="1"/>
  <c r="H9" i="1"/>
  <c r="E9" i="1"/>
  <c r="C9" i="1"/>
  <c r="C10" i="1" s="1"/>
  <c r="G7" i="1"/>
  <c r="D7" i="1"/>
  <c r="D8" i="1" s="1"/>
  <c r="C7" i="1"/>
  <c r="F5" i="1"/>
  <c r="H21" i="1" l="1"/>
  <c r="I7" i="1"/>
  <c r="I23" i="1"/>
  <c r="K27" i="1"/>
  <c r="K11" i="1"/>
  <c r="K12" i="1" s="1"/>
  <c r="C15" i="1"/>
  <c r="C13" i="1"/>
  <c r="C14" i="1" s="1"/>
  <c r="C12" i="1"/>
  <c r="C8" i="1"/>
  <c r="K6" i="1"/>
  <c r="D5" i="1"/>
  <c r="D6" i="1" s="1"/>
  <c r="D21" i="1"/>
  <c r="D13" i="1"/>
  <c r="D14" i="1" s="1"/>
  <c r="D15" i="1"/>
  <c r="D12" i="1"/>
  <c r="I27" i="1"/>
  <c r="I11" i="1"/>
  <c r="K15" i="1"/>
  <c r="I5" i="1"/>
  <c r="I21" i="1"/>
  <c r="C6" i="1"/>
  <c r="D27" i="1"/>
  <c r="K28" i="1"/>
  <c r="K29" i="1" s="1"/>
  <c r="J182" i="1"/>
  <c r="J183" i="1" s="1"/>
  <c r="J179" i="1"/>
  <c r="I4" i="1"/>
  <c r="H5" i="1"/>
  <c r="F7" i="1"/>
  <c r="D9" i="1"/>
  <c r="D10" i="1" s="1"/>
  <c r="J11" i="1"/>
  <c r="E19" i="1"/>
  <c r="C21" i="1"/>
  <c r="K21" i="1"/>
  <c r="J22" i="1"/>
  <c r="D28" i="1"/>
  <c r="D29" i="1" s="1"/>
  <c r="J42" i="1"/>
  <c r="J43" i="1" s="1"/>
  <c r="J39" i="1"/>
  <c r="E37" i="1"/>
  <c r="C51" i="1"/>
  <c r="C55" i="1"/>
  <c r="H70" i="1"/>
  <c r="H71" i="1" s="1"/>
  <c r="K98" i="1"/>
  <c r="K99" i="1" s="1"/>
  <c r="E112" i="1"/>
  <c r="E113" i="1" s="1"/>
  <c r="E111" i="1"/>
  <c r="H126" i="1"/>
  <c r="H127" i="1" s="1"/>
  <c r="H125" i="1"/>
  <c r="H123" i="1"/>
  <c r="J140" i="1"/>
  <c r="J141" i="1" s="1"/>
  <c r="J139" i="1"/>
  <c r="J137" i="1"/>
  <c r="J168" i="1"/>
  <c r="J169" i="1" s="1"/>
  <c r="J165" i="1"/>
  <c r="C181" i="1"/>
  <c r="C179" i="1"/>
  <c r="J175" i="1"/>
  <c r="I181" i="1"/>
  <c r="C27" i="1"/>
  <c r="G24" i="1"/>
  <c r="I42" i="1"/>
  <c r="I43" i="1" s="1"/>
  <c r="I168" i="1"/>
  <c r="I169" i="1" s="1"/>
  <c r="F19" i="1"/>
  <c r="E20" i="1"/>
  <c r="K22" i="1"/>
  <c r="G26" i="1"/>
  <c r="C42" i="1"/>
  <c r="C43" i="1" s="1"/>
  <c r="C41" i="1"/>
  <c r="C39" i="1"/>
  <c r="C37" i="1"/>
  <c r="K42" i="1"/>
  <c r="K43" i="1" s="1"/>
  <c r="K39" i="1"/>
  <c r="F37" i="1"/>
  <c r="I37" i="1"/>
  <c r="E51" i="1"/>
  <c r="E55" i="1"/>
  <c r="I63" i="1"/>
  <c r="K79" i="1"/>
  <c r="I83" i="1"/>
  <c r="D98" i="1"/>
  <c r="D99" i="1" s="1"/>
  <c r="D97" i="1"/>
  <c r="D95" i="1"/>
  <c r="F112" i="1"/>
  <c r="F113" i="1" s="1"/>
  <c r="F111" i="1"/>
  <c r="F109" i="1"/>
  <c r="I126" i="1"/>
  <c r="I127" i="1" s="1"/>
  <c r="I125" i="1"/>
  <c r="I123" i="1"/>
  <c r="I119" i="1"/>
  <c r="K140" i="1"/>
  <c r="K141" i="1" s="1"/>
  <c r="H133" i="1"/>
  <c r="H154" i="1"/>
  <c r="H155" i="1" s="1"/>
  <c r="C149" i="1"/>
  <c r="K149" i="1"/>
  <c r="C167" i="1"/>
  <c r="C165" i="1"/>
  <c r="C163" i="1"/>
  <c r="K165" i="1"/>
  <c r="K163" i="1"/>
  <c r="D168" i="1"/>
  <c r="D169" i="1" s="1"/>
  <c r="C175" i="1"/>
  <c r="K175" i="1"/>
  <c r="J181" i="1"/>
  <c r="I196" i="1"/>
  <c r="I197" i="1" s="1"/>
  <c r="I193" i="1"/>
  <c r="I195" i="1"/>
  <c r="G70" i="1"/>
  <c r="G71" i="1" s="1"/>
  <c r="F9" i="1"/>
  <c r="C23" i="1"/>
  <c r="I25" i="1"/>
  <c r="H26" i="1"/>
  <c r="D42" i="1"/>
  <c r="D43" i="1" s="1"/>
  <c r="D41" i="1"/>
  <c r="D39" i="1"/>
  <c r="D35" i="1"/>
  <c r="D79" i="1"/>
  <c r="E98" i="1"/>
  <c r="E99" i="1" s="1"/>
  <c r="E97" i="1"/>
  <c r="E95" i="1"/>
  <c r="G112" i="1"/>
  <c r="G113" i="1" s="1"/>
  <c r="G111" i="1"/>
  <c r="G109" i="1"/>
  <c r="G107" i="1"/>
  <c r="E107" i="1"/>
  <c r="J135" i="1"/>
  <c r="I154" i="1"/>
  <c r="I155" i="1" s="1"/>
  <c r="E168" i="1"/>
  <c r="E169" i="1" s="1"/>
  <c r="K181" i="1"/>
  <c r="J196" i="1"/>
  <c r="J197" i="1" s="1"/>
  <c r="J193" i="1"/>
  <c r="J191" i="1"/>
  <c r="J195" i="1"/>
  <c r="C28" i="1"/>
  <c r="C29" i="1" s="1"/>
  <c r="G126" i="1"/>
  <c r="G127" i="1" s="1"/>
  <c r="G125" i="1"/>
  <c r="G123" i="1"/>
  <c r="I140" i="1"/>
  <c r="I141" i="1" s="1"/>
  <c r="I139" i="1"/>
  <c r="I137" i="1"/>
  <c r="G19" i="1"/>
  <c r="H19" i="1"/>
  <c r="H23" i="1" s="1"/>
  <c r="G20" i="1"/>
  <c r="E22" i="1"/>
  <c r="E35" i="1"/>
  <c r="F39" i="1"/>
  <c r="D56" i="1"/>
  <c r="D57" i="1" s="1"/>
  <c r="J51" i="1"/>
  <c r="K55" i="1"/>
  <c r="H65" i="1"/>
  <c r="I84" i="1"/>
  <c r="I85" i="1" s="1"/>
  <c r="F98" i="1"/>
  <c r="F99" i="1" s="1"/>
  <c r="F97" i="1"/>
  <c r="F95" i="1"/>
  <c r="F91" i="1"/>
  <c r="H112" i="1"/>
  <c r="H113" i="1" s="1"/>
  <c r="H121" i="1"/>
  <c r="J154" i="1"/>
  <c r="J155" i="1" s="1"/>
  <c r="J151" i="1"/>
  <c r="J149" i="1"/>
  <c r="D161" i="1"/>
  <c r="J167" i="1"/>
  <c r="K168" i="1"/>
  <c r="K169" i="1" s="1"/>
  <c r="F182" i="1"/>
  <c r="F183" i="1" s="1"/>
  <c r="I177" i="1"/>
  <c r="J189" i="1"/>
  <c r="F35" i="1"/>
  <c r="J84" i="1"/>
  <c r="J85" i="1" s="1"/>
  <c r="J81" i="1"/>
  <c r="K154" i="1"/>
  <c r="K155" i="1" s="1"/>
  <c r="K151" i="1"/>
  <c r="J79" i="1"/>
  <c r="C154" i="1"/>
  <c r="C155" i="1" s="1"/>
  <c r="C153" i="1"/>
  <c r="C151" i="1"/>
  <c r="E181" i="1"/>
  <c r="J19" i="1"/>
  <c r="G35" i="1"/>
  <c r="H39" i="1"/>
  <c r="K41" i="1"/>
  <c r="F49" i="1"/>
  <c r="E53" i="1"/>
  <c r="D53" i="1"/>
  <c r="H67" i="1"/>
  <c r="C84" i="1"/>
  <c r="C85" i="1" s="1"/>
  <c r="C83" i="1"/>
  <c r="C81" i="1"/>
  <c r="C79" i="1"/>
  <c r="K84" i="1"/>
  <c r="K85" i="1" s="1"/>
  <c r="K81" i="1"/>
  <c r="J83" i="1"/>
  <c r="D153" i="1"/>
  <c r="D151" i="1"/>
  <c r="D147" i="1"/>
  <c r="C147" i="1"/>
  <c r="K147" i="1"/>
  <c r="J153" i="1"/>
  <c r="G168" i="1"/>
  <c r="G169" i="1" s="1"/>
  <c r="J163" i="1"/>
  <c r="D167" i="1"/>
  <c r="H182" i="1"/>
  <c r="H183" i="1" s="1"/>
  <c r="C177" i="1"/>
  <c r="K177" i="1"/>
  <c r="C182" i="1"/>
  <c r="C183" i="1" s="1"/>
  <c r="I191" i="1"/>
  <c r="D84" i="1"/>
  <c r="D85" i="1" s="1"/>
  <c r="D83" i="1"/>
  <c r="D81" i="1"/>
  <c r="D77" i="1"/>
  <c r="H140" i="1"/>
  <c r="H141" i="1" s="1"/>
  <c r="H139" i="1"/>
  <c r="I135" i="1"/>
  <c r="K153" i="1"/>
  <c r="I182" i="1"/>
  <c r="I183" i="1" s="1"/>
  <c r="I179" i="1"/>
  <c r="C97" i="1"/>
  <c r="K97" i="1"/>
  <c r="D112" i="1"/>
  <c r="D113" i="1" s="1"/>
  <c r="F125" i="1"/>
  <c r="C133" i="1"/>
  <c r="H151" i="1"/>
  <c r="C161" i="1"/>
  <c r="H165" i="1"/>
  <c r="G179" i="1"/>
  <c r="G193" i="1"/>
  <c r="H107" i="1"/>
  <c r="D133" i="1"/>
  <c r="C135" i="1"/>
  <c r="I151" i="1"/>
  <c r="I153" i="1"/>
  <c r="I165" i="1"/>
  <c r="H179" i="1"/>
  <c r="H193" i="1"/>
  <c r="F196" i="1"/>
  <c r="F197" i="1" s="1"/>
  <c r="C63" i="1"/>
  <c r="I107" i="1"/>
  <c r="H109" i="1"/>
  <c r="C119" i="1"/>
  <c r="C137" i="1"/>
  <c r="K137" i="1"/>
  <c r="I167" i="1"/>
  <c r="D189" i="1"/>
  <c r="H195" i="1"/>
  <c r="C65" i="1"/>
  <c r="C67" i="1"/>
  <c r="C69" i="1"/>
  <c r="E81" i="1"/>
  <c r="G95" i="1"/>
  <c r="C105" i="1"/>
  <c r="J107" i="1"/>
  <c r="I109" i="1"/>
  <c r="H111" i="1"/>
  <c r="C121" i="1"/>
  <c r="J123" i="1"/>
  <c r="D137" i="1"/>
  <c r="C139" i="1"/>
  <c r="K139" i="1"/>
  <c r="D67" i="1"/>
  <c r="C193" i="1"/>
  <c r="K193" i="1"/>
  <c r="J28" i="1" l="1"/>
  <c r="J29" i="1" s="1"/>
  <c r="J4" i="1"/>
  <c r="E25" i="1"/>
  <c r="E28" i="1"/>
  <c r="E29" i="1" s="1"/>
  <c r="E4" i="1"/>
  <c r="H27" i="1"/>
  <c r="H11" i="1"/>
  <c r="H12" i="1" s="1"/>
  <c r="F4" i="1"/>
  <c r="F28" i="1"/>
  <c r="F29" i="1" s="1"/>
  <c r="J12" i="1"/>
  <c r="G21" i="1"/>
  <c r="G5" i="1"/>
  <c r="G6" i="1" s="1"/>
  <c r="I6" i="1"/>
  <c r="E5" i="1"/>
  <c r="E6" i="1" s="1"/>
  <c r="E21" i="1"/>
  <c r="H28" i="1"/>
  <c r="H29" i="1" s="1"/>
  <c r="H4" i="1"/>
  <c r="J21" i="1"/>
  <c r="F27" i="1"/>
  <c r="H25" i="1"/>
  <c r="E7" i="1"/>
  <c r="E8" i="1" s="1"/>
  <c r="E23" i="1"/>
  <c r="G28" i="1"/>
  <c r="G29" i="1" s="1"/>
  <c r="G23" i="1"/>
  <c r="G4" i="1"/>
  <c r="G9" i="1"/>
  <c r="G10" i="1" s="1"/>
  <c r="G25" i="1"/>
  <c r="E27" i="1"/>
  <c r="H6" i="1"/>
  <c r="J27" i="1"/>
  <c r="F23" i="1"/>
  <c r="F21" i="1"/>
  <c r="J7" i="1"/>
  <c r="J8" i="1" s="1"/>
  <c r="J23" i="1"/>
  <c r="I15" i="1"/>
  <c r="I10" i="1"/>
  <c r="I13" i="1"/>
  <c r="I14" i="1" s="1"/>
  <c r="J25" i="1"/>
  <c r="G11" i="1"/>
  <c r="G27" i="1"/>
  <c r="F25" i="1"/>
  <c r="I8" i="1"/>
  <c r="K7" i="1"/>
  <c r="K23" i="1"/>
  <c r="I12" i="1"/>
  <c r="F13" i="1" l="1"/>
  <c r="F14" i="1" s="1"/>
  <c r="F15" i="1"/>
  <c r="F6" i="1"/>
  <c r="F12" i="1"/>
  <c r="K8" i="1"/>
  <c r="K13" i="1"/>
  <c r="K14" i="1" s="1"/>
  <c r="E13" i="1"/>
  <c r="E14" i="1" s="1"/>
  <c r="E10" i="1"/>
  <c r="E15" i="1"/>
  <c r="E12" i="1"/>
  <c r="F10" i="1"/>
  <c r="G8" i="1"/>
  <c r="G15" i="1"/>
  <c r="G13" i="1"/>
  <c r="G14" i="1" s="1"/>
  <c r="F8" i="1"/>
  <c r="J15" i="1"/>
  <c r="J13" i="1"/>
  <c r="J14" i="1" s="1"/>
  <c r="J10" i="1"/>
  <c r="J6" i="1"/>
  <c r="G12" i="1"/>
  <c r="H15" i="1"/>
  <c r="H13" i="1"/>
  <c r="H14" i="1" s="1"/>
  <c r="H10" i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דנה נמני</author>
  </authors>
  <commentList>
    <comment ref="I52" authorId="0" shapeId="0" xr:uid="{68FE401E-525F-43A1-9116-4EAC401B7DF4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הערכה</t>
        </r>
      </text>
    </comment>
    <comment ref="J62" authorId="0" shapeId="0" xr:uid="{35E974B9-F1A4-4F6F-800D-9F0DB0B7AA83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מיכל הזנפרץ יצאה לחלת</t>
        </r>
      </text>
    </comment>
    <comment ref="B130" authorId="0" shapeId="0" xr:uid="{B169BCBE-35AA-4928-BA73-5185605BBB39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כולל את צוות מנהלה, אופטלמולוגיה, מטה</t>
        </r>
      </text>
    </comment>
    <comment ref="J160" authorId="0" shapeId="0" xr:uid="{AC45D358-02BB-4560-BB92-71E1410E1371}">
      <text>
        <r>
          <rPr>
            <b/>
            <sz val="9"/>
            <color indexed="81"/>
            <rFont val="Tahoma"/>
            <family val="2"/>
          </rPr>
          <t>דנה נמני:</t>
        </r>
        <r>
          <rPr>
            <sz val="9"/>
            <color indexed="81"/>
            <rFont val="Tahoma"/>
            <family val="2"/>
          </rPr>
          <t xml:space="preserve">
בנטרול איתן ברנע</t>
        </r>
      </text>
    </comment>
  </commentList>
</comments>
</file>

<file path=xl/sharedStrings.xml><?xml version="1.0" encoding="utf-8"?>
<sst xmlns="http://schemas.openxmlformats.org/spreadsheetml/2006/main" count="171" uniqueCount="25">
  <si>
    <t>רשת - מסכם</t>
  </si>
  <si>
    <t>הכנסות</t>
  </si>
  <si>
    <t>שכר רופאים</t>
  </si>
  <si>
    <t>%</t>
  </si>
  <si>
    <t>שכר עובדים</t>
  </si>
  <si>
    <t>קבלני משנה - ספקים</t>
  </si>
  <si>
    <t>וטמרקט</t>
  </si>
  <si>
    <t>תרומה ישירה</t>
  </si>
  <si>
    <t>רווחיות תרומה ישירה</t>
  </si>
  <si>
    <t>בדיקה</t>
  </si>
  <si>
    <t>כפר סבא מסכם</t>
  </si>
  <si>
    <t>חירום</t>
  </si>
  <si>
    <t>נוירולוגיה</t>
  </si>
  <si>
    <t>אלסמד</t>
  </si>
  <si>
    <t>הדמיה</t>
  </si>
  <si>
    <t>כירורגיה</t>
  </si>
  <si>
    <t>קרדיולוגיה</t>
  </si>
  <si>
    <t>אונקולוגיה</t>
  </si>
  <si>
    <t>הרדמה</t>
  </si>
  <si>
    <t>כפר סבא אחר</t>
  </si>
  <si>
    <t>קבלני משנה - רופאים / ספקים</t>
  </si>
  <si>
    <t>רחובות</t>
  </si>
  <si>
    <t>באר שבע</t>
  </si>
  <si>
    <t>חיפה</t>
  </si>
  <si>
    <t>מוצקין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</si>
</sst>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_(* #,##0_);_(* \(#,##0\);_(* &quot;-&quot;??_);_(@_)"/>
  </numFmts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 applyAlignment="1">
      <alignment horizontal="right" vertical="center" readingOrder="2"/>
    </xf>
    <xf numFmtId="164" fontId="0" fillId="0" borderId="0" xfId="1" applyNumberFormat="1" applyFont="1"/>
    <xf numFmtId="0" fontId="0" fillId="0" borderId="0" xfId="0" applyAlignment="1">
      <alignment horizontal="right"/>
    </xf>
    <xf numFmtId="9" fontId="0" fillId="0" borderId="0" xfId="2" applyFont="1"/>
    <xf numFmtId="164" fontId="0" fillId="0" borderId="0" xfId="1" applyNumberFormat="1" applyFont="1" applyFill="1"/>
    <xf numFmtId="164" fontId="0" fillId="0" borderId="0" xfId="0" applyNumberFormat="1"/>
    <xf numFmtId="0" fontId="0" fillId="0" borderId="1" xfId="0" applyBorder="1"/>
    <xf numFmtId="0" fontId="2" fillId="3" borderId="0" xfId="0" applyFont="1" applyFill="1"/>
    <xf numFmtId="0" fontId="2" fillId="4" borderId="0" xfId="0" applyFont="1" applyFill="1"/>
    <xf numFmtId="164" fontId="3" fillId="0" borderId="0" xfId="1" applyNumberFormat="1" applyFont="1" applyAlignment="1">
      <alignment horizontal="right" vertical="center" readingOrder="2"/>
    </xf>
    <xf numFmtId="9" fontId="0" fillId="0" borderId="0" xfId="2" applyFont="1" applyFill="1"/>
    <xf numFmtId="164" fontId="0" fillId="5" borderId="0" xfId="1" applyNumberFormat="1" applyFont="1" applyFill="1"/>
    <xf numFmtId="43" fontId="0" fillId="0" borderId="0" xfId="0" applyNumberFormat="1"/>
    <xf numFmtId="164" fontId="0" fillId="6" borderId="0" xfId="1" applyNumberFormat="1" applyFont="1" applyFill="1"/>
    <xf numFmtId="166" fontId="0" fillId="0" borderId="0" xfId="3" applyNumberFormat="1" applyFont="1" applyFill="1"/>
  </cellXfs>
  <cellStyles count="4">
    <cellStyle name="Comma" xfId="1" builtinId="3"/>
    <cellStyle name="Comma 3" xfId="3" xr:uid="{6A4CF849-1E9F-4AAD-B354-240E89944622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&#1504;&#1497;&#1492;&#1493;&#1500;%20&#1512;&#1513;&#1514;/&#1491;&#1488;&#1513;&#1489;&#1493;&#1512;&#1491;%20&#1504;&#1497;&#1492;&#1493;&#1500;&#1497;%20&#1512;&#1513;&#1514;.xlsx" TargetMode="External"/><Relationship Id="rId2" Type="http://schemas.openxmlformats.org/officeDocument/2006/relationships/externalLinkPath" Target="https://chavatdaat-my.sharepoint.com/personal/zeev_gans_chavatdaat_co_il/Documents/Documents/&#1504;&#1497;&#1492;&#1493;&#1500;%20&#1512;&#1513;&#1514;/&#1491;&#1488;&#1513;&#1489;&#1493;&#1512;&#1491;%20&#1504;&#1497;&#1492;&#1493;&#1500;&#1497;%20&#1512;&#1513;&#1514;.xlsx" TargetMode="External"/><Relationship Id="rId1" Type="http://schemas.openxmlformats.org/officeDocument/2006/relationships/externalLinkPath" Target="/personal/zeev_gans_chavatdaat_co_il/Documents/Documents/&#1504;&#1497;&#1492;&#1493;&#1500;%20&#1512;&#1513;&#1514;/&#1491;&#1488;&#1513;&#1489;&#1493;&#1512;&#1491;%20&#1504;&#1497;&#1492;&#1493;&#1500;&#1497;%20&#1512;&#1513;&#151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סיכום -  סניפים ומחלקות"/>
      <sheetName val="הכנסות - מרכז"/>
      <sheetName val="סעיפי הכנסות"/>
      <sheetName val="וטרמקט ואלסמד"/>
      <sheetName val="וטמרקט ואלסמד 2-4.26"/>
      <sheetName val="רופאים בחשבונית"/>
      <sheetName val="נתוני רחובות"/>
      <sheetName val="נתוני ב&quot;ש"/>
      <sheetName val="נתוני חיפה"/>
      <sheetName val="נתוני מוצקין"/>
      <sheetName val="סה&quot;כ כ&quot;ס"/>
      <sheetName val="נתוני כ&quot;ס - חירום"/>
      <sheetName val="נתוני כ&quot;ס - נוירו "/>
      <sheetName val="נתוני כ&quot;ס - הדמיה"/>
      <sheetName val="נתוני כ&quot;ס - כירורגיה"/>
      <sheetName val="נתוני כ&quot;ס - קרדיולוגיה"/>
      <sheetName val="נתוני כ&quot;ס - הרדמה"/>
      <sheetName val="נתוני כ&quot;ס - אחר"/>
      <sheetName val="גיליון3"/>
      <sheetName val="כ&quot;ס ללא מע&quot;מ  2.26"/>
      <sheetName val="גליון1"/>
      <sheetName val="השוואה חודשית 11.25 מול 10.25"/>
    </sheetNames>
    <sheetDataSet>
      <sheetData sheetId="0" refreshError="1"/>
      <sheetData sheetId="1">
        <row r="78">
          <cell r="I78">
            <v>1526301.6949152544</v>
          </cell>
          <cell r="J78">
            <v>1456677.9661016951</v>
          </cell>
          <cell r="K78">
            <v>1598972.0338983051</v>
          </cell>
          <cell r="L78">
            <v>1545136.4406779662</v>
          </cell>
          <cell r="M78">
            <v>1429006.779661017</v>
          </cell>
          <cell r="N78">
            <v>1568003.3898305085</v>
          </cell>
          <cell r="O78">
            <v>1465456.4456</v>
          </cell>
          <cell r="P78">
            <v>1360763.7382</v>
          </cell>
          <cell r="Q78">
            <v>1495000</v>
          </cell>
        </row>
        <row r="79">
          <cell r="I79">
            <v>764258.47152542369</v>
          </cell>
          <cell r="J79">
            <v>434802.54237288138</v>
          </cell>
          <cell r="K79">
            <v>475744.06779661018</v>
          </cell>
          <cell r="L79">
            <v>805726.27118644072</v>
          </cell>
          <cell r="M79">
            <v>550269.49152542371</v>
          </cell>
          <cell r="N79">
            <v>483768.64406779665</v>
          </cell>
          <cell r="O79">
            <v>412191.26319999999</v>
          </cell>
          <cell r="P79">
            <v>488269.97039999999</v>
          </cell>
          <cell r="Q79">
            <v>518000</v>
          </cell>
        </row>
        <row r="80">
          <cell r="I80">
            <v>473889.83050847461</v>
          </cell>
          <cell r="J80">
            <v>478566.94915254239</v>
          </cell>
          <cell r="K80">
            <v>464872.88135593222</v>
          </cell>
          <cell r="L80">
            <v>531811.01694915257</v>
          </cell>
          <cell r="M80">
            <v>560002.54237288143</v>
          </cell>
          <cell r="N80">
            <v>527280.50847457629</v>
          </cell>
          <cell r="O80">
            <v>566904.63020000001</v>
          </cell>
          <cell r="P80">
            <v>434486.94689999998</v>
          </cell>
          <cell r="Q80">
            <v>573000</v>
          </cell>
        </row>
        <row r="81">
          <cell r="I81">
            <v>561457.62711864407</v>
          </cell>
          <cell r="J81">
            <v>443380.50847457629</v>
          </cell>
          <cell r="K81">
            <v>592930.50847457629</v>
          </cell>
          <cell r="L81">
            <v>639583.05084745761</v>
          </cell>
          <cell r="M81">
            <v>620245.76271186443</v>
          </cell>
          <cell r="N81">
            <v>655839.83050847461</v>
          </cell>
          <cell r="O81">
            <v>602694.77099999995</v>
          </cell>
          <cell r="P81">
            <v>612690.80449999997</v>
          </cell>
          <cell r="Q81">
            <v>565000</v>
          </cell>
        </row>
        <row r="82">
          <cell r="I82">
            <v>56615.47457627119</v>
          </cell>
          <cell r="J82">
            <v>63494.91525423729</v>
          </cell>
          <cell r="K82">
            <v>76955.08474576271</v>
          </cell>
          <cell r="L82">
            <v>62564.406779661018</v>
          </cell>
          <cell r="M82">
            <v>67330.508474576272</v>
          </cell>
          <cell r="N82">
            <v>52373.728813559326</v>
          </cell>
          <cell r="O82">
            <v>29542</v>
          </cell>
          <cell r="P82">
            <v>40885.638644067803</v>
          </cell>
          <cell r="Q82">
            <v>67000</v>
          </cell>
        </row>
        <row r="83">
          <cell r="I83">
            <v>167715.25423728814</v>
          </cell>
          <cell r="J83">
            <v>93927.966101694925</v>
          </cell>
          <cell r="K83">
            <v>111235.59322033898</v>
          </cell>
          <cell r="L83">
            <v>164369.49152542374</v>
          </cell>
          <cell r="M83">
            <v>177805.93220338985</v>
          </cell>
          <cell r="N83">
            <v>183636.44067796611</v>
          </cell>
          <cell r="O83">
            <v>164691.97</v>
          </cell>
          <cell r="P83">
            <v>133941.22</v>
          </cell>
          <cell r="Q83">
            <v>141000</v>
          </cell>
        </row>
        <row r="84">
          <cell r="I84">
            <v>156231.35593220341</v>
          </cell>
          <cell r="J84">
            <v>173355.08474576272</v>
          </cell>
          <cell r="K84">
            <v>165305.93220338985</v>
          </cell>
          <cell r="L84">
            <v>218676.27118644069</v>
          </cell>
          <cell r="M84">
            <v>235970.33898305087</v>
          </cell>
          <cell r="N84">
            <v>172527.11864406781</v>
          </cell>
          <cell r="O84">
            <v>196056.2</v>
          </cell>
          <cell r="P84">
            <v>167499.39135593222</v>
          </cell>
          <cell r="Q84">
            <v>185000</v>
          </cell>
        </row>
        <row r="85">
          <cell r="I85">
            <v>64957.627118644072</v>
          </cell>
          <cell r="J85">
            <v>46516.949152542373</v>
          </cell>
          <cell r="K85">
            <v>103983.05084745763</v>
          </cell>
          <cell r="L85">
            <v>133347.45762711865</v>
          </cell>
          <cell r="M85">
            <v>136186.44067796611</v>
          </cell>
          <cell r="N85">
            <v>125381.3559322034</v>
          </cell>
          <cell r="O85">
            <v>127245</v>
          </cell>
          <cell r="P85">
            <v>117228.27</v>
          </cell>
          <cell r="Q85">
            <v>125000</v>
          </cell>
        </row>
        <row r="86">
          <cell r="I86">
            <v>0</v>
          </cell>
          <cell r="J86">
            <v>586378.81355932204</v>
          </cell>
          <cell r="K86">
            <v>870220.3389830509</v>
          </cell>
          <cell r="L86">
            <v>850422.88135593222</v>
          </cell>
          <cell r="M86">
            <v>820874.57627118647</v>
          </cell>
          <cell r="N86">
            <v>773179.66101694922</v>
          </cell>
          <cell r="O86">
            <v>776809</v>
          </cell>
          <cell r="P86">
            <v>778910</v>
          </cell>
          <cell r="Q86">
            <v>966035.59322033729</v>
          </cell>
        </row>
        <row r="87">
          <cell r="I87">
            <v>423524.57627118647</v>
          </cell>
          <cell r="J87">
            <v>392874.57627118647</v>
          </cell>
          <cell r="K87">
            <v>375400</v>
          </cell>
          <cell r="L87">
            <v>421733.05084745766</v>
          </cell>
          <cell r="M87">
            <v>469620.3389830509</v>
          </cell>
          <cell r="N87">
            <v>439171.18644067796</v>
          </cell>
          <cell r="O87">
            <v>432954</v>
          </cell>
          <cell r="P87">
            <v>321474</v>
          </cell>
          <cell r="Q87">
            <v>390323.72881355905</v>
          </cell>
        </row>
        <row r="88">
          <cell r="I88">
            <v>432033.05084745766</v>
          </cell>
          <cell r="J88">
            <v>869411.86440677976</v>
          </cell>
          <cell r="K88">
            <v>886831.35593220347</v>
          </cell>
          <cell r="L88">
            <v>872897.45762711868</v>
          </cell>
          <cell r="M88">
            <v>880342.37288135593</v>
          </cell>
          <cell r="N88">
            <v>1007326.2711864407</v>
          </cell>
          <cell r="O88">
            <v>880429</v>
          </cell>
          <cell r="P88">
            <v>908246</v>
          </cell>
          <cell r="Q88">
            <v>1075829</v>
          </cell>
        </row>
        <row r="89">
          <cell r="I89">
            <v>49908.47457627119</v>
          </cell>
          <cell r="J89">
            <v>94245.762711864416</v>
          </cell>
          <cell r="K89">
            <v>108672.88135593222</v>
          </cell>
          <cell r="L89">
            <v>129999.15254237289</v>
          </cell>
          <cell r="M89">
            <v>85021.186440677964</v>
          </cell>
          <cell r="N89">
            <v>127703.38983050849</v>
          </cell>
          <cell r="O89">
            <v>134377</v>
          </cell>
          <cell r="P89">
            <v>97514</v>
          </cell>
          <cell r="Q89">
            <v>108245</v>
          </cell>
        </row>
        <row r="94">
          <cell r="I94">
            <v>4676893.437627119</v>
          </cell>
          <cell r="J94">
            <v>5133633.8983050846</v>
          </cell>
          <cell r="K94">
            <v>5831123.7288135588</v>
          </cell>
          <cell r="L94">
            <v>6376266.9491525432</v>
          </cell>
          <cell r="M94">
            <v>6032676.2711864403</v>
          </cell>
          <cell r="N94">
            <v>6116191.5254237289</v>
          </cell>
          <cell r="O94">
            <v>5789351.2799999993</v>
          </cell>
          <cell r="P94">
            <v>5461909.9800000004</v>
          </cell>
          <cell r="Q94">
            <v>6209433.3220338961</v>
          </cell>
        </row>
      </sheetData>
      <sheetData sheetId="2" refreshError="1"/>
      <sheetData sheetId="3">
        <row r="2">
          <cell r="J2">
            <v>5609</v>
          </cell>
          <cell r="K2">
            <v>5777</v>
          </cell>
          <cell r="L2">
            <v>3228</v>
          </cell>
          <cell r="M2">
            <v>7894</v>
          </cell>
          <cell r="N2">
            <v>19785.593220338986</v>
          </cell>
        </row>
        <row r="3">
          <cell r="J3">
            <v>25750</v>
          </cell>
          <cell r="K3">
            <v>15569</v>
          </cell>
          <cell r="L3">
            <v>26108</v>
          </cell>
          <cell r="M3">
            <v>16373</v>
          </cell>
          <cell r="N3">
            <v>23022.033898305086</v>
          </cell>
        </row>
        <row r="4">
          <cell r="J4">
            <v>5432</v>
          </cell>
          <cell r="K4">
            <v>35296</v>
          </cell>
          <cell r="L4">
            <v>25613</v>
          </cell>
          <cell r="M4">
            <v>62332</v>
          </cell>
          <cell r="N4">
            <v>21000</v>
          </cell>
        </row>
        <row r="5">
          <cell r="J5">
            <v>229004</v>
          </cell>
          <cell r="K5">
            <v>296981</v>
          </cell>
          <cell r="L5">
            <v>78689</v>
          </cell>
          <cell r="M5">
            <v>298309</v>
          </cell>
          <cell r="N5">
            <v>200620.33898305087</v>
          </cell>
        </row>
        <row r="6">
          <cell r="J6">
            <v>3251</v>
          </cell>
          <cell r="K6">
            <v>5681</v>
          </cell>
          <cell r="L6">
            <v>3629</v>
          </cell>
          <cell r="M6">
            <v>465</v>
          </cell>
          <cell r="N6">
            <v>0</v>
          </cell>
        </row>
        <row r="15">
          <cell r="K15">
            <v>50127.118644067799</v>
          </cell>
          <cell r="L15">
            <v>85409.322033898308</v>
          </cell>
          <cell r="M15">
            <v>61106.779661016953</v>
          </cell>
          <cell r="N15">
            <v>83852.542372881362</v>
          </cell>
          <cell r="O15">
            <v>61106.779661016953</v>
          </cell>
          <cell r="P15">
            <v>77523.728813559326</v>
          </cell>
        </row>
        <row r="43">
          <cell r="K43">
            <v>9011.8644067796613</v>
          </cell>
          <cell r="L43">
            <v>9685.5932203389839</v>
          </cell>
          <cell r="M43">
            <v>11928.813559322034</v>
          </cell>
          <cell r="N43">
            <v>14978.813559322034</v>
          </cell>
          <cell r="O43">
            <v>9685.5932203389839</v>
          </cell>
          <cell r="P43">
            <v>18967.796610169491</v>
          </cell>
        </row>
        <row r="63">
          <cell r="M63">
            <v>113035.59322033898</v>
          </cell>
          <cell r="N63">
            <v>133788.13559322036</v>
          </cell>
          <cell r="O63">
            <v>115114.40677966102</v>
          </cell>
          <cell r="P63">
            <v>113035.59322033898</v>
          </cell>
          <cell r="Q63">
            <v>123813.55932203391</v>
          </cell>
        </row>
        <row r="85">
          <cell r="N85">
            <v>85373.728813559326</v>
          </cell>
          <cell r="O85">
            <v>86514.406779661018</v>
          </cell>
          <cell r="P85">
            <v>86480</v>
          </cell>
          <cell r="Q85">
            <v>86514.406779661018</v>
          </cell>
          <cell r="R85">
            <v>88555.08474576271</v>
          </cell>
        </row>
        <row r="136">
          <cell r="U136">
            <v>40339</v>
          </cell>
          <cell r="V136">
            <v>39746</v>
          </cell>
          <cell r="W136">
            <v>43838.881355932201</v>
          </cell>
          <cell r="X136">
            <v>50423</v>
          </cell>
        </row>
        <row r="137">
          <cell r="U137">
            <v>13500</v>
          </cell>
          <cell r="V137">
            <v>10500</v>
          </cell>
          <cell r="W137">
            <v>12750</v>
          </cell>
          <cell r="X137">
            <v>13750</v>
          </cell>
          <cell r="Y137">
            <v>10500</v>
          </cell>
        </row>
      </sheetData>
      <sheetData sheetId="4">
        <row r="8">
          <cell r="L8">
            <v>279275.42372881359</v>
          </cell>
        </row>
        <row r="9">
          <cell r="B9">
            <v>43000</v>
          </cell>
          <cell r="K9">
            <v>38025.423728813563</v>
          </cell>
          <cell r="L9">
            <v>9283.8983050847455</v>
          </cell>
          <cell r="S9">
            <v>126859.32203389831</v>
          </cell>
        </row>
        <row r="10">
          <cell r="L10">
            <v>40215.254237288136</v>
          </cell>
          <cell r="R10">
            <v>34406.762711864409</v>
          </cell>
          <cell r="S10">
            <v>17086.440677966104</v>
          </cell>
        </row>
        <row r="11">
          <cell r="K11">
            <v>12650</v>
          </cell>
          <cell r="L11">
            <v>1749.1525423728815</v>
          </cell>
          <cell r="S11">
            <v>32888.983050847462</v>
          </cell>
        </row>
        <row r="12">
          <cell r="L12">
            <v>143272.03389830509</v>
          </cell>
          <cell r="R12">
            <v>9250</v>
          </cell>
          <cell r="S12">
            <v>5995.7627118644068</v>
          </cell>
        </row>
        <row r="13">
          <cell r="L13">
            <v>13292.372881355934</v>
          </cell>
          <cell r="S13">
            <v>96490.677966101706</v>
          </cell>
        </row>
        <row r="14">
          <cell r="L14">
            <v>58714.406779661018</v>
          </cell>
          <cell r="S14">
            <v>6177.9661016949158</v>
          </cell>
        </row>
        <row r="15">
          <cell r="L15">
            <v>73425.423728813563</v>
          </cell>
          <cell r="S15">
            <v>107559.32203389831</v>
          </cell>
        </row>
        <row r="16">
          <cell r="S16">
            <v>73425.423728813563</v>
          </cell>
        </row>
      </sheetData>
      <sheetData sheetId="5">
        <row r="4">
          <cell r="U4">
            <v>142355.93</v>
          </cell>
          <cell r="V4">
            <v>160729.66</v>
          </cell>
          <cell r="W4">
            <v>180990.68</v>
          </cell>
          <cell r="X4">
            <v>142633.89830508476</v>
          </cell>
          <cell r="Y4">
            <v>156339.30508474578</v>
          </cell>
          <cell r="Z4">
            <v>125261.86440677967</v>
          </cell>
          <cell r="AA4">
            <v>192828.81355932204</v>
          </cell>
        </row>
        <row r="5">
          <cell r="U5">
            <v>39178.369999999995</v>
          </cell>
          <cell r="V5">
            <v>44536.1</v>
          </cell>
          <cell r="W5">
            <v>75014.95</v>
          </cell>
          <cell r="X5">
            <v>75466.101694915254</v>
          </cell>
          <cell r="Y5">
            <v>64162.279661016953</v>
          </cell>
          <cell r="Z5">
            <v>46646.127118644072</v>
          </cell>
          <cell r="AA5">
            <v>67181.355932203398</v>
          </cell>
        </row>
        <row r="6">
          <cell r="U6">
            <v>15843.22</v>
          </cell>
          <cell r="V6">
            <v>13389.83</v>
          </cell>
          <cell r="W6">
            <v>12838.98</v>
          </cell>
          <cell r="X6">
            <v>13008.474576271186</v>
          </cell>
          <cell r="Y6">
            <v>12923.728813559323</v>
          </cell>
          <cell r="Z6">
            <v>12161.016949152543</v>
          </cell>
          <cell r="AA6">
            <v>14699.152542372882</v>
          </cell>
        </row>
        <row r="7">
          <cell r="U7">
            <v>10389.83</v>
          </cell>
          <cell r="V7">
            <v>12203.39</v>
          </cell>
          <cell r="W7">
            <v>11661.02</v>
          </cell>
          <cell r="X7">
            <v>4067.7966101694919</v>
          </cell>
          <cell r="Y7">
            <v>13152.542372881357</v>
          </cell>
          <cell r="Z7">
            <v>11216.949152542373</v>
          </cell>
          <cell r="AA7">
            <v>13203.389830508475</v>
          </cell>
        </row>
        <row r="8">
          <cell r="U8">
            <v>0</v>
          </cell>
          <cell r="V8">
            <v>0</v>
          </cell>
          <cell r="W8">
            <v>0</v>
          </cell>
          <cell r="X8">
            <v>7953.3898305084749</v>
          </cell>
          <cell r="Y8">
            <v>11512.71186440678</v>
          </cell>
          <cell r="Z8">
            <v>0</v>
          </cell>
          <cell r="AA8">
            <v>0</v>
          </cell>
        </row>
        <row r="9">
          <cell r="U9">
            <v>27000</v>
          </cell>
          <cell r="V9">
            <v>27000</v>
          </cell>
          <cell r="W9">
            <v>27000</v>
          </cell>
          <cell r="X9">
            <v>27000</v>
          </cell>
          <cell r="Y9">
            <v>27000</v>
          </cell>
          <cell r="Z9">
            <v>27000</v>
          </cell>
          <cell r="AA9">
            <v>27000</v>
          </cell>
        </row>
        <row r="10">
          <cell r="U10">
            <v>38148.305084745763</v>
          </cell>
          <cell r="V10">
            <v>40618.644067796609</v>
          </cell>
          <cell r="W10">
            <v>43029.661016949154</v>
          </cell>
          <cell r="X10">
            <v>43902.542372881355</v>
          </cell>
          <cell r="Y10">
            <v>40843.220338983054</v>
          </cell>
          <cell r="Z10">
            <v>41860.169491525427</v>
          </cell>
          <cell r="AA10">
            <v>47957.627118644072</v>
          </cell>
        </row>
        <row r="11">
          <cell r="U11">
            <v>92387.28</v>
          </cell>
          <cell r="V11">
            <v>68870.34</v>
          </cell>
          <cell r="W11">
            <v>97279.66</v>
          </cell>
          <cell r="X11">
            <v>25762.711864406781</v>
          </cell>
          <cell r="Y11">
            <v>50449.152542372889</v>
          </cell>
          <cell r="Z11">
            <v>58826.271186440674</v>
          </cell>
          <cell r="AA11">
            <v>46014.406779661018</v>
          </cell>
        </row>
        <row r="12">
          <cell r="U12">
            <v>18691.53</v>
          </cell>
          <cell r="V12">
            <v>17853.82</v>
          </cell>
          <cell r="W12">
            <v>25054.66</v>
          </cell>
          <cell r="X12">
            <v>22800</v>
          </cell>
          <cell r="Y12">
            <v>19447.65186440678</v>
          </cell>
          <cell r="Z12">
            <v>27955.127118644068</v>
          </cell>
          <cell r="AA12">
            <v>18249.152542372882</v>
          </cell>
        </row>
      </sheetData>
      <sheetData sheetId="6">
        <row r="62">
          <cell r="C62">
            <v>231166.65999999992</v>
          </cell>
          <cell r="D62">
            <v>227729.85000000015</v>
          </cell>
          <cell r="E62">
            <v>241617.18000000023</v>
          </cell>
          <cell r="F62">
            <v>230396.33999999997</v>
          </cell>
          <cell r="G62">
            <v>250021.94000000029</v>
          </cell>
          <cell r="H62">
            <v>217251.76</v>
          </cell>
          <cell r="I62">
            <v>212696.52000000008</v>
          </cell>
          <cell r="J62">
            <v>213807.67000000004</v>
          </cell>
          <cell r="K62">
            <v>275050.90999999992</v>
          </cell>
        </row>
        <row r="63">
          <cell r="C63">
            <v>425374.68000000005</v>
          </cell>
          <cell r="D63">
            <v>356716.17</v>
          </cell>
          <cell r="E63">
            <v>323976.90999999997</v>
          </cell>
          <cell r="F63">
            <v>315773.79000000004</v>
          </cell>
          <cell r="G63">
            <v>418370.03</v>
          </cell>
          <cell r="H63">
            <v>321160.16000000003</v>
          </cell>
          <cell r="I63">
            <v>288196.49</v>
          </cell>
          <cell r="K63">
            <v>351441.62</v>
          </cell>
        </row>
        <row r="64">
          <cell r="J64">
            <v>314216.49</v>
          </cell>
        </row>
      </sheetData>
      <sheetData sheetId="7">
        <row r="34">
          <cell r="J34">
            <v>67982.290000000023</v>
          </cell>
          <cell r="K34">
            <v>65735.179999999993</v>
          </cell>
          <cell r="L34">
            <v>69338.910000000018</v>
          </cell>
          <cell r="M34">
            <v>69931.63999999997</v>
          </cell>
          <cell r="N34">
            <v>75317.770000000019</v>
          </cell>
          <cell r="O34">
            <v>69939.420000000027</v>
          </cell>
          <cell r="P34">
            <v>70583.349999999991</v>
          </cell>
          <cell r="Q34">
            <v>66411.22</v>
          </cell>
          <cell r="R34">
            <v>72680.740000000049</v>
          </cell>
        </row>
        <row r="35">
          <cell r="J35">
            <v>117201.27</v>
          </cell>
          <cell r="K35">
            <v>115677.18</v>
          </cell>
          <cell r="L35">
            <v>88334.14</v>
          </cell>
          <cell r="M35">
            <v>81512.259999999995</v>
          </cell>
          <cell r="N35">
            <v>113123.98999999999</v>
          </cell>
          <cell r="O35">
            <v>122718.64</v>
          </cell>
          <cell r="P35">
            <v>81624.460000000006</v>
          </cell>
          <cell r="R35">
            <v>89685.66</v>
          </cell>
        </row>
        <row r="36">
          <cell r="Q36">
            <v>49854.97</v>
          </cell>
        </row>
      </sheetData>
      <sheetData sheetId="8">
        <row r="56">
          <cell r="E56">
            <v>149925</v>
          </cell>
          <cell r="F56">
            <v>160972</v>
          </cell>
          <cell r="G56">
            <v>210698</v>
          </cell>
          <cell r="H56">
            <v>153073</v>
          </cell>
          <cell r="I56">
            <v>169438</v>
          </cell>
          <cell r="J56">
            <v>153759.08999999997</v>
          </cell>
          <cell r="K56">
            <v>152347.02999999997</v>
          </cell>
          <cell r="L56">
            <v>166724.86000000004</v>
          </cell>
          <cell r="M56">
            <v>173950.54999999993</v>
          </cell>
        </row>
        <row r="57">
          <cell r="E57">
            <v>295955</v>
          </cell>
          <cell r="F57">
            <v>304381</v>
          </cell>
          <cell r="G57">
            <v>355759</v>
          </cell>
          <cell r="H57">
            <v>360977</v>
          </cell>
          <cell r="I57">
            <v>358392</v>
          </cell>
          <cell r="J57">
            <v>358747.78</v>
          </cell>
          <cell r="K57">
            <v>323739.49000000005</v>
          </cell>
          <cell r="L57">
            <v>283772.45</v>
          </cell>
          <cell r="M57">
            <v>310319.97000000003</v>
          </cell>
        </row>
      </sheetData>
      <sheetData sheetId="9">
        <row r="21">
          <cell r="E21">
            <v>38651</v>
          </cell>
          <cell r="F21">
            <v>32583</v>
          </cell>
          <cell r="G21">
            <v>35213</v>
          </cell>
          <cell r="H21">
            <v>38324</v>
          </cell>
          <cell r="I21">
            <v>74417</v>
          </cell>
          <cell r="J21">
            <v>53007.45</v>
          </cell>
          <cell r="K21">
            <v>39567.079999999994</v>
          </cell>
          <cell r="L21">
            <v>37775.729999999996</v>
          </cell>
          <cell r="M21">
            <v>31121.590000000004</v>
          </cell>
        </row>
        <row r="22">
          <cell r="E22">
            <v>14949</v>
          </cell>
          <cell r="F22">
            <v>10496</v>
          </cell>
          <cell r="G22">
            <v>15968</v>
          </cell>
          <cell r="H22">
            <v>16105</v>
          </cell>
          <cell r="I22">
            <v>19462</v>
          </cell>
          <cell r="J22">
            <v>13573.83</v>
          </cell>
          <cell r="K22">
            <v>6101.08</v>
          </cell>
          <cell r="L22">
            <v>36615.58</v>
          </cell>
          <cell r="M22">
            <v>31111.11</v>
          </cell>
        </row>
      </sheetData>
      <sheetData sheetId="10" refreshError="1"/>
      <sheetData sheetId="11">
        <row r="96">
          <cell r="G96">
            <v>432916.00000000006</v>
          </cell>
          <cell r="H96">
            <v>562197</v>
          </cell>
          <cell r="I96">
            <v>434191</v>
          </cell>
          <cell r="J96">
            <v>486971</v>
          </cell>
          <cell r="K96">
            <v>418556.19099999976</v>
          </cell>
          <cell r="L96">
            <v>410150.88600000017</v>
          </cell>
          <cell r="M96">
            <v>439172.35299999942</v>
          </cell>
          <cell r="N96">
            <v>558265.755</v>
          </cell>
        </row>
        <row r="97">
          <cell r="G97">
            <v>451826.8</v>
          </cell>
          <cell r="H97">
            <v>423292</v>
          </cell>
          <cell r="I97">
            <v>406374</v>
          </cell>
          <cell r="J97">
            <v>532636</v>
          </cell>
          <cell r="K97">
            <v>429896.03600000008</v>
          </cell>
          <cell r="L97">
            <v>389279.60599999991</v>
          </cell>
          <cell r="M97">
            <v>464606.64399999997</v>
          </cell>
          <cell r="N97">
            <v>545856.87200000009</v>
          </cell>
        </row>
      </sheetData>
      <sheetData sheetId="12">
        <row r="19">
          <cell r="G19">
            <v>72007</v>
          </cell>
          <cell r="H19">
            <v>85481</v>
          </cell>
          <cell r="I19">
            <v>91575</v>
          </cell>
          <cell r="J19">
            <v>93961</v>
          </cell>
          <cell r="K19">
            <v>100550.7</v>
          </cell>
          <cell r="L19">
            <v>99760.18</v>
          </cell>
          <cell r="M19">
            <v>90712.00999999998</v>
          </cell>
          <cell r="N19">
            <v>100527.62000000002</v>
          </cell>
        </row>
        <row r="20">
          <cell r="G20">
            <v>121651</v>
          </cell>
          <cell r="H20">
            <v>82232</v>
          </cell>
          <cell r="I20">
            <v>95035</v>
          </cell>
          <cell r="J20">
            <v>104618</v>
          </cell>
          <cell r="K20">
            <v>107088.26</v>
          </cell>
          <cell r="L20">
            <v>132341.08000000002</v>
          </cell>
          <cell r="M20">
            <v>138055.09</v>
          </cell>
          <cell r="N20">
            <v>145551.43</v>
          </cell>
        </row>
      </sheetData>
      <sheetData sheetId="13">
        <row r="18">
          <cell r="G18">
            <v>80367</v>
          </cell>
          <cell r="H18">
            <v>87452</v>
          </cell>
          <cell r="I18">
            <v>80906</v>
          </cell>
          <cell r="J18">
            <v>100337</v>
          </cell>
          <cell r="K18">
            <v>83375.49000000002</v>
          </cell>
          <cell r="L18">
            <v>86193.030000000028</v>
          </cell>
          <cell r="M18">
            <v>66168.050000000032</v>
          </cell>
          <cell r="N18">
            <v>92245.9</v>
          </cell>
        </row>
        <row r="19">
          <cell r="G19">
            <v>104136</v>
          </cell>
          <cell r="H19">
            <v>110676</v>
          </cell>
          <cell r="I19">
            <v>103929</v>
          </cell>
          <cell r="J19">
            <v>107995</v>
          </cell>
          <cell r="K19">
            <v>108203.59</v>
          </cell>
          <cell r="L19">
            <v>101957.04000000001</v>
          </cell>
          <cell r="M19">
            <v>95977.360000000059</v>
          </cell>
          <cell r="N19">
            <v>110199.87</v>
          </cell>
        </row>
      </sheetData>
      <sheetData sheetId="14">
        <row r="25">
          <cell r="G25">
            <v>130249</v>
          </cell>
          <cell r="H25">
            <v>134458</v>
          </cell>
          <cell r="I25">
            <v>160344</v>
          </cell>
          <cell r="J25">
            <v>142842</v>
          </cell>
          <cell r="K25">
            <v>112476.88</v>
          </cell>
          <cell r="L25">
            <v>100238.45</v>
          </cell>
          <cell r="M25">
            <v>112866.00999999995</v>
          </cell>
          <cell r="N25">
            <v>150519.47</v>
          </cell>
        </row>
        <row r="26">
          <cell r="G26">
            <v>79061</v>
          </cell>
          <cell r="H26">
            <v>102525</v>
          </cell>
          <cell r="I26">
            <v>79509</v>
          </cell>
          <cell r="J26">
            <v>79626</v>
          </cell>
          <cell r="K26">
            <v>79863.820000000007</v>
          </cell>
          <cell r="L26">
            <v>89272.45</v>
          </cell>
          <cell r="M26">
            <v>444879.14999999997</v>
          </cell>
          <cell r="N26">
            <v>110914.75</v>
          </cell>
        </row>
      </sheetData>
      <sheetData sheetId="15">
        <row r="7">
          <cell r="G7">
            <v>7949</v>
          </cell>
          <cell r="H7">
            <v>7525</v>
          </cell>
          <cell r="I7">
            <v>7927</v>
          </cell>
          <cell r="J7">
            <v>8758</v>
          </cell>
          <cell r="K7">
            <v>6798.6900000000023</v>
          </cell>
          <cell r="L7">
            <v>5773.1100000000006</v>
          </cell>
          <cell r="M7">
            <v>5130.57</v>
          </cell>
          <cell r="N7">
            <v>4867.7099999999991</v>
          </cell>
        </row>
        <row r="8">
          <cell r="G8">
            <v>31568</v>
          </cell>
          <cell r="H8">
            <v>31553</v>
          </cell>
          <cell r="I8">
            <v>31553</v>
          </cell>
          <cell r="J8">
            <v>31553</v>
          </cell>
          <cell r="K8">
            <v>31919.22</v>
          </cell>
          <cell r="L8">
            <v>31547.78</v>
          </cell>
          <cell r="M8">
            <v>31571.75</v>
          </cell>
          <cell r="N8">
            <v>31547.78</v>
          </cell>
        </row>
      </sheetData>
      <sheetData sheetId="16">
        <row r="9">
          <cell r="G9">
            <v>3454</v>
          </cell>
          <cell r="H9">
            <v>2313</v>
          </cell>
          <cell r="I9">
            <v>4807</v>
          </cell>
          <cell r="J9">
            <v>3773</v>
          </cell>
          <cell r="K9">
            <v>5077.4700000000012</v>
          </cell>
          <cell r="L9">
            <v>5196.8700000000026</v>
          </cell>
          <cell r="M9">
            <v>4864.8399999999965</v>
          </cell>
          <cell r="N9">
            <v>6383.3099999999977</v>
          </cell>
        </row>
        <row r="10">
          <cell r="G10">
            <v>35048</v>
          </cell>
          <cell r="H10">
            <v>51466</v>
          </cell>
          <cell r="I10">
            <v>59215</v>
          </cell>
          <cell r="J10">
            <v>54094</v>
          </cell>
          <cell r="K10">
            <v>51741.72</v>
          </cell>
          <cell r="L10">
            <v>56467.869999999995</v>
          </cell>
          <cell r="M10">
            <v>34799.14</v>
          </cell>
          <cell r="N10">
            <v>56396.56</v>
          </cell>
        </row>
      </sheetData>
      <sheetData sheetId="17">
        <row r="23">
          <cell r="G23">
            <v>185160.2</v>
          </cell>
          <cell r="H23">
            <v>176248</v>
          </cell>
          <cell r="I23">
            <v>187871</v>
          </cell>
          <cell r="J23">
            <v>201582</v>
          </cell>
          <cell r="K23">
            <v>270095.10299999994</v>
          </cell>
          <cell r="L23">
            <v>324796.31800000003</v>
          </cell>
          <cell r="M23">
            <v>330998.26299999998</v>
          </cell>
          <cell r="N23">
            <v>333568.37300000002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17F2-D06A-40D1-8DC6-B7009B1DD364}">
  <dimension ref="A3:N199"/>
  <sheetViews>
    <sheetView rightToLeft="1" tabSelected="1" workbookViewId="0">
      <selection activeCell="E10" sqref="E10"/>
    </sheetView>
  </sheetViews>
  <sheetFormatPr defaultRowHeight="14" x14ac:dyDescent="0.3"/>
  <cols>
    <col min="2" max="2" width="22.5" customWidth="1"/>
    <col min="3" max="4" width="12.5" hidden="1" customWidth="1"/>
    <col min="5" max="8" width="12.5" bestFit="1" customWidth="1"/>
    <col min="9" max="12" width="11.75" customWidth="1"/>
    <col min="13" max="13" width="13" bestFit="1" customWidth="1"/>
    <col min="14" max="14" width="11.75" customWidth="1"/>
  </cols>
  <sheetData>
    <row r="3" spans="1:11" x14ac:dyDescent="0.3">
      <c r="B3" s="1" t="s">
        <v>0</v>
      </c>
      <c r="C3" s="2">
        <v>8.25</v>
      </c>
      <c r="D3" s="2">
        <v>9.25</v>
      </c>
      <c r="E3" s="2">
        <v>10.25</v>
      </c>
      <c r="F3" s="2">
        <v>11.25</v>
      </c>
      <c r="G3" s="2">
        <v>12.25</v>
      </c>
      <c r="H3" s="2">
        <v>1.26</v>
      </c>
      <c r="I3" s="2">
        <v>2.2599999999999998</v>
      </c>
      <c r="J3" s="2">
        <v>3.26</v>
      </c>
      <c r="K3" s="2">
        <v>4.26</v>
      </c>
    </row>
    <row r="4" spans="1:11" x14ac:dyDescent="0.3">
      <c r="B4" s="3" t="s">
        <v>1</v>
      </c>
      <c r="C4" s="4">
        <f t="shared" ref="C4:K5" si="0">+C19+C145+C159+C173+C187</f>
        <v>4676893.437627119</v>
      </c>
      <c r="D4" s="4">
        <f t="shared" si="0"/>
        <v>5133633.8983050846</v>
      </c>
      <c r="E4" s="4">
        <f t="shared" si="0"/>
        <v>5831123.7288135588</v>
      </c>
      <c r="F4" s="4">
        <f t="shared" si="0"/>
        <v>6376266.9491525432</v>
      </c>
      <c r="G4" s="4">
        <f t="shared" si="0"/>
        <v>6032676.2711864403</v>
      </c>
      <c r="H4" s="4">
        <f t="shared" si="0"/>
        <v>6116191.5254237289</v>
      </c>
      <c r="I4" s="4">
        <f t="shared" si="0"/>
        <v>5789351.2799999993</v>
      </c>
      <c r="J4" s="4">
        <f t="shared" si="0"/>
        <v>5461909.9800000004</v>
      </c>
      <c r="K4" s="4">
        <f t="shared" si="0"/>
        <v>6209433.3220338961</v>
      </c>
    </row>
    <row r="5" spans="1:11" x14ac:dyDescent="0.3">
      <c r="B5" s="3" t="s">
        <v>2</v>
      </c>
      <c r="C5" s="4">
        <f>+C20+C146+F160+C174+C188</f>
        <v>835644.76</v>
      </c>
      <c r="D5" s="4">
        <f>+D20+D146+G160+D174+D188</f>
        <v>1609293.6199999999</v>
      </c>
      <c r="E5" s="4">
        <f>+E20+E146+E160+E174+E188</f>
        <v>1969776.5150847458</v>
      </c>
      <c r="F5" s="4">
        <f>+F20+F146+F160+F174+F188</f>
        <v>1935184.8340677968</v>
      </c>
      <c r="G5" s="4">
        <f>+G20+G146+G160+G174+G188</f>
        <v>2292739.6310169492</v>
      </c>
      <c r="H5" s="4">
        <f>+H20+H146+H160+H174+H188</f>
        <v>1987507.9712542377</v>
      </c>
      <c r="I5" s="4">
        <f t="shared" si="0"/>
        <v>1896357.938542373</v>
      </c>
      <c r="J5" s="4">
        <f t="shared" si="0"/>
        <v>2245276.1494237287</v>
      </c>
      <c r="K5" s="4">
        <f t="shared" si="0"/>
        <v>2210159.5203050845</v>
      </c>
    </row>
    <row r="6" spans="1:11" x14ac:dyDescent="0.3">
      <c r="B6" s="5" t="s">
        <v>3</v>
      </c>
      <c r="C6" s="6">
        <f t="shared" ref="C6:K6" si="1">+C5/C4</f>
        <v>0.17867517640598091</v>
      </c>
      <c r="D6" s="6">
        <f t="shared" si="1"/>
        <v>0.31348040235812735</v>
      </c>
      <c r="E6" s="6">
        <f t="shared" si="1"/>
        <v>0.3378039305445385</v>
      </c>
      <c r="F6" s="6">
        <f t="shared" si="1"/>
        <v>0.30349808900723618</v>
      </c>
      <c r="G6" s="6">
        <f t="shared" si="1"/>
        <v>0.38005348338806821</v>
      </c>
      <c r="H6" s="6">
        <f t="shared" si="1"/>
        <v>0.32495842600621361</v>
      </c>
      <c r="I6" s="6">
        <f t="shared" si="1"/>
        <v>0.32755966028414385</v>
      </c>
      <c r="J6" s="6">
        <f t="shared" si="1"/>
        <v>0.41107893715665533</v>
      </c>
      <c r="K6" s="6">
        <f t="shared" si="1"/>
        <v>0.35593578442374646</v>
      </c>
    </row>
    <row r="7" spans="1:11" x14ac:dyDescent="0.3">
      <c r="B7" s="3" t="s">
        <v>4</v>
      </c>
      <c r="C7" s="4">
        <f>+C22+C148+C162+C176+C190</f>
        <v>487724.94999999995</v>
      </c>
      <c r="D7" s="4">
        <f>+D22+D148+D162+D176+D190</f>
        <v>1422891.23</v>
      </c>
      <c r="E7" s="4">
        <f>+E22+E148+E162+E176+E190</f>
        <v>1612541.09</v>
      </c>
      <c r="F7" s="4">
        <f t="shared" ref="F7:K7" si="2">+F22+F148+F162+F176+F190</f>
        <v>1459345.9799999997</v>
      </c>
      <c r="G7" s="4">
        <f t="shared" si="2"/>
        <v>1607418.7100000004</v>
      </c>
      <c r="H7" s="4">
        <f t="shared" si="2"/>
        <v>1490888.2439999997</v>
      </c>
      <c r="I7" s="4">
        <f t="shared" si="2"/>
        <v>1507303.8240000003</v>
      </c>
      <c r="J7" s="4">
        <f t="shared" si="2"/>
        <v>1534633.5759999994</v>
      </c>
      <c r="K7" s="4">
        <f t="shared" si="2"/>
        <v>1799184.9280000001</v>
      </c>
    </row>
    <row r="8" spans="1:11" x14ac:dyDescent="0.3">
      <c r="B8" s="3" t="s">
        <v>3</v>
      </c>
      <c r="C8" s="6">
        <f t="shared" ref="C8:K8" si="3">+C7/C4</f>
        <v>0.1042839561141366</v>
      </c>
      <c r="D8" s="6">
        <f t="shared" si="3"/>
        <v>0.27717037447290122</v>
      </c>
      <c r="E8" s="6">
        <f t="shared" si="3"/>
        <v>0.27654036597300929</v>
      </c>
      <c r="F8" s="6">
        <f t="shared" si="3"/>
        <v>0.22887153120117695</v>
      </c>
      <c r="G8" s="6">
        <f t="shared" si="3"/>
        <v>0.2664520086511904</v>
      </c>
      <c r="H8" s="6">
        <f t="shared" si="3"/>
        <v>0.24376088253657346</v>
      </c>
      <c r="I8" s="6">
        <f t="shared" si="3"/>
        <v>0.26035798332140597</v>
      </c>
      <c r="J8" s="6">
        <f t="shared" si="3"/>
        <v>0.28097013345503713</v>
      </c>
      <c r="K8" s="6">
        <f t="shared" si="3"/>
        <v>0.28975026136695486</v>
      </c>
    </row>
    <row r="9" spans="1:11" x14ac:dyDescent="0.3">
      <c r="B9" s="3" t="s">
        <v>5</v>
      </c>
      <c r="C9" s="7">
        <f t="shared" ref="C9:K9" si="4">+C24+C150+C164+C178+C192</f>
        <v>0</v>
      </c>
      <c r="D9" s="7">
        <f t="shared" si="4"/>
        <v>0</v>
      </c>
      <c r="E9" s="7">
        <f t="shared" si="4"/>
        <v>53839</v>
      </c>
      <c r="F9" s="7">
        <f t="shared" si="4"/>
        <v>50246</v>
      </c>
      <c r="G9" s="7">
        <f t="shared" si="4"/>
        <v>56588.881355932201</v>
      </c>
      <c r="H9" s="7">
        <f t="shared" si="4"/>
        <v>64173</v>
      </c>
      <c r="I9" s="7">
        <f t="shared" si="4"/>
        <v>53500</v>
      </c>
      <c r="J9" s="7">
        <f t="shared" si="4"/>
        <v>50675.423728813563</v>
      </c>
      <c r="K9" s="7">
        <f t="shared" si="4"/>
        <v>43656.762711864409</v>
      </c>
    </row>
    <row r="10" spans="1:11" x14ac:dyDescent="0.3">
      <c r="B10" s="3" t="s">
        <v>3</v>
      </c>
      <c r="C10" s="6">
        <f t="shared" ref="C10:K10" si="5">+C9/C4</f>
        <v>0</v>
      </c>
      <c r="D10" s="6">
        <f t="shared" si="5"/>
        <v>0</v>
      </c>
      <c r="E10" s="6">
        <f t="shared" si="5"/>
        <v>9.2330402344171243E-3</v>
      </c>
      <c r="F10" s="6">
        <f t="shared" si="5"/>
        <v>7.8801594099942914E-3</v>
      </c>
      <c r="G10" s="6">
        <f t="shared" si="5"/>
        <v>9.3803941753371964E-3</v>
      </c>
      <c r="H10" s="6">
        <f t="shared" si="5"/>
        <v>1.0492313678086479E-2</v>
      </c>
      <c r="I10" s="6">
        <f t="shared" si="5"/>
        <v>9.2411044713804277E-3</v>
      </c>
      <c r="J10" s="6">
        <f t="shared" si="5"/>
        <v>9.2779675817384229E-3</v>
      </c>
      <c r="K10" s="6">
        <f t="shared" si="5"/>
        <v>7.0307160811197283E-3</v>
      </c>
    </row>
    <row r="11" spans="1:11" x14ac:dyDescent="0.3">
      <c r="B11" s="3" t="s">
        <v>6</v>
      </c>
      <c r="C11" s="4">
        <f>+C26+C152+C166+C180+C194</f>
        <v>0</v>
      </c>
      <c r="D11" s="4">
        <f>+D26+D152+D166+D180+D194</f>
        <v>59138.983050847462</v>
      </c>
      <c r="E11" s="4">
        <f>+E26+E152+E166+E180+E194</f>
        <v>562550.23728813569</v>
      </c>
      <c r="F11" s="4">
        <f t="shared" ref="F11:K11" si="6">+F26+F152+F166+F180+F194</f>
        <v>652642.13559322036</v>
      </c>
      <c r="G11" s="4">
        <f t="shared" si="6"/>
        <v>437692.76271186443</v>
      </c>
      <c r="H11" s="4">
        <f t="shared" si="6"/>
        <v>655715.37288135604</v>
      </c>
      <c r="I11" s="4">
        <f t="shared" si="6"/>
        <v>573288.13559322036</v>
      </c>
      <c r="J11" s="4">
        <f t="shared" si="6"/>
        <v>619227.96610169497</v>
      </c>
      <c r="K11" s="4">
        <f t="shared" si="6"/>
        <v>466483.89830508473</v>
      </c>
    </row>
    <row r="12" spans="1:11" x14ac:dyDescent="0.3">
      <c r="B12" s="3" t="s">
        <v>3</v>
      </c>
      <c r="C12" s="6">
        <f t="shared" ref="C12:K12" si="7">+C11/C4</f>
        <v>0</v>
      </c>
      <c r="D12" s="6">
        <f t="shared" si="7"/>
        <v>1.1519906604631999E-2</v>
      </c>
      <c r="E12" s="6">
        <f t="shared" si="7"/>
        <v>9.6473726754996519E-2</v>
      </c>
      <c r="F12" s="6">
        <f t="shared" si="7"/>
        <v>0.10235489523850028</v>
      </c>
      <c r="G12" s="6">
        <f t="shared" si="7"/>
        <v>7.255366325595719E-2</v>
      </c>
      <c r="H12" s="6">
        <f t="shared" si="7"/>
        <v>0.10720975138788319</v>
      </c>
      <c r="I12" s="6">
        <f t="shared" si="7"/>
        <v>9.9024589779810435E-2</v>
      </c>
      <c r="J12" s="6">
        <f t="shared" si="7"/>
        <v>0.11337205636290895</v>
      </c>
      <c r="K12" s="6">
        <f t="shared" si="7"/>
        <v>7.5125035427916986E-2</v>
      </c>
    </row>
    <row r="13" spans="1:11" x14ac:dyDescent="0.3">
      <c r="B13" s="3" t="s">
        <v>7</v>
      </c>
      <c r="C13" s="4">
        <f t="shared" ref="C13:K13" si="8">+C4-C5-C7-C9-C11</f>
        <v>3353523.727627119</v>
      </c>
      <c r="D13" s="4">
        <f t="shared" si="8"/>
        <v>2042310.065254237</v>
      </c>
      <c r="E13" s="4">
        <f t="shared" si="8"/>
        <v>1632416.8864406771</v>
      </c>
      <c r="F13" s="4">
        <f t="shared" si="8"/>
        <v>2278847.9994915267</v>
      </c>
      <c r="G13" s="4">
        <f t="shared" si="8"/>
        <v>1638236.286101694</v>
      </c>
      <c r="H13" s="4">
        <f t="shared" si="8"/>
        <v>1917906.9372881348</v>
      </c>
      <c r="I13" s="4">
        <f t="shared" si="8"/>
        <v>1758901.3818644055</v>
      </c>
      <c r="J13" s="4">
        <f t="shared" si="8"/>
        <v>1012096.8647457637</v>
      </c>
      <c r="K13" s="4">
        <f t="shared" si="8"/>
        <v>1689948.2127118625</v>
      </c>
    </row>
    <row r="14" spans="1:11" x14ac:dyDescent="0.3">
      <c r="B14" s="3" t="s">
        <v>8</v>
      </c>
      <c r="C14" s="6">
        <f t="shared" ref="C14:K14" si="9">+C13/C4</f>
        <v>0.71704086747988249</v>
      </c>
      <c r="D14" s="6">
        <f t="shared" si="9"/>
        <v>0.39782931656433934</v>
      </c>
      <c r="E14" s="6">
        <f t="shared" si="9"/>
        <v>0.27994893649303854</v>
      </c>
      <c r="F14" s="6">
        <f t="shared" si="9"/>
        <v>0.35739532514309236</v>
      </c>
      <c r="G14" s="6">
        <f t="shared" si="9"/>
        <v>0.271560450529447</v>
      </c>
      <c r="H14" s="6">
        <f t="shared" si="9"/>
        <v>0.31357862639124312</v>
      </c>
      <c r="I14" s="6">
        <f t="shared" si="9"/>
        <v>0.30381666214325931</v>
      </c>
      <c r="J14" s="6">
        <f t="shared" si="9"/>
        <v>0.18530090544366012</v>
      </c>
      <c r="K14" s="6">
        <f t="shared" si="9"/>
        <v>0.27215820270026203</v>
      </c>
    </row>
    <row r="15" spans="1:11" x14ac:dyDescent="0.3">
      <c r="B15" s="3" t="s">
        <v>9</v>
      </c>
      <c r="C15" s="8">
        <f>+C4-'[1]הכנסות - מרכז'!I94</f>
        <v>0</v>
      </c>
      <c r="D15" s="8">
        <f>+D4-'[1]הכנסות - מרכז'!J94</f>
        <v>0</v>
      </c>
      <c r="E15" s="8">
        <f>+E4-'[1]הכנסות - מרכז'!K94</f>
        <v>0</v>
      </c>
      <c r="F15" s="8">
        <f>+F4-'[1]הכנסות - מרכז'!L94</f>
        <v>0</v>
      </c>
      <c r="G15" s="8">
        <f>+G4-'[1]הכנסות - מרכז'!M94</f>
        <v>0</v>
      </c>
      <c r="H15" s="8">
        <f>+H4-'[1]הכנסות - מרכז'!N94</f>
        <v>0</v>
      </c>
      <c r="I15" s="8">
        <f>+I4-'[1]הכנסות - מרכז'!O94</f>
        <v>0</v>
      </c>
      <c r="J15" s="8">
        <f>+J4-'[1]הכנסות - מרכז'!P94</f>
        <v>0</v>
      </c>
      <c r="K15" s="8">
        <f>+K4-'[1]הכנסות - מרכז'!Q94</f>
        <v>0</v>
      </c>
    </row>
    <row r="16" spans="1:11" ht="14.5" thickBot="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14.5" thickTop="1" x14ac:dyDescent="0.3"/>
    <row r="18" spans="1:11" x14ac:dyDescent="0.3">
      <c r="B18" s="10" t="s">
        <v>10</v>
      </c>
      <c r="C18" s="2">
        <v>8.25</v>
      </c>
      <c r="D18" s="2">
        <v>9.25</v>
      </c>
      <c r="E18" s="2">
        <v>10.25</v>
      </c>
      <c r="F18" s="2">
        <v>11.25</v>
      </c>
      <c r="G18" s="2">
        <v>12.25</v>
      </c>
      <c r="H18" s="2">
        <v>1.26</v>
      </c>
      <c r="I18" s="2">
        <v>2.2599999999999998</v>
      </c>
      <c r="J18" s="2">
        <v>3.26</v>
      </c>
      <c r="K18" s="2">
        <v>4.26</v>
      </c>
    </row>
    <row r="19" spans="1:11" x14ac:dyDescent="0.3">
      <c r="B19" s="3" t="s">
        <v>1</v>
      </c>
      <c r="C19" s="4">
        <f>+C33+C47+C61+C75+C131+C89+C103+C117</f>
        <v>3771427.3359322036</v>
      </c>
      <c r="D19" s="4">
        <f>+D33+D47+D61+D75+D131+D89+D103+D117</f>
        <v>3190722.8813559324</v>
      </c>
      <c r="E19" s="4">
        <f t="shared" ref="E19:K22" si="10">+E33+E47+E61+E75+E131+E89+E103+E117</f>
        <v>3589999.1525423732</v>
      </c>
      <c r="F19" s="4">
        <f t="shared" si="10"/>
        <v>4101214.4067796613</v>
      </c>
      <c r="G19" s="4">
        <f t="shared" si="10"/>
        <v>3776817.7966101696</v>
      </c>
      <c r="H19" s="4">
        <f t="shared" si="10"/>
        <v>3768811.016949153</v>
      </c>
      <c r="I19" s="4">
        <f t="shared" si="10"/>
        <v>3564782.28</v>
      </c>
      <c r="J19" s="4">
        <f t="shared" si="10"/>
        <v>3355765.98</v>
      </c>
      <c r="K19" s="4">
        <f t="shared" si="10"/>
        <v>3669000</v>
      </c>
    </row>
    <row r="20" spans="1:11" x14ac:dyDescent="0.3">
      <c r="B20" s="3" t="s">
        <v>2</v>
      </c>
      <c r="C20" s="4">
        <f>+C34+C48+C62+C76+C132</f>
        <v>0</v>
      </c>
      <c r="D20" s="4">
        <f t="shared" ref="D20:K26" si="11">+D34+D48+D62+D76+D132+D90+D104+D118</f>
        <v>799521.8</v>
      </c>
      <c r="E20" s="4">
        <f t="shared" si="10"/>
        <v>1036511.3500000001</v>
      </c>
      <c r="F20" s="4">
        <f t="shared" si="10"/>
        <v>1033473.98</v>
      </c>
      <c r="G20" s="4">
        <f t="shared" si="10"/>
        <v>1218027.6299999999</v>
      </c>
      <c r="H20" s="4">
        <f t="shared" si="10"/>
        <v>1078842.3070169494</v>
      </c>
      <c r="I20" s="4">
        <f>+I34+I48+I62+I76+I132+I90+I104+I118</f>
        <v>1085956.3937966102</v>
      </c>
      <c r="J20" s="4">
        <f>+J34+J48+J62+J76+J132+J90+J104+J118</f>
        <v>1432175.0916271184</v>
      </c>
      <c r="K20" s="4">
        <f>+K34+K48+K62+K76+K132+K90+K104+K118</f>
        <v>1315379.9738644068</v>
      </c>
    </row>
    <row r="21" spans="1:11" x14ac:dyDescent="0.3">
      <c r="B21" s="5" t="s">
        <v>3</v>
      </c>
      <c r="C21" s="6">
        <f t="shared" ref="C21:K21" si="12">+C20/C19</f>
        <v>0</v>
      </c>
      <c r="D21" s="6">
        <f t="shared" si="12"/>
        <v>0.250577010204106</v>
      </c>
      <c r="E21" s="6">
        <f t="shared" si="12"/>
        <v>0.28872189266840392</v>
      </c>
      <c r="F21" s="6">
        <f t="shared" si="12"/>
        <v>0.25199218511755406</v>
      </c>
      <c r="G21" s="6">
        <f t="shared" si="12"/>
        <v>0.32250103012467896</v>
      </c>
      <c r="H21" s="6">
        <f t="shared" si="12"/>
        <v>0.28625534741995917</v>
      </c>
      <c r="I21" s="6">
        <f t="shared" si="12"/>
        <v>0.30463470374875468</v>
      </c>
      <c r="J21" s="6">
        <f t="shared" si="12"/>
        <v>0.42678038342444796</v>
      </c>
      <c r="K21" s="6">
        <f t="shared" si="12"/>
        <v>0.35851184896822208</v>
      </c>
    </row>
    <row r="22" spans="1:11" x14ac:dyDescent="0.3">
      <c r="B22" s="3" t="s">
        <v>4</v>
      </c>
      <c r="C22" s="4">
        <f>+C36+C50+C64+C78+C134</f>
        <v>0</v>
      </c>
      <c r="D22" s="4">
        <f t="shared" si="11"/>
        <v>935871.2</v>
      </c>
      <c r="E22" s="4">
        <f t="shared" si="10"/>
        <v>1055674</v>
      </c>
      <c r="F22" s="4">
        <f t="shared" si="10"/>
        <v>967621</v>
      </c>
      <c r="G22" s="4">
        <f t="shared" si="10"/>
        <v>1038224</v>
      </c>
      <c r="H22" s="4">
        <f t="shared" si="10"/>
        <v>996930.52399999974</v>
      </c>
      <c r="I22" s="4">
        <f>+I36+I50+I64+I78+I134+I92+I106+I120</f>
        <v>1032109.844</v>
      </c>
      <c r="J22" s="4">
        <f>+J36+J50+J64+J78+J134+J92+J106+J120</f>
        <v>1049914.0959999994</v>
      </c>
      <c r="K22" s="4">
        <f>+K36+K50+K64+K78+K134+K92+K106+K120</f>
        <v>1246381.138</v>
      </c>
    </row>
    <row r="23" spans="1:11" x14ac:dyDescent="0.3">
      <c r="B23" s="3" t="s">
        <v>3</v>
      </c>
      <c r="C23" s="6">
        <f t="shared" ref="C23:K23" si="13">+C22/C19</f>
        <v>0</v>
      </c>
      <c r="D23" s="6">
        <f t="shared" si="13"/>
        <v>0.29331008514355572</v>
      </c>
      <c r="E23" s="6">
        <f t="shared" si="13"/>
        <v>0.29405967944376549</v>
      </c>
      <c r="F23" s="6">
        <f t="shared" si="13"/>
        <v>0.23593523869428504</v>
      </c>
      <c r="G23" s="6">
        <f t="shared" si="13"/>
        <v>0.27489385400901351</v>
      </c>
      <c r="H23" s="6">
        <f t="shared" si="13"/>
        <v>0.26452122951153267</v>
      </c>
      <c r="I23" s="6">
        <f t="shared" si="13"/>
        <v>0.28952955971269023</v>
      </c>
      <c r="J23" s="6">
        <f t="shared" si="13"/>
        <v>0.31286868698752335</v>
      </c>
      <c r="K23" s="6">
        <f t="shared" si="13"/>
        <v>0.33970595203052606</v>
      </c>
    </row>
    <row r="24" spans="1:11" x14ac:dyDescent="0.3">
      <c r="B24" s="3" t="s">
        <v>5</v>
      </c>
      <c r="C24" s="7">
        <f>+C38+C52+C66+C80+C136</f>
        <v>0</v>
      </c>
      <c r="D24" s="7">
        <f t="shared" si="11"/>
        <v>0</v>
      </c>
      <c r="E24" s="7">
        <f t="shared" ref="E24:K24" si="14">+E38+E52+E66+E80+E136</f>
        <v>53839</v>
      </c>
      <c r="F24" s="7">
        <f t="shared" si="14"/>
        <v>50246</v>
      </c>
      <c r="G24" s="7">
        <f t="shared" si="14"/>
        <v>56588.881355932201</v>
      </c>
      <c r="H24" s="7">
        <f t="shared" si="14"/>
        <v>64173</v>
      </c>
      <c r="I24" s="7">
        <f t="shared" si="14"/>
        <v>53500</v>
      </c>
      <c r="J24" s="7">
        <f t="shared" si="14"/>
        <v>50675.423728813563</v>
      </c>
      <c r="K24" s="7">
        <f t="shared" si="14"/>
        <v>43656.762711864409</v>
      </c>
    </row>
    <row r="25" spans="1:11" x14ac:dyDescent="0.3">
      <c r="B25" s="3" t="s">
        <v>3</v>
      </c>
      <c r="C25" s="6">
        <f t="shared" ref="C25:K25" si="15">+C24/C19</f>
        <v>0</v>
      </c>
      <c r="D25" s="6">
        <f t="shared" si="15"/>
        <v>0</v>
      </c>
      <c r="E25" s="6">
        <f t="shared" si="15"/>
        <v>1.4996939473334466E-2</v>
      </c>
      <c r="F25" s="6">
        <f t="shared" si="15"/>
        <v>1.2251493098468352E-2</v>
      </c>
      <c r="G25" s="6">
        <f t="shared" si="15"/>
        <v>1.4983217195895118E-2</v>
      </c>
      <c r="H25" s="6">
        <f t="shared" si="15"/>
        <v>1.7027386014156778E-2</v>
      </c>
      <c r="I25" s="6">
        <f t="shared" si="15"/>
        <v>1.5007929179899312E-2</v>
      </c>
      <c r="J25" s="6">
        <f t="shared" si="15"/>
        <v>1.5101000496111341E-2</v>
      </c>
      <c r="K25" s="6">
        <f t="shared" si="15"/>
        <v>1.1898817855509515E-2</v>
      </c>
    </row>
    <row r="26" spans="1:11" x14ac:dyDescent="0.3">
      <c r="B26" s="3" t="s">
        <v>6</v>
      </c>
      <c r="C26" s="4">
        <f>+C40+C54+C68+C82+C138</f>
        <v>0</v>
      </c>
      <c r="D26" s="4">
        <f t="shared" si="11"/>
        <v>0</v>
      </c>
      <c r="E26" s="4">
        <f t="shared" si="11"/>
        <v>269046</v>
      </c>
      <c r="F26" s="4">
        <f t="shared" si="11"/>
        <v>359304</v>
      </c>
      <c r="G26" s="4">
        <f t="shared" si="11"/>
        <v>137267</v>
      </c>
      <c r="H26" s="4">
        <f t="shared" si="11"/>
        <v>385373</v>
      </c>
      <c r="I26" s="4">
        <f t="shared" si="11"/>
        <v>264427.96610169497</v>
      </c>
      <c r="J26" s="4">
        <f t="shared" si="11"/>
        <v>330523.72881355934</v>
      </c>
      <c r="K26" s="4">
        <f t="shared" si="11"/>
        <v>182830.50847457626</v>
      </c>
    </row>
    <row r="27" spans="1:11" x14ac:dyDescent="0.3">
      <c r="B27" s="3" t="s">
        <v>3</v>
      </c>
      <c r="C27" s="6">
        <f t="shared" ref="C27:K27" si="16">+C26/C19</f>
        <v>0</v>
      </c>
      <c r="D27" s="6">
        <f t="shared" si="16"/>
        <v>0</v>
      </c>
      <c r="E27" s="6">
        <f t="shared" si="16"/>
        <v>7.4943193178601847E-2</v>
      </c>
      <c r="F27" s="6">
        <f t="shared" si="16"/>
        <v>8.7609172396848969E-2</v>
      </c>
      <c r="G27" s="6">
        <f t="shared" si="16"/>
        <v>3.6344617980566096E-2</v>
      </c>
      <c r="H27" s="6">
        <f t="shared" si="16"/>
        <v>0.10225320353472085</v>
      </c>
      <c r="I27" s="6">
        <f t="shared" si="16"/>
        <v>7.4177872681103818E-2</v>
      </c>
      <c r="J27" s="6">
        <f t="shared" si="16"/>
        <v>9.8494272480096887E-2</v>
      </c>
      <c r="K27" s="6">
        <f t="shared" si="16"/>
        <v>4.9831155212476497E-2</v>
      </c>
    </row>
    <row r="28" spans="1:11" x14ac:dyDescent="0.3">
      <c r="B28" s="3" t="s">
        <v>7</v>
      </c>
      <c r="C28" s="4">
        <f t="shared" ref="C28:D28" si="17">+C19-C20-C22-C24-C26</f>
        <v>3771427.3359322036</v>
      </c>
      <c r="D28" s="4">
        <f t="shared" si="17"/>
        <v>1455329.8813559322</v>
      </c>
      <c r="E28" s="4">
        <f>+E19-E20-E22-E24-E26</f>
        <v>1174928.8025423731</v>
      </c>
      <c r="F28" s="4">
        <f t="shared" ref="F28:K28" si="18">+F19-F20-F22-F24-F26</f>
        <v>1690569.4267796613</v>
      </c>
      <c r="G28" s="4">
        <f t="shared" si="18"/>
        <v>1326710.2852542375</v>
      </c>
      <c r="H28" s="4">
        <f t="shared" si="18"/>
        <v>1243492.1859322037</v>
      </c>
      <c r="I28" s="4">
        <f t="shared" si="18"/>
        <v>1128788.0761016947</v>
      </c>
      <c r="J28" s="4">
        <f t="shared" si="18"/>
        <v>492477.63983050926</v>
      </c>
      <c r="K28" s="4">
        <f t="shared" si="18"/>
        <v>880751.61694915243</v>
      </c>
    </row>
    <row r="29" spans="1:11" x14ac:dyDescent="0.3">
      <c r="B29" s="3" t="s">
        <v>8</v>
      </c>
      <c r="C29" s="6">
        <f t="shared" ref="C29:K29" si="19">+C28/C19</f>
        <v>1</v>
      </c>
      <c r="D29" s="6">
        <f t="shared" si="19"/>
        <v>0.45611290465233817</v>
      </c>
      <c r="E29" s="6">
        <f t="shared" si="19"/>
        <v>0.3272782952358943</v>
      </c>
      <c r="F29" s="6">
        <f t="shared" si="19"/>
        <v>0.41221191069284363</v>
      </c>
      <c r="G29" s="6">
        <f t="shared" si="19"/>
        <v>0.35127728068984632</v>
      </c>
      <c r="H29" s="6">
        <f t="shared" si="19"/>
        <v>0.3299428335196305</v>
      </c>
      <c r="I29" s="6">
        <f t="shared" si="19"/>
        <v>0.31664993467755198</v>
      </c>
      <c r="J29" s="6">
        <f t="shared" si="19"/>
        <v>0.1467556566118205</v>
      </c>
      <c r="K29" s="6">
        <f t="shared" si="19"/>
        <v>0.24005222593326586</v>
      </c>
    </row>
    <row r="30" spans="1:11" ht="14.5" thickBo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ht="14.5" thickTop="1" x14ac:dyDescent="0.3">
      <c r="C31" s="2"/>
      <c r="D31" s="2"/>
    </row>
    <row r="32" spans="1:11" x14ac:dyDescent="0.3">
      <c r="B32" s="11" t="s">
        <v>11</v>
      </c>
      <c r="C32" s="2">
        <v>8.25</v>
      </c>
      <c r="D32" s="2">
        <v>9.25</v>
      </c>
      <c r="E32" s="2">
        <v>10.25</v>
      </c>
      <c r="F32" s="2">
        <v>11.25</v>
      </c>
      <c r="G32" s="2">
        <v>12.25</v>
      </c>
      <c r="H32" s="2">
        <v>1.26</v>
      </c>
      <c r="I32" s="2">
        <v>2.2599999999999998</v>
      </c>
      <c r="J32" s="2">
        <v>3.26</v>
      </c>
      <c r="K32" s="2">
        <v>4.26</v>
      </c>
    </row>
    <row r="33" spans="1:11" x14ac:dyDescent="0.3">
      <c r="B33" s="3" t="s">
        <v>1</v>
      </c>
      <c r="C33" s="12">
        <f>+'[1]הכנסות - מרכז'!I78</f>
        <v>1526301.6949152544</v>
      </c>
      <c r="D33" s="12">
        <f>+'[1]הכנסות - מרכז'!J78</f>
        <v>1456677.9661016951</v>
      </c>
      <c r="E33" s="12">
        <f>+'[1]הכנסות - מרכז'!K78</f>
        <v>1598972.0338983051</v>
      </c>
      <c r="F33" s="12">
        <f>+'[1]הכנסות - מרכז'!L78</f>
        <v>1545136.4406779662</v>
      </c>
      <c r="G33" s="12">
        <f>+'[1]הכנסות - מרכז'!M78</f>
        <v>1429006.779661017</v>
      </c>
      <c r="H33" s="12">
        <f>+'[1]הכנסות - מרכז'!N78</f>
        <v>1568003.3898305085</v>
      </c>
      <c r="I33" s="12">
        <f>+'[1]הכנסות - מרכז'!O78</f>
        <v>1465456.4456</v>
      </c>
      <c r="J33" s="12">
        <f>+'[1]הכנסות - מרכז'!P78</f>
        <v>1360763.7382</v>
      </c>
      <c r="K33" s="12">
        <f>+'[1]הכנסות - מרכז'!Q78</f>
        <v>1495000</v>
      </c>
    </row>
    <row r="34" spans="1:11" x14ac:dyDescent="0.3">
      <c r="B34" s="3" t="s">
        <v>2</v>
      </c>
      <c r="C34" s="3"/>
      <c r="D34" s="4">
        <f>+'[1]נתוני כ"ס - חירום'!G97</f>
        <v>451826.8</v>
      </c>
      <c r="E34" s="4">
        <f>+'[1]נתוני כ"ס - חירום'!H97</f>
        <v>423292</v>
      </c>
      <c r="F34" s="4">
        <f>+'[1]נתוני כ"ס - חירום'!I97</f>
        <v>406374</v>
      </c>
      <c r="G34" s="4">
        <f>+'[1]נתוני כ"ס - חירום'!J97</f>
        <v>532636</v>
      </c>
      <c r="H34" s="4">
        <f>+'[1]נתוני כ"ס - חירום'!K97</f>
        <v>429896.03600000008</v>
      </c>
      <c r="I34" s="4">
        <f>+'[1]נתוני כ"ס - חירום'!L97</f>
        <v>389279.60599999991</v>
      </c>
      <c r="J34" s="4">
        <f>+'[1]נתוני כ"ס - חירום'!M97</f>
        <v>464606.64399999997</v>
      </c>
      <c r="K34" s="4">
        <f>+'[1]נתוני כ"ס - חירום'!N97</f>
        <v>545856.87200000009</v>
      </c>
    </row>
    <row r="35" spans="1:11" x14ac:dyDescent="0.3">
      <c r="B35" s="5" t="s">
        <v>3</v>
      </c>
      <c r="C35" s="6">
        <f t="shared" ref="C35:K35" si="20">+C34/C33</f>
        <v>0</v>
      </c>
      <c r="D35" s="6">
        <f t="shared" si="20"/>
        <v>0.31017617518384061</v>
      </c>
      <c r="E35" s="6">
        <f t="shared" si="20"/>
        <v>0.26472758186271156</v>
      </c>
      <c r="F35" s="6">
        <f t="shared" si="20"/>
        <v>0.26300201671620244</v>
      </c>
      <c r="G35" s="6">
        <f t="shared" si="20"/>
        <v>0.37273161162072982</v>
      </c>
      <c r="H35" s="6">
        <f t="shared" si="20"/>
        <v>0.27416779758777765</v>
      </c>
      <c r="I35" s="6">
        <f t="shared" si="20"/>
        <v>0.26563710383123507</v>
      </c>
      <c r="J35" s="6">
        <f t="shared" si="20"/>
        <v>0.34143079430862511</v>
      </c>
      <c r="K35" s="6">
        <f t="shared" si="20"/>
        <v>0.36512165351170572</v>
      </c>
    </row>
    <row r="36" spans="1:11" x14ac:dyDescent="0.3">
      <c r="B36" s="3" t="s">
        <v>4</v>
      </c>
      <c r="C36" s="3"/>
      <c r="D36" s="4">
        <f>+'[1]נתוני כ"ס - חירום'!G96</f>
        <v>432916.00000000006</v>
      </c>
      <c r="E36" s="4">
        <f>+'[1]נתוני כ"ס - חירום'!H96</f>
        <v>562197</v>
      </c>
      <c r="F36" s="4">
        <f>+'[1]נתוני כ"ס - חירום'!I96</f>
        <v>434191</v>
      </c>
      <c r="G36" s="4">
        <f>+'[1]נתוני כ"ס - חירום'!J96</f>
        <v>486971</v>
      </c>
      <c r="H36" s="4">
        <f>+'[1]נתוני כ"ס - חירום'!K96</f>
        <v>418556.19099999976</v>
      </c>
      <c r="I36" s="4">
        <f>+'[1]נתוני כ"ס - חירום'!L96</f>
        <v>410150.88600000017</v>
      </c>
      <c r="J36" s="4">
        <f>+'[1]נתוני כ"ס - חירום'!M96</f>
        <v>439172.35299999942</v>
      </c>
      <c r="K36" s="4">
        <f>+'[1]נתוני כ"ס - חירום'!N96</f>
        <v>558265.755</v>
      </c>
    </row>
    <row r="37" spans="1:11" x14ac:dyDescent="0.3">
      <c r="B37" s="3" t="s">
        <v>3</v>
      </c>
      <c r="C37" s="6">
        <f t="shared" ref="C37:D37" si="21">+C36/C33</f>
        <v>0</v>
      </c>
      <c r="D37" s="6">
        <f t="shared" si="21"/>
        <v>0.29719403332402494</v>
      </c>
      <c r="E37" s="6">
        <f>+E36/E33</f>
        <v>0.35159901992116754</v>
      </c>
      <c r="F37" s="6">
        <f t="shared" ref="F37:K37" si="22">+F36/F33</f>
        <v>0.28100495760069455</v>
      </c>
      <c r="G37" s="6">
        <f t="shared" si="22"/>
        <v>0.34077585000367683</v>
      </c>
      <c r="H37" s="6">
        <f t="shared" si="22"/>
        <v>0.2669357692174652</v>
      </c>
      <c r="I37" s="6">
        <f t="shared" si="22"/>
        <v>0.27987927395008494</v>
      </c>
      <c r="J37" s="6">
        <f t="shared" si="22"/>
        <v>0.32273960620153702</v>
      </c>
      <c r="K37" s="6">
        <f t="shared" si="22"/>
        <v>0.37342190969899663</v>
      </c>
    </row>
    <row r="38" spans="1:11" x14ac:dyDescent="0.3">
      <c r="B38" s="3" t="s">
        <v>5</v>
      </c>
      <c r="C38" s="3"/>
      <c r="D38" s="7"/>
      <c r="E38" s="7"/>
      <c r="F38" s="7"/>
      <c r="G38" s="7"/>
      <c r="H38" s="7"/>
      <c r="I38" s="7"/>
      <c r="J38" s="7"/>
      <c r="K38" s="7"/>
    </row>
    <row r="39" spans="1:11" x14ac:dyDescent="0.3">
      <c r="B39" s="3" t="s">
        <v>3</v>
      </c>
      <c r="C39" s="13">
        <f t="shared" ref="C39:D39" si="23">+C38/C33</f>
        <v>0</v>
      </c>
      <c r="D39" s="13">
        <f t="shared" si="23"/>
        <v>0</v>
      </c>
      <c r="E39" s="13">
        <f>+E38/E33</f>
        <v>0</v>
      </c>
      <c r="F39" s="13">
        <f t="shared" ref="F39:K39" si="24">+F38/F33</f>
        <v>0</v>
      </c>
      <c r="G39" s="13">
        <f t="shared" si="24"/>
        <v>0</v>
      </c>
      <c r="H39" s="13">
        <f t="shared" si="24"/>
        <v>0</v>
      </c>
      <c r="I39" s="13">
        <f t="shared" si="24"/>
        <v>0</v>
      </c>
      <c r="J39" s="13">
        <f t="shared" si="24"/>
        <v>0</v>
      </c>
      <c r="K39" s="13">
        <f t="shared" si="24"/>
        <v>0</v>
      </c>
    </row>
    <row r="40" spans="1:11" x14ac:dyDescent="0.3">
      <c r="B40" s="3" t="s">
        <v>6</v>
      </c>
      <c r="C40" s="3"/>
      <c r="D40" s="7"/>
      <c r="E40" s="7">
        <f>+'[1]וטרמקט ואלסמד'!J5+'[1]וטרמקט ואלסמד'!J6</f>
        <v>232255</v>
      </c>
      <c r="F40" s="7">
        <f>+'[1]וטרמקט ואלסמד'!K5+'[1]וטרמקט ואלסמד'!K6</f>
        <v>302662</v>
      </c>
      <c r="G40" s="7">
        <f>+'[1]וטרמקט ואלסמד'!L5+'[1]וטרמקט ואלסמד'!L6</f>
        <v>82318</v>
      </c>
      <c r="H40" s="7">
        <f>+'[1]וטרמקט ואלסמד'!M5+'[1]וטרמקט ואלסמד'!M6</f>
        <v>298774</v>
      </c>
      <c r="I40" s="7">
        <f>+'[1]וטרמקט ואלסמד'!N5+'[1]וטרמקט ואלסמד'!N6</f>
        <v>200620.33898305087</v>
      </c>
      <c r="J40" s="7">
        <f>+'[1]וטמרקט ואלסמד 2-4.26'!L8</f>
        <v>279275.42372881359</v>
      </c>
      <c r="K40" s="7">
        <f>+'[1]וטמרקט ואלסמד 2-4.26'!S9</f>
        <v>126859.32203389831</v>
      </c>
    </row>
    <row r="41" spans="1:11" x14ac:dyDescent="0.3">
      <c r="B41" s="3" t="s">
        <v>3</v>
      </c>
      <c r="C41" s="6">
        <f t="shared" ref="C41:D41" si="25">+C40/C33</f>
        <v>0</v>
      </c>
      <c r="D41" s="6">
        <f t="shared" si="25"/>
        <v>0</v>
      </c>
      <c r="E41" s="6">
        <f>+E40/E33</f>
        <v>0.14525269678029368</v>
      </c>
      <c r="F41" s="6">
        <f t="shared" ref="F41:K41" si="26">+F40/F33</f>
        <v>0.1958804362074327</v>
      </c>
      <c r="G41" s="6">
        <f t="shared" si="26"/>
        <v>5.7605045106592936E-2</v>
      </c>
      <c r="H41" s="6">
        <f t="shared" si="26"/>
        <v>0.19054423092305664</v>
      </c>
      <c r="I41" s="6">
        <f t="shared" si="26"/>
        <v>0.13689955753063077</v>
      </c>
      <c r="J41" s="6">
        <f t="shared" si="26"/>
        <v>0.20523432238004474</v>
      </c>
      <c r="K41" s="6">
        <f t="shared" si="26"/>
        <v>8.4855733801938671E-2</v>
      </c>
    </row>
    <row r="42" spans="1:11" x14ac:dyDescent="0.3">
      <c r="B42" s="3" t="s">
        <v>7</v>
      </c>
      <c r="C42" s="4">
        <f t="shared" ref="C42:D42" si="27">+C33-C34-C36-C38-C40</f>
        <v>1526301.6949152544</v>
      </c>
      <c r="D42" s="4">
        <f t="shared" si="27"/>
        <v>571935.16610169504</v>
      </c>
      <c r="E42" s="4">
        <f>+E33-E34-E36-E38-E40</f>
        <v>381228.03389830515</v>
      </c>
      <c r="F42" s="4">
        <f t="shared" ref="F42:K42" si="28">+F33-F34-F36-F38-F40</f>
        <v>401909.44067796622</v>
      </c>
      <c r="G42" s="4">
        <f t="shared" si="28"/>
        <v>327081.779661017</v>
      </c>
      <c r="H42" s="4">
        <f t="shared" si="28"/>
        <v>420777.16283050866</v>
      </c>
      <c r="I42" s="4">
        <f t="shared" si="28"/>
        <v>465405.61461694899</v>
      </c>
      <c r="J42" s="4">
        <f t="shared" si="28"/>
        <v>177709.31747118704</v>
      </c>
      <c r="K42" s="4">
        <f t="shared" si="28"/>
        <v>264018.05096610158</v>
      </c>
    </row>
    <row r="43" spans="1:11" x14ac:dyDescent="0.3">
      <c r="B43" s="3" t="s">
        <v>8</v>
      </c>
      <c r="C43" s="6">
        <f t="shared" ref="C43:D43" si="29">+C42/C33</f>
        <v>1</v>
      </c>
      <c r="D43" s="6">
        <f t="shared" si="29"/>
        <v>0.39262979149213445</v>
      </c>
      <c r="E43" s="6">
        <f>+E42/E33</f>
        <v>0.23842070143582719</v>
      </c>
      <c r="F43" s="6">
        <f t="shared" ref="F43:K43" si="30">+F42/F33</f>
        <v>0.26011258947567029</v>
      </c>
      <c r="G43" s="6">
        <f t="shared" si="30"/>
        <v>0.22888749326900043</v>
      </c>
      <c r="H43" s="6">
        <f t="shared" si="30"/>
        <v>0.26835220227170048</v>
      </c>
      <c r="I43" s="6">
        <f t="shared" si="30"/>
        <v>0.31758406468804917</v>
      </c>
      <c r="J43" s="6">
        <f t="shared" si="30"/>
        <v>0.13059527710979316</v>
      </c>
      <c r="K43" s="6">
        <f t="shared" si="30"/>
        <v>0.17660070298735892</v>
      </c>
    </row>
    <row r="44" spans="1:11" ht="14.5" thickBo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t="14.5" thickTop="1" x14ac:dyDescent="0.3"/>
    <row r="46" spans="1:11" x14ac:dyDescent="0.3">
      <c r="B46" s="11" t="s">
        <v>12</v>
      </c>
      <c r="C46" s="2">
        <v>8.25</v>
      </c>
      <c r="D46" s="2">
        <v>9.25</v>
      </c>
      <c r="E46" s="2">
        <v>10.25</v>
      </c>
      <c r="F46" s="2">
        <v>11.25</v>
      </c>
      <c r="G46" s="2">
        <v>12.25</v>
      </c>
      <c r="H46" s="2">
        <v>1.26</v>
      </c>
      <c r="I46" s="2">
        <v>2.2599999999999998</v>
      </c>
      <c r="J46" s="2">
        <v>3.26</v>
      </c>
      <c r="K46" s="2">
        <v>4.26</v>
      </c>
    </row>
    <row r="47" spans="1:11" x14ac:dyDescent="0.3">
      <c r="B47" s="3" t="s">
        <v>1</v>
      </c>
      <c r="C47" s="12">
        <f>+'[1]הכנסות - מרכז'!I79</f>
        <v>764258.47152542369</v>
      </c>
      <c r="D47" s="12">
        <f>+'[1]הכנסות - מרכז'!J79</f>
        <v>434802.54237288138</v>
      </c>
      <c r="E47" s="12">
        <f>+'[1]הכנסות - מרכז'!K79</f>
        <v>475744.06779661018</v>
      </c>
      <c r="F47" s="12">
        <f>+'[1]הכנסות - מרכז'!L79</f>
        <v>805726.27118644072</v>
      </c>
      <c r="G47" s="12">
        <f>+'[1]הכנסות - מרכז'!M79</f>
        <v>550269.49152542371</v>
      </c>
      <c r="H47" s="12">
        <f>+'[1]הכנסות - מרכז'!N79</f>
        <v>483768.64406779665</v>
      </c>
      <c r="I47" s="12">
        <f>+'[1]הכנסות - מרכז'!O79</f>
        <v>412191.26319999999</v>
      </c>
      <c r="J47" s="12">
        <f>+'[1]הכנסות - מרכז'!P79</f>
        <v>488269.97039999999</v>
      </c>
      <c r="K47" s="12">
        <f>+'[1]הכנסות - מרכז'!Q79</f>
        <v>518000</v>
      </c>
    </row>
    <row r="48" spans="1:11" x14ac:dyDescent="0.3">
      <c r="B48" s="3" t="s">
        <v>2</v>
      </c>
      <c r="C48" s="3"/>
      <c r="D48" s="4">
        <f>+'[1]נתוני כ"ס - נוירו '!G20</f>
        <v>121651</v>
      </c>
      <c r="E48" s="4">
        <f>+'[1]נתוני כ"ס - נוירו '!H20+'[1]רופאים בחשבונית'!U9</f>
        <v>109232</v>
      </c>
      <c r="F48" s="4">
        <f>+'[1]נתוני כ"ס - נוירו '!I20+'[1]רופאים בחשבונית'!V9</f>
        <v>122035</v>
      </c>
      <c r="G48" s="4">
        <f>+'[1]נתוני כ"ס - נוירו '!J20+'[1]רופאים בחשבונית'!W9</f>
        <v>131618</v>
      </c>
      <c r="H48" s="4">
        <f>+'[1]נתוני כ"ס - נוירו '!K20+'[1]רופאים בחשבונית'!X9</f>
        <v>134088.26</v>
      </c>
      <c r="I48" s="4">
        <f>+'[1]נתוני כ"ס - נוירו '!L20+'[1]רופאים בחשבונית'!Y9</f>
        <v>159341.08000000002</v>
      </c>
      <c r="J48" s="4">
        <f>+'[1]נתוני כ"ס - נוירו '!M20+'[1]רופאים בחשבונית'!Z9</f>
        <v>165055.09</v>
      </c>
      <c r="K48" s="4">
        <f>+'[1]נתוני כ"ס - נוירו '!N20+'[1]רופאים בחשבונית'!AA9</f>
        <v>172551.43</v>
      </c>
    </row>
    <row r="49" spans="1:12" x14ac:dyDescent="0.3">
      <c r="B49" s="5" t="s">
        <v>3</v>
      </c>
      <c r="C49" s="6">
        <f t="shared" ref="C49:D49" si="31">+C48/C47</f>
        <v>0</v>
      </c>
      <c r="D49" s="6">
        <f t="shared" si="31"/>
        <v>0.27978447259324807</v>
      </c>
      <c r="E49" s="6">
        <f>+E48/E47</f>
        <v>0.22960244256098386</v>
      </c>
      <c r="F49" s="6">
        <f t="shared" ref="F49:K49" si="32">+F48/F47</f>
        <v>0.15145962638192514</v>
      </c>
      <c r="G49" s="6">
        <f t="shared" si="32"/>
        <v>0.23918825598551097</v>
      </c>
      <c r="H49" s="6">
        <f t="shared" si="32"/>
        <v>0.27717435109582778</v>
      </c>
      <c r="I49" s="6">
        <f t="shared" si="32"/>
        <v>0.386570736029128</v>
      </c>
      <c r="J49" s="6">
        <f t="shared" si="32"/>
        <v>0.3380406332684841</v>
      </c>
      <c r="K49" s="6">
        <f t="shared" si="32"/>
        <v>0.3331108687258687</v>
      </c>
    </row>
    <row r="50" spans="1:12" x14ac:dyDescent="0.3">
      <c r="B50" s="3" t="s">
        <v>4</v>
      </c>
      <c r="C50" s="3"/>
      <c r="D50" s="4">
        <f>+'[1]נתוני כ"ס - נוירו '!G19</f>
        <v>72007</v>
      </c>
      <c r="E50" s="4">
        <f>+'[1]נתוני כ"ס - נוירו '!H19</f>
        <v>85481</v>
      </c>
      <c r="F50" s="4">
        <f>+'[1]נתוני כ"ס - נוירו '!I19</f>
        <v>91575</v>
      </c>
      <c r="G50" s="4">
        <f>+'[1]נתוני כ"ס - נוירו '!J19</f>
        <v>93961</v>
      </c>
      <c r="H50" s="4">
        <f>+'[1]נתוני כ"ס - נוירו '!K19</f>
        <v>100550.7</v>
      </c>
      <c r="I50" s="4">
        <f>+'[1]נתוני כ"ס - נוירו '!L19</f>
        <v>99760.18</v>
      </c>
      <c r="J50" s="4">
        <f>+'[1]נתוני כ"ס - נוירו '!M19</f>
        <v>90712.00999999998</v>
      </c>
      <c r="K50" s="4">
        <f>+'[1]נתוני כ"ס - נוירו '!N19</f>
        <v>100527.62000000002</v>
      </c>
    </row>
    <row r="51" spans="1:12" x14ac:dyDescent="0.3">
      <c r="B51" s="3" t="s">
        <v>3</v>
      </c>
      <c r="C51" s="13">
        <f t="shared" ref="C51:D51" si="33">+C50/C47</f>
        <v>0</v>
      </c>
      <c r="D51" s="13">
        <f t="shared" si="33"/>
        <v>0.1656085072709802</v>
      </c>
      <c r="E51" s="13">
        <f>+E50/E47</f>
        <v>0.17967854101870753</v>
      </c>
      <c r="F51" s="13">
        <f t="shared" ref="F51:K51" si="34">+F50/F47</f>
        <v>0.1136552242055541</v>
      </c>
      <c r="G51" s="13">
        <f t="shared" si="34"/>
        <v>0.17075451473700098</v>
      </c>
      <c r="H51" s="13">
        <f t="shared" si="34"/>
        <v>0.20784873354856903</v>
      </c>
      <c r="I51" s="13">
        <f t="shared" si="34"/>
        <v>0.2420240041613769</v>
      </c>
      <c r="J51" s="13">
        <f t="shared" si="34"/>
        <v>0.18578248817081047</v>
      </c>
      <c r="K51" s="13">
        <f t="shared" si="34"/>
        <v>0.19406876447876453</v>
      </c>
    </row>
    <row r="52" spans="1:12" x14ac:dyDescent="0.3">
      <c r="A52" t="s">
        <v>13</v>
      </c>
      <c r="B52" s="3" t="s">
        <v>5</v>
      </c>
      <c r="C52" s="3"/>
      <c r="D52" s="3"/>
      <c r="E52" s="7">
        <f>+'[1]וטרמקט ואלסמד'!U136</f>
        <v>40339</v>
      </c>
      <c r="F52" s="7">
        <f>+'[1]וטרמקט ואלסמד'!V136</f>
        <v>39746</v>
      </c>
      <c r="G52" s="7">
        <f>+'[1]וטרמקט ואלסמד'!W136</f>
        <v>43838.881355932201</v>
      </c>
      <c r="H52" s="7">
        <f>+'[1]וטרמקט ואלסמד'!X136</f>
        <v>50423</v>
      </c>
      <c r="I52" s="14">
        <f>+'[1]וטמרקט ואלסמד 2-4.26'!B9</f>
        <v>43000</v>
      </c>
      <c r="J52" s="7">
        <f>+'[1]וטמרקט ואלסמד 2-4.26'!K9</f>
        <v>38025.423728813563</v>
      </c>
      <c r="K52" s="7">
        <f>+'[1]וטמרקט ואלסמד 2-4.26'!R10</f>
        <v>34406.762711864409</v>
      </c>
      <c r="L52" s="15"/>
    </row>
    <row r="53" spans="1:12" x14ac:dyDescent="0.3">
      <c r="B53" s="3" t="s">
        <v>3</v>
      </c>
      <c r="C53" s="6">
        <f t="shared" ref="C53:D53" si="35">+C52/C47</f>
        <v>0</v>
      </c>
      <c r="D53" s="6">
        <f t="shared" si="35"/>
        <v>0</v>
      </c>
      <c r="E53" s="6">
        <f>+E52/E47</f>
        <v>8.4791388333707404E-2</v>
      </c>
      <c r="F53" s="6">
        <f t="shared" ref="F53:K53" si="36">+F52/F47</f>
        <v>4.9329408040119607E-2</v>
      </c>
      <c r="G53" s="6">
        <f t="shared" si="36"/>
        <v>7.9668020908091261E-2</v>
      </c>
      <c r="H53" s="6">
        <f t="shared" si="36"/>
        <v>0.10422957464959962</v>
      </c>
      <c r="I53" s="6">
        <f t="shared" si="36"/>
        <v>0.10432050322021479</v>
      </c>
      <c r="J53" s="6">
        <f t="shared" si="36"/>
        <v>7.7877866823680378E-2</v>
      </c>
      <c r="K53" s="6">
        <f t="shared" si="36"/>
        <v>6.6422321837576084E-2</v>
      </c>
    </row>
    <row r="54" spans="1:12" x14ac:dyDescent="0.3">
      <c r="B54" s="3" t="s">
        <v>6</v>
      </c>
      <c r="C54" s="3"/>
      <c r="D54" s="3"/>
      <c r="E54" s="4">
        <f>+'[1]וטרמקט ואלסמד'!J3</f>
        <v>25750</v>
      </c>
      <c r="F54" s="4">
        <f>+'[1]וטרמקט ואלסמד'!K3</f>
        <v>15569</v>
      </c>
      <c r="G54" s="4">
        <f>+'[1]וטרמקט ואלסמד'!L3</f>
        <v>26108</v>
      </c>
      <c r="H54" s="4">
        <f>+'[1]וטרמקט ואלסמד'!M3</f>
        <v>16373</v>
      </c>
      <c r="I54" s="4">
        <f>+'[1]וטרמקט ואלסמד'!N3</f>
        <v>23022.033898305086</v>
      </c>
      <c r="J54" s="4">
        <f>+'[1]וטמרקט ואלסמד 2-4.26'!L9</f>
        <v>9283.8983050847455</v>
      </c>
      <c r="K54" s="4">
        <f>+'[1]וטמרקט ואלסמד 2-4.26'!S10</f>
        <v>17086.440677966104</v>
      </c>
    </row>
    <row r="55" spans="1:12" x14ac:dyDescent="0.3">
      <c r="B55" s="3" t="s">
        <v>3</v>
      </c>
      <c r="C55" s="6">
        <f t="shared" ref="C55:D55" si="37">+C54/C47</f>
        <v>0</v>
      </c>
      <c r="D55" s="6">
        <f t="shared" si="37"/>
        <v>0</v>
      </c>
      <c r="E55" s="6">
        <f>+E54/E47</f>
        <v>5.4125740588337981E-2</v>
      </c>
      <c r="F55" s="6">
        <f t="shared" ref="F55:K55" si="38">+F54/F47</f>
        <v>1.9322939510305996E-2</v>
      </c>
      <c r="G55" s="6">
        <f t="shared" si="38"/>
        <v>4.7445843176994941E-2</v>
      </c>
      <c r="H55" s="6">
        <f t="shared" si="38"/>
        <v>3.3844690433688887E-2</v>
      </c>
      <c r="I55" s="6">
        <f t="shared" si="38"/>
        <v>5.5852794451721623E-2</v>
      </c>
      <c r="J55" s="6">
        <f t="shared" si="38"/>
        <v>1.9013862960851762E-2</v>
      </c>
      <c r="K55" s="6">
        <f t="shared" si="38"/>
        <v>3.2985406714220275E-2</v>
      </c>
    </row>
    <row r="56" spans="1:12" x14ac:dyDescent="0.3">
      <c r="B56" s="3" t="s">
        <v>7</v>
      </c>
      <c r="C56" s="4">
        <f t="shared" ref="C56:D56" si="39">+C47-C48-C50-C52-C54</f>
        <v>764258.47152542369</v>
      </c>
      <c r="D56" s="4">
        <f t="shared" si="39"/>
        <v>241144.54237288138</v>
      </c>
      <c r="E56" s="4">
        <f>+E47-E48-E50-E52-E54</f>
        <v>214942.06779661018</v>
      </c>
      <c r="F56" s="4">
        <f t="shared" ref="F56:K56" si="40">+F47-F48-F50-F52-F54</f>
        <v>536801.27118644072</v>
      </c>
      <c r="G56" s="4">
        <f t="shared" si="40"/>
        <v>254743.6101694915</v>
      </c>
      <c r="H56" s="4">
        <f t="shared" si="40"/>
        <v>182333.68406779662</v>
      </c>
      <c r="I56" s="4">
        <f t="shared" si="40"/>
        <v>87067.969301694888</v>
      </c>
      <c r="J56" s="4">
        <f t="shared" si="40"/>
        <v>185193.54836610175</v>
      </c>
      <c r="K56" s="4">
        <f t="shared" si="40"/>
        <v>193427.74661016947</v>
      </c>
    </row>
    <row r="57" spans="1:12" x14ac:dyDescent="0.3">
      <c r="B57" s="3" t="s">
        <v>8</v>
      </c>
      <c r="C57" s="6">
        <f t="shared" ref="C57:D57" si="41">+C56/C47</f>
        <v>1</v>
      </c>
      <c r="D57" s="6">
        <f t="shared" si="41"/>
        <v>0.55460702013577179</v>
      </c>
      <c r="E57" s="6">
        <f>+E56/E47</f>
        <v>0.45180188749826322</v>
      </c>
      <c r="F57" s="6">
        <f t="shared" ref="F57:K57" si="42">+F56/F47</f>
        <v>0.66623280186209521</v>
      </c>
      <c r="G57" s="6">
        <f t="shared" si="42"/>
        <v>0.46294336519240181</v>
      </c>
      <c r="H57" s="6">
        <f t="shared" si="42"/>
        <v>0.37690265027231468</v>
      </c>
      <c r="I57" s="6">
        <f t="shared" si="42"/>
        <v>0.21123196213755868</v>
      </c>
      <c r="J57" s="6">
        <f t="shared" si="42"/>
        <v>0.37928514877617336</v>
      </c>
      <c r="K57" s="6">
        <f t="shared" si="42"/>
        <v>0.37341263824357041</v>
      </c>
    </row>
    <row r="58" spans="1:12" ht="14.5" thickBot="1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2" ht="14.5" thickTop="1" x14ac:dyDescent="0.3"/>
    <row r="60" spans="1:12" x14ac:dyDescent="0.3">
      <c r="B60" s="11" t="s">
        <v>14</v>
      </c>
      <c r="C60" s="2">
        <v>8.25</v>
      </c>
      <c r="D60" s="2">
        <v>9.25</v>
      </c>
      <c r="E60" s="2">
        <v>10.25</v>
      </c>
      <c r="F60" s="2">
        <v>11.25</v>
      </c>
      <c r="G60" s="2">
        <v>12.25</v>
      </c>
      <c r="H60" s="2">
        <v>1.26</v>
      </c>
      <c r="I60" s="2">
        <v>2.2599999999999998</v>
      </c>
      <c r="J60" s="2">
        <v>3.26</v>
      </c>
      <c r="K60" s="2">
        <v>4.26</v>
      </c>
    </row>
    <row r="61" spans="1:12" x14ac:dyDescent="0.3">
      <c r="B61" s="3" t="s">
        <v>1</v>
      </c>
      <c r="C61" s="12">
        <f>+'[1]הכנסות - מרכז'!I80</f>
        <v>473889.83050847461</v>
      </c>
      <c r="D61" s="12">
        <f>+'[1]הכנסות - מרכז'!J80</f>
        <v>478566.94915254239</v>
      </c>
      <c r="E61" s="12">
        <f>+'[1]הכנסות - מרכז'!K80</f>
        <v>464872.88135593222</v>
      </c>
      <c r="F61" s="12">
        <f>+'[1]הכנסות - מרכז'!L80</f>
        <v>531811.01694915257</v>
      </c>
      <c r="G61" s="12">
        <f>+'[1]הכנסות - מרכז'!M80</f>
        <v>560002.54237288143</v>
      </c>
      <c r="H61" s="12">
        <f>+'[1]הכנסות - מרכז'!N80</f>
        <v>527280.50847457629</v>
      </c>
      <c r="I61" s="12">
        <f>+'[1]הכנסות - מרכז'!O80</f>
        <v>566904.63020000001</v>
      </c>
      <c r="J61" s="12">
        <f>+'[1]הכנסות - מרכז'!P80</f>
        <v>434486.94689999998</v>
      </c>
      <c r="K61" s="12">
        <f>+'[1]הכנסות - מרכז'!Q80</f>
        <v>573000</v>
      </c>
    </row>
    <row r="62" spans="1:12" x14ac:dyDescent="0.3">
      <c r="B62" s="3" t="s">
        <v>2</v>
      </c>
      <c r="C62" s="3"/>
      <c r="D62" s="4">
        <f>+'[1]נתוני כ"ס - הדמיה'!G18</f>
        <v>80367</v>
      </c>
      <c r="E62" s="4">
        <f>+'[1]נתוני כ"ס - הדמיה'!H19</f>
        <v>110676</v>
      </c>
      <c r="F62" s="4">
        <f>+'[1]נתוני כ"ס - הדמיה'!I19</f>
        <v>103929</v>
      </c>
      <c r="G62" s="4">
        <f>+'[1]נתוני כ"ס - הדמיה'!J19</f>
        <v>107995</v>
      </c>
      <c r="H62" s="4">
        <f>+'[1]נתוני כ"ס - הדמיה'!K19</f>
        <v>108203.59</v>
      </c>
      <c r="I62" s="4">
        <f>+'[1]נתוני כ"ס - הדמיה'!L19</f>
        <v>101957.04000000001</v>
      </c>
      <c r="J62" s="4">
        <f>+'[1]נתוני כ"ס - הדמיה'!M19</f>
        <v>95977.360000000059</v>
      </c>
      <c r="K62" s="4">
        <f>+'[1]נתוני כ"ס - הדמיה'!N19</f>
        <v>110199.87</v>
      </c>
    </row>
    <row r="63" spans="1:12" x14ac:dyDescent="0.3">
      <c r="B63" s="5" t="s">
        <v>3</v>
      </c>
      <c r="C63" s="6">
        <f t="shared" ref="C63:D63" si="43">+C62/C61</f>
        <v>0</v>
      </c>
      <c r="D63" s="6">
        <f t="shared" si="43"/>
        <v>0.16793261662201239</v>
      </c>
      <c r="E63" s="6">
        <f>+E62/E61</f>
        <v>0.23807798742138364</v>
      </c>
      <c r="F63" s="6">
        <f t="shared" ref="F63:H63" si="44">+F62/F61</f>
        <v>0.19542468412221112</v>
      </c>
      <c r="G63" s="6">
        <f t="shared" si="44"/>
        <v>0.19284733876813512</v>
      </c>
      <c r="H63" s="6">
        <f t="shared" si="44"/>
        <v>0.20521067678574584</v>
      </c>
      <c r="I63" s="6">
        <f>+I62/I61</f>
        <v>0.17984866337046898</v>
      </c>
      <c r="J63" s="6">
        <f>+J62/J61</f>
        <v>0.22089814362614185</v>
      </c>
      <c r="K63" s="6">
        <f>+K62/K61</f>
        <v>0.192320890052356</v>
      </c>
    </row>
    <row r="64" spans="1:12" x14ac:dyDescent="0.3">
      <c r="B64" s="3" t="s">
        <v>4</v>
      </c>
      <c r="C64" s="3"/>
      <c r="D64" s="4">
        <f>+'[1]נתוני כ"ס - הדמיה'!G19</f>
        <v>104136</v>
      </c>
      <c r="E64" s="4">
        <f>+'[1]נתוני כ"ס - הדמיה'!H18</f>
        <v>87452</v>
      </c>
      <c r="F64" s="4">
        <f>+'[1]נתוני כ"ס - הדמיה'!I18</f>
        <v>80906</v>
      </c>
      <c r="G64" s="4">
        <f>+'[1]נתוני כ"ס - הדמיה'!J18</f>
        <v>100337</v>
      </c>
      <c r="H64" s="4">
        <f>+'[1]נתוני כ"ס - הדמיה'!K18</f>
        <v>83375.49000000002</v>
      </c>
      <c r="I64" s="4">
        <f>+'[1]נתוני כ"ס - הדמיה'!L18</f>
        <v>86193.030000000028</v>
      </c>
      <c r="J64" s="4">
        <f>+'[1]נתוני כ"ס - הדמיה'!M18</f>
        <v>66168.050000000032</v>
      </c>
      <c r="K64" s="4">
        <f>+'[1]נתוני כ"ס - הדמיה'!N18</f>
        <v>92245.9</v>
      </c>
    </row>
    <row r="65" spans="1:14" x14ac:dyDescent="0.3">
      <c r="B65" s="3" t="s">
        <v>3</v>
      </c>
      <c r="C65" s="6">
        <f t="shared" ref="C65:D65" si="45">+C64/C61</f>
        <v>0</v>
      </c>
      <c r="D65" s="6">
        <f t="shared" si="45"/>
        <v>0.21759964866860629</v>
      </c>
      <c r="E65" s="6">
        <f>+E64/E61</f>
        <v>0.18812024428037552</v>
      </c>
      <c r="F65" s="6">
        <f t="shared" ref="F65:H65" si="46">+F64/F61</f>
        <v>0.15213298976793399</v>
      </c>
      <c r="G65" s="6">
        <f t="shared" si="46"/>
        <v>0.17917240085169103</v>
      </c>
      <c r="H65" s="6">
        <f t="shared" si="46"/>
        <v>0.15812359580900401</v>
      </c>
      <c r="I65" s="6">
        <f>+I64/I61</f>
        <v>0.15204149941338763</v>
      </c>
      <c r="J65" s="6">
        <f>+J64/J61</f>
        <v>0.15229007562160216</v>
      </c>
      <c r="K65" s="6">
        <f>+K64/K61</f>
        <v>0.16098760907504361</v>
      </c>
    </row>
    <row r="66" spans="1:14" x14ac:dyDescent="0.3">
      <c r="A66" t="s">
        <v>13</v>
      </c>
      <c r="B66" s="3" t="s">
        <v>5</v>
      </c>
      <c r="C66" s="3"/>
      <c r="D66" s="3"/>
      <c r="E66" s="7">
        <f>+'[1]וטרמקט ואלסמד'!U137</f>
        <v>13500</v>
      </c>
      <c r="F66" s="7">
        <f>+'[1]וטרמקט ואלסמד'!V137</f>
        <v>10500</v>
      </c>
      <c r="G66" s="7">
        <f>+'[1]וטרמקט ואלסמד'!W137</f>
        <v>12750</v>
      </c>
      <c r="H66" s="7">
        <f>+'[1]וטרמקט ואלסמד'!X137</f>
        <v>13750</v>
      </c>
      <c r="I66" s="7">
        <f>+'[1]וטרמקט ואלסמד'!Y137</f>
        <v>10500</v>
      </c>
      <c r="J66" s="7">
        <f>+'[1]וטמרקט ואלסמד 2-4.26'!K11</f>
        <v>12650</v>
      </c>
      <c r="K66" s="7">
        <f>+'[1]וטמרקט ואלסמד 2-4.26'!R12</f>
        <v>9250</v>
      </c>
      <c r="L66" s="8"/>
      <c r="M66" s="8"/>
    </row>
    <row r="67" spans="1:14" x14ac:dyDescent="0.3">
      <c r="B67" s="3" t="s">
        <v>3</v>
      </c>
      <c r="C67" s="13">
        <f t="shared" ref="C67:D67" si="47">+C66/C61</f>
        <v>0</v>
      </c>
      <c r="D67" s="13">
        <f t="shared" si="47"/>
        <v>0</v>
      </c>
      <c r="E67" s="13">
        <f>+E66/E61</f>
        <v>2.904019688269073E-2</v>
      </c>
      <c r="F67" s="13">
        <f t="shared" ref="F67:H67" si="48">+F66/F61</f>
        <v>1.9743855740777038E-2</v>
      </c>
      <c r="G67" s="13">
        <f t="shared" si="48"/>
        <v>2.276775377835754E-2</v>
      </c>
      <c r="H67" s="13">
        <f t="shared" si="48"/>
        <v>2.607720137385465E-2</v>
      </c>
      <c r="I67" s="13">
        <f>+I66/I61</f>
        <v>1.8521633870401927E-2</v>
      </c>
      <c r="J67" s="13">
        <f t="shared" ref="J67:K67" si="49">+J66/J61</f>
        <v>2.9114798707431552E-2</v>
      </c>
      <c r="K67" s="13">
        <f t="shared" si="49"/>
        <v>1.6143106457242581E-2</v>
      </c>
      <c r="L67" s="15"/>
      <c r="M67" s="15"/>
      <c r="N67" s="15"/>
    </row>
    <row r="68" spans="1:14" x14ac:dyDescent="0.3">
      <c r="B68" s="3" t="s">
        <v>6</v>
      </c>
      <c r="C68" s="3"/>
      <c r="D68" s="3"/>
      <c r="E68" s="4">
        <f>+'[1]וטרמקט ואלסמד'!J2</f>
        <v>5609</v>
      </c>
      <c r="F68" s="4">
        <f>+'[1]וטרמקט ואלסמד'!K2</f>
        <v>5777</v>
      </c>
      <c r="G68" s="4">
        <f>+'[1]וטרמקט ואלסמד'!L2</f>
        <v>3228</v>
      </c>
      <c r="H68" s="4">
        <f>+'[1]וטרמקט ואלסמד'!M2</f>
        <v>7894</v>
      </c>
      <c r="I68" s="4">
        <f>+'[1]וטרמקט ואלסמד'!N2</f>
        <v>19785.593220338986</v>
      </c>
      <c r="J68" s="4">
        <f>+'[1]וטמרקט ואלסמד 2-4.26'!L11</f>
        <v>1749.1525423728815</v>
      </c>
      <c r="K68" s="4">
        <f>+'[1]וטמרקט ואלסמד 2-4.26'!S12</f>
        <v>5995.7627118644068</v>
      </c>
    </row>
    <row r="69" spans="1:14" x14ac:dyDescent="0.3">
      <c r="B69" s="3" t="s">
        <v>3</v>
      </c>
      <c r="C69" s="6">
        <f t="shared" ref="C69:D69" si="50">+C68/C61</f>
        <v>0</v>
      </c>
      <c r="D69" s="6">
        <f t="shared" si="50"/>
        <v>0</v>
      </c>
      <c r="E69" s="6">
        <f>+E68/E61</f>
        <v>1.2065664023334245E-2</v>
      </c>
      <c r="F69" s="6">
        <f t="shared" ref="F69:K69" si="51">+F68/F61</f>
        <v>1.0862881391854184E-2</v>
      </c>
      <c r="G69" s="6">
        <f t="shared" si="51"/>
        <v>5.7642595448265206E-3</v>
      </c>
      <c r="H69" s="6">
        <f t="shared" si="51"/>
        <v>1.4971158374196991E-2</v>
      </c>
      <c r="I69" s="6">
        <f t="shared" si="51"/>
        <v>3.490109652722146E-2</v>
      </c>
      <c r="J69" s="6">
        <f t="shared" si="51"/>
        <v>4.0257884727097695E-3</v>
      </c>
      <c r="K69" s="6">
        <f t="shared" si="51"/>
        <v>1.0463809270269471E-2</v>
      </c>
    </row>
    <row r="70" spans="1:14" x14ac:dyDescent="0.3">
      <c r="B70" s="3" t="s">
        <v>7</v>
      </c>
      <c r="C70" s="4">
        <f t="shared" ref="C70:D70" si="52">+C61-C62-C64-C66-C68</f>
        <v>473889.83050847461</v>
      </c>
      <c r="D70" s="4">
        <f t="shared" si="52"/>
        <v>294063.94915254239</v>
      </c>
      <c r="E70" s="4">
        <f>+E61-E62-E64-E66-E68</f>
        <v>247635.88135593222</v>
      </c>
      <c r="F70" s="4">
        <f t="shared" ref="F70:H70" si="53">+F61-F62-F64-F66-F68</f>
        <v>330699.01694915257</v>
      </c>
      <c r="G70" s="4">
        <f t="shared" si="53"/>
        <v>335692.54237288143</v>
      </c>
      <c r="H70" s="4">
        <f t="shared" si="53"/>
        <v>314057.42847457633</v>
      </c>
      <c r="I70" s="4">
        <f>+I61-I62-I64-I66-I68</f>
        <v>348468.96697966097</v>
      </c>
      <c r="J70" s="4">
        <f>+J61-J62-J64-J66-J68</f>
        <v>257942.38435762702</v>
      </c>
      <c r="K70" s="4">
        <f>+K61-K62-K64-K66-K68</f>
        <v>355308.46728813555</v>
      </c>
    </row>
    <row r="71" spans="1:14" x14ac:dyDescent="0.3">
      <c r="B71" s="3" t="s">
        <v>8</v>
      </c>
      <c r="C71" s="6">
        <f t="shared" ref="C71:D71" si="54">+C70/C61</f>
        <v>1</v>
      </c>
      <c r="D71" s="6">
        <f t="shared" si="54"/>
        <v>0.61446773470938132</v>
      </c>
      <c r="E71" s="6">
        <f>+E70/E61</f>
        <v>0.53269590739221584</v>
      </c>
      <c r="F71" s="6">
        <f t="shared" ref="F71:K71" si="55">+F70/F61</f>
        <v>0.62183558897722369</v>
      </c>
      <c r="G71" s="6">
        <f t="shared" si="55"/>
        <v>0.59944824705698985</v>
      </c>
      <c r="H71" s="6">
        <f t="shared" si="55"/>
        <v>0.59561736765719864</v>
      </c>
      <c r="I71" s="6">
        <f t="shared" si="55"/>
        <v>0.61468710681852001</v>
      </c>
      <c r="J71" s="6">
        <f t="shared" si="55"/>
        <v>0.59367119357211473</v>
      </c>
      <c r="K71" s="6">
        <f t="shared" si="55"/>
        <v>0.62008458514508824</v>
      </c>
    </row>
    <row r="72" spans="1:14" ht="14.5" thickBot="1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4" ht="14.5" thickTop="1" x14ac:dyDescent="0.3"/>
    <row r="74" spans="1:14" x14ac:dyDescent="0.3">
      <c r="B74" s="11" t="s">
        <v>15</v>
      </c>
      <c r="C74" s="2">
        <v>8.25</v>
      </c>
      <c r="D74" s="2">
        <v>9.25</v>
      </c>
      <c r="E74" s="2">
        <v>10.25</v>
      </c>
      <c r="F74" s="2">
        <v>11.25</v>
      </c>
      <c r="G74" s="2">
        <v>12.25</v>
      </c>
      <c r="H74" s="2">
        <v>1.26</v>
      </c>
      <c r="I74" s="2">
        <v>2.2599999999999998</v>
      </c>
      <c r="J74" s="2">
        <v>3.26</v>
      </c>
      <c r="K74" s="2">
        <v>4.26</v>
      </c>
    </row>
    <row r="75" spans="1:14" x14ac:dyDescent="0.3">
      <c r="B75" s="3" t="s">
        <v>1</v>
      </c>
      <c r="C75" s="12">
        <f>+'[1]הכנסות - מרכז'!I81</f>
        <v>561457.62711864407</v>
      </c>
      <c r="D75" s="12">
        <f>+'[1]הכנסות - מרכז'!J81</f>
        <v>443380.50847457629</v>
      </c>
      <c r="E75" s="12">
        <f>+'[1]הכנסות - מרכז'!K81</f>
        <v>592930.50847457629</v>
      </c>
      <c r="F75" s="12">
        <f>+'[1]הכנסות - מרכז'!L81</f>
        <v>639583.05084745761</v>
      </c>
      <c r="G75" s="12">
        <f>+'[1]הכנסות - מרכז'!M81</f>
        <v>620245.76271186443</v>
      </c>
      <c r="H75" s="12">
        <f>+'[1]הכנסות - מרכז'!N81</f>
        <v>655839.83050847461</v>
      </c>
      <c r="I75" s="12">
        <f>+'[1]הכנסות - מרכז'!O81</f>
        <v>602694.77099999995</v>
      </c>
      <c r="J75" s="12">
        <f>+'[1]הכנסות - מרכז'!P81</f>
        <v>612690.80449999997</v>
      </c>
      <c r="K75" s="12">
        <f>+'[1]הכנסות - מרכז'!Q81</f>
        <v>565000</v>
      </c>
    </row>
    <row r="76" spans="1:14" x14ac:dyDescent="0.3">
      <c r="B76" s="3" t="s">
        <v>2</v>
      </c>
      <c r="C76" s="3"/>
      <c r="D76" s="12">
        <f>+'[1]נתוני כ"ס - כירורגיה'!G26</f>
        <v>79061</v>
      </c>
      <c r="E76" s="12">
        <f>+'[1]נתוני כ"ס - כירורגיה'!H26+'[1]רופאים בחשבונית'!U8</f>
        <v>102525</v>
      </c>
      <c r="F76" s="12">
        <f>+'[1]נתוני כ"ס - כירורגיה'!I26+'[1]רופאים בחשבונית'!V8</f>
        <v>79509</v>
      </c>
      <c r="G76" s="12">
        <f>+'[1]נתוני כ"ס - כירורגיה'!J26+'[1]רופאים בחשבונית'!W8</f>
        <v>79626</v>
      </c>
      <c r="H76" s="12">
        <f>+'[1]נתוני כ"ס - כירורגיה'!K26+'[1]רופאים בחשבונית'!X8</f>
        <v>87817.20983050848</v>
      </c>
      <c r="I76" s="12">
        <f>+'[1]נתוני כ"ס - כירורגיה'!L26+'[1]רופאים בחשבונית'!Y8</f>
        <v>100785.16186440678</v>
      </c>
      <c r="J76" s="12">
        <f>+'[1]נתוני כ"ס - כירורגיה'!M26+'[1]רופאים בחשבונית'!Z8</f>
        <v>444879.14999999997</v>
      </c>
      <c r="K76" s="12">
        <f>+'[1]נתוני כ"ס - כירורגיה'!N26+'[1]רופאים בחשבונית'!AA8</f>
        <v>110914.75</v>
      </c>
    </row>
    <row r="77" spans="1:14" x14ac:dyDescent="0.3">
      <c r="B77" s="5" t="s">
        <v>3</v>
      </c>
      <c r="C77" s="6">
        <f>+C76/C75</f>
        <v>0</v>
      </c>
      <c r="D77" s="6">
        <f>+D76/D75</f>
        <v>0.17831410828591579</v>
      </c>
      <c r="E77" s="6">
        <f>+E76/E75</f>
        <v>0.17291233717044613</v>
      </c>
      <c r="F77" s="6">
        <f t="shared" ref="F77:K77" si="56">+F76/F75</f>
        <v>0.12431380083422994</v>
      </c>
      <c r="G77" s="6">
        <f t="shared" si="56"/>
        <v>0.12837814425665059</v>
      </c>
      <c r="H77" s="6">
        <f t="shared" si="56"/>
        <v>0.1339003911403544</v>
      </c>
      <c r="I77" s="6">
        <f t="shared" si="56"/>
        <v>0.16722421815139124</v>
      </c>
      <c r="J77" s="6">
        <f t="shared" si="56"/>
        <v>0.72610711101344749</v>
      </c>
      <c r="K77" s="6">
        <f t="shared" si="56"/>
        <v>0.19630929203539824</v>
      </c>
    </row>
    <row r="78" spans="1:14" x14ac:dyDescent="0.3">
      <c r="B78" s="3" t="s">
        <v>4</v>
      </c>
      <c r="C78" s="3"/>
      <c r="D78" s="12">
        <f>+'[1]נתוני כ"ס - כירורגיה'!G25</f>
        <v>130249</v>
      </c>
      <c r="E78" s="12">
        <f>+'[1]נתוני כ"ס - כירורגיה'!H25</f>
        <v>134458</v>
      </c>
      <c r="F78" s="12">
        <f>+'[1]נתוני כ"ס - כירורגיה'!I25</f>
        <v>160344</v>
      </c>
      <c r="G78" s="12">
        <f>+'[1]נתוני כ"ס - כירורגיה'!J25</f>
        <v>142842</v>
      </c>
      <c r="H78" s="12">
        <f>+'[1]נתוני כ"ס - כירורגיה'!K25</f>
        <v>112476.88</v>
      </c>
      <c r="I78" s="12">
        <f>+'[1]נתוני כ"ס - כירורגיה'!L25</f>
        <v>100238.45</v>
      </c>
      <c r="J78" s="12">
        <f>+'[1]נתוני כ"ס - כירורגיה'!M25</f>
        <v>112866.00999999995</v>
      </c>
      <c r="K78" s="12">
        <f>+'[1]נתוני כ"ס - כירורגיה'!N25</f>
        <v>150519.47</v>
      </c>
    </row>
    <row r="79" spans="1:14" x14ac:dyDescent="0.3">
      <c r="B79" s="3" t="s">
        <v>3</v>
      </c>
      <c r="C79" s="6">
        <f t="shared" ref="C79:D79" si="57">+C78/C75</f>
        <v>0</v>
      </c>
      <c r="D79" s="6">
        <f t="shared" si="57"/>
        <v>0.29376347744314196</v>
      </c>
      <c r="E79" s="6">
        <f>+E78/E75</f>
        <v>0.22676856406987414</v>
      </c>
      <c r="F79" s="6">
        <f t="shared" ref="F79:K79" si="58">+F78/F75</f>
        <v>0.25070082733984533</v>
      </c>
      <c r="G79" s="6">
        <f t="shared" si="58"/>
        <v>0.23029903400784271</v>
      </c>
      <c r="H79" s="6">
        <f t="shared" si="58"/>
        <v>0.17150053224549711</v>
      </c>
      <c r="I79" s="6">
        <f t="shared" si="58"/>
        <v>0.16631710581076206</v>
      </c>
      <c r="J79" s="6">
        <f t="shared" si="58"/>
        <v>0.18421365094928555</v>
      </c>
      <c r="K79" s="6">
        <f t="shared" si="58"/>
        <v>0.26640614159292036</v>
      </c>
    </row>
    <row r="80" spans="1:14" x14ac:dyDescent="0.3">
      <c r="B80" s="3" t="s">
        <v>5</v>
      </c>
      <c r="C80" s="3"/>
      <c r="D80" s="3"/>
      <c r="E80" s="7"/>
      <c r="F80" s="7"/>
      <c r="G80" s="7"/>
      <c r="H80" s="7"/>
      <c r="I80" s="7"/>
      <c r="J80" s="7"/>
      <c r="K80" s="7"/>
    </row>
    <row r="81" spans="1:11" x14ac:dyDescent="0.3">
      <c r="B81" s="3" t="s">
        <v>3</v>
      </c>
      <c r="C81" s="13">
        <f t="shared" ref="C81:D81" si="59">+C80/C75</f>
        <v>0</v>
      </c>
      <c r="D81" s="13">
        <f t="shared" si="59"/>
        <v>0</v>
      </c>
      <c r="E81" s="13">
        <f>+E80/E75</f>
        <v>0</v>
      </c>
      <c r="F81" s="13">
        <f t="shared" ref="F81:K81" si="60">+F80/F75</f>
        <v>0</v>
      </c>
      <c r="G81" s="13">
        <f t="shared" si="60"/>
        <v>0</v>
      </c>
      <c r="H81" s="13">
        <f t="shared" si="60"/>
        <v>0</v>
      </c>
      <c r="I81" s="13">
        <f t="shared" si="60"/>
        <v>0</v>
      </c>
      <c r="J81" s="13">
        <f t="shared" si="60"/>
        <v>0</v>
      </c>
      <c r="K81" s="13">
        <f t="shared" si="60"/>
        <v>0</v>
      </c>
    </row>
    <row r="82" spans="1:11" x14ac:dyDescent="0.3">
      <c r="B82" s="3" t="s">
        <v>6</v>
      </c>
      <c r="C82" s="3"/>
      <c r="D82" s="3"/>
      <c r="E82" s="4">
        <f>+'[1]וטרמקט ואלסמד'!J4</f>
        <v>5432</v>
      </c>
      <c r="F82" s="4">
        <f>+'[1]וטרמקט ואלסמד'!K4</f>
        <v>35296</v>
      </c>
      <c r="G82" s="4">
        <f>+'[1]וטרמקט ואלסמד'!L4</f>
        <v>25613</v>
      </c>
      <c r="H82" s="4">
        <f>+'[1]וטרמקט ואלסמד'!M4</f>
        <v>62332</v>
      </c>
      <c r="I82" s="4">
        <f>+'[1]וטרמקט ואלסמד'!N4</f>
        <v>21000</v>
      </c>
      <c r="J82" s="4">
        <f>+'[1]וטמרקט ואלסמד 2-4.26'!L10</f>
        <v>40215.254237288136</v>
      </c>
      <c r="K82" s="4">
        <f>+'[1]וטמרקט ואלסמד 2-4.26'!S11</f>
        <v>32888.983050847462</v>
      </c>
    </row>
    <row r="83" spans="1:11" x14ac:dyDescent="0.3">
      <c r="B83" s="3" t="s">
        <v>3</v>
      </c>
      <c r="C83" s="6">
        <f t="shared" ref="C83:D83" si="61">+C82/C75</f>
        <v>0</v>
      </c>
      <c r="D83" s="6">
        <f t="shared" si="61"/>
        <v>0</v>
      </c>
      <c r="E83" s="6">
        <f>+E82/E75</f>
        <v>9.161275937672405E-3</v>
      </c>
      <c r="F83" s="6">
        <f t="shared" ref="F83:K83" si="62">+F82/F75</f>
        <v>5.5185952712837286E-2</v>
      </c>
      <c r="G83" s="6">
        <f t="shared" si="62"/>
        <v>4.1294921367965129E-2</v>
      </c>
      <c r="H83" s="6">
        <f t="shared" si="62"/>
        <v>9.5041498092108573E-2</v>
      </c>
      <c r="I83" s="6">
        <f t="shared" si="62"/>
        <v>3.4843507875730352E-2</v>
      </c>
      <c r="J83" s="6">
        <f t="shared" si="62"/>
        <v>6.5637110826408912E-2</v>
      </c>
      <c r="K83" s="6">
        <f t="shared" si="62"/>
        <v>5.8210589470526479E-2</v>
      </c>
    </row>
    <row r="84" spans="1:11" x14ac:dyDescent="0.3">
      <c r="B84" s="3" t="s">
        <v>7</v>
      </c>
      <c r="C84" s="4">
        <f t="shared" ref="C84:D84" si="63">+C75-C76-C78-C80-C82</f>
        <v>561457.62711864407</v>
      </c>
      <c r="D84" s="4">
        <f t="shared" si="63"/>
        <v>234070.50847457629</v>
      </c>
      <c r="E84" s="4">
        <f>+E75-E76-E78-E80-E82</f>
        <v>350515.50847457629</v>
      </c>
      <c r="F84" s="4">
        <f t="shared" ref="F84:K84" si="64">+F75-F76-F78-F80-F82</f>
        <v>364434.05084745761</v>
      </c>
      <c r="G84" s="4">
        <f t="shared" si="64"/>
        <v>372164.76271186443</v>
      </c>
      <c r="H84" s="4">
        <f t="shared" si="64"/>
        <v>393213.74067796615</v>
      </c>
      <c r="I84" s="4">
        <f t="shared" si="64"/>
        <v>380671.15913559316</v>
      </c>
      <c r="J84" s="4">
        <f t="shared" si="64"/>
        <v>14730.390262711917</v>
      </c>
      <c r="K84" s="4">
        <f t="shared" si="64"/>
        <v>270676.79694915254</v>
      </c>
    </row>
    <row r="85" spans="1:11" x14ac:dyDescent="0.3">
      <c r="B85" s="3" t="s">
        <v>8</v>
      </c>
      <c r="C85" s="6">
        <f t="shared" ref="C85:D85" si="65">+C84/C75</f>
        <v>1</v>
      </c>
      <c r="D85" s="6">
        <f t="shared" si="65"/>
        <v>0.52792241427094222</v>
      </c>
      <c r="E85" s="6">
        <f>+E84/E75</f>
        <v>0.59115782282200735</v>
      </c>
      <c r="F85" s="6">
        <f t="shared" ref="F85:K85" si="66">+F84/F75</f>
        <v>0.5697994191130874</v>
      </c>
      <c r="G85" s="6">
        <f t="shared" si="66"/>
        <v>0.60002790036754161</v>
      </c>
      <c r="H85" s="6">
        <f t="shared" si="66"/>
        <v>0.59955757852203995</v>
      </c>
      <c r="I85" s="6">
        <f t="shared" si="66"/>
        <v>0.63161516816211638</v>
      </c>
      <c r="J85" s="6">
        <f t="shared" si="66"/>
        <v>2.404212721085798E-2</v>
      </c>
      <c r="K85" s="6">
        <f t="shared" si="66"/>
        <v>0.47907397690115494</v>
      </c>
    </row>
    <row r="86" spans="1:11" ht="14.5" thickBot="1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ht="14.5" thickTop="1" x14ac:dyDescent="0.3"/>
    <row r="88" spans="1:11" x14ac:dyDescent="0.3">
      <c r="B88" s="11" t="s">
        <v>16</v>
      </c>
      <c r="C88" s="2">
        <v>8.25</v>
      </c>
      <c r="D88" s="2">
        <v>9.25</v>
      </c>
      <c r="E88" s="2">
        <v>10.25</v>
      </c>
      <c r="F88" s="2">
        <v>11.25</v>
      </c>
      <c r="G88" s="2">
        <v>12.25</v>
      </c>
      <c r="H88" s="2">
        <v>1.26</v>
      </c>
      <c r="I88" s="2">
        <v>2.2599999999999998</v>
      </c>
      <c r="J88" s="2">
        <v>3.26</v>
      </c>
      <c r="K88" s="2">
        <v>4.26</v>
      </c>
    </row>
    <row r="89" spans="1:11" x14ac:dyDescent="0.3">
      <c r="B89" s="3" t="s">
        <v>1</v>
      </c>
      <c r="C89" s="12">
        <f>+'[1]הכנסות - מרכז'!I83</f>
        <v>167715.25423728814</v>
      </c>
      <c r="D89" s="12">
        <f>+'[1]הכנסות - מרכז'!J83</f>
        <v>93927.966101694925</v>
      </c>
      <c r="E89" s="12">
        <f>+'[1]הכנסות - מרכז'!K83</f>
        <v>111235.59322033898</v>
      </c>
      <c r="F89" s="12">
        <f>+'[1]הכנסות - מרכז'!L83</f>
        <v>164369.49152542374</v>
      </c>
      <c r="G89" s="12">
        <f>+'[1]הכנסות - מרכז'!M83</f>
        <v>177805.93220338985</v>
      </c>
      <c r="H89" s="12">
        <f>+'[1]הכנסות - מרכז'!N83</f>
        <v>183636.44067796611</v>
      </c>
      <c r="I89" s="12">
        <f>+'[1]הכנסות - מרכז'!O83</f>
        <v>164691.97</v>
      </c>
      <c r="J89" s="12">
        <f>+'[1]הכנסות - מרכז'!P83</f>
        <v>133941.22</v>
      </c>
      <c r="K89" s="12">
        <f>+'[1]הכנסות - מרכז'!Q83</f>
        <v>141000</v>
      </c>
    </row>
    <row r="90" spans="1:11" x14ac:dyDescent="0.3">
      <c r="B90" s="3" t="s">
        <v>2</v>
      </c>
      <c r="C90" s="3"/>
      <c r="D90" s="4">
        <f>+'[1]נתוני כ"ס - קרדיולוגיה'!G8</f>
        <v>31568</v>
      </c>
      <c r="E90" s="4">
        <f>+'[1]נתוני כ"ס - קרדיולוגיה'!H8+'[1]רופאים בחשבונית'!U5</f>
        <v>70731.37</v>
      </c>
      <c r="F90" s="4">
        <f>+'[1]נתוני כ"ס - קרדיולוגיה'!I8+'[1]רופאים בחשבונית'!V5</f>
        <v>76089.100000000006</v>
      </c>
      <c r="G90" s="4">
        <f>+'[1]נתוני כ"ס - קרדיולוגיה'!J8+'[1]רופאים בחשבונית'!W5</f>
        <v>106567.95</v>
      </c>
      <c r="H90" s="4">
        <f>+'[1]נתוני כ"ס - קרדיולוגיה'!K8+'[1]רופאים בחשבונית'!X5</f>
        <v>107385.32169491526</v>
      </c>
      <c r="I90" s="4">
        <f>+'[1]נתוני כ"ס - קרדיולוגיה'!L8+'[1]רופאים בחשבונית'!Y5</f>
        <v>95710.059661016945</v>
      </c>
      <c r="J90" s="4">
        <f>+'[1]נתוני כ"ס - קרדיולוגיה'!M8+'[1]רופאים בחשבונית'!Z5</f>
        <v>78217.877118644072</v>
      </c>
      <c r="K90" s="4">
        <f>+'[1]נתוני כ"ס - קרדיולוגיה'!N8+'[1]רופאים בחשבונית'!AA5</f>
        <v>98729.135932203397</v>
      </c>
    </row>
    <row r="91" spans="1:11" x14ac:dyDescent="0.3">
      <c r="B91" s="5" t="s">
        <v>3</v>
      </c>
      <c r="C91" s="6">
        <f t="shared" ref="C91:D91" si="67">+C90/C89</f>
        <v>0</v>
      </c>
      <c r="D91" s="6">
        <f t="shared" si="67"/>
        <v>0.3360873370325258</v>
      </c>
      <c r="E91" s="6">
        <f>+E90/E89</f>
        <v>0.63586994011793563</v>
      </c>
      <c r="F91" s="6">
        <f t="shared" ref="F91:K91" si="68">+F90/F89</f>
        <v>0.4629149807172761</v>
      </c>
      <c r="G91" s="6">
        <f t="shared" si="68"/>
        <v>0.59934980053476694</v>
      </c>
      <c r="H91" s="6">
        <f t="shared" si="68"/>
        <v>0.5847713084530507</v>
      </c>
      <c r="I91" s="6">
        <f t="shared" si="68"/>
        <v>0.58114587894611347</v>
      </c>
      <c r="J91" s="6">
        <f t="shared" si="68"/>
        <v>0.58397166397800526</v>
      </c>
      <c r="K91" s="6">
        <f t="shared" si="68"/>
        <v>0.7002066378170454</v>
      </c>
    </row>
    <row r="92" spans="1:11" x14ac:dyDescent="0.3">
      <c r="B92" s="3" t="s">
        <v>4</v>
      </c>
      <c r="C92" s="4"/>
      <c r="D92" s="4">
        <f>+'[1]נתוני כ"ס - קרדיולוגיה'!G7</f>
        <v>7949</v>
      </c>
      <c r="E92" s="4">
        <f>+'[1]נתוני כ"ס - קרדיולוגיה'!H7</f>
        <v>7525</v>
      </c>
      <c r="F92" s="4">
        <f>+'[1]נתוני כ"ס - קרדיולוגיה'!I7</f>
        <v>7927</v>
      </c>
      <c r="G92" s="4">
        <f>+'[1]נתוני כ"ס - קרדיולוגיה'!J7</f>
        <v>8758</v>
      </c>
      <c r="H92" s="4">
        <f>+'[1]נתוני כ"ס - קרדיולוגיה'!K7</f>
        <v>6798.6900000000023</v>
      </c>
      <c r="I92" s="4">
        <f>+'[1]נתוני כ"ס - קרדיולוגיה'!L7</f>
        <v>5773.1100000000006</v>
      </c>
      <c r="J92" s="4">
        <f>+'[1]נתוני כ"ס - קרדיולוגיה'!M7</f>
        <v>5130.57</v>
      </c>
      <c r="K92" s="4">
        <f>+'[1]נתוני כ"ס - קרדיולוגיה'!N7</f>
        <v>4867.7099999999991</v>
      </c>
    </row>
    <row r="93" spans="1:11" x14ac:dyDescent="0.3">
      <c r="B93" s="3" t="s">
        <v>3</v>
      </c>
      <c r="C93" s="6">
        <f t="shared" ref="C93:D93" si="69">+C92/C89</f>
        <v>0</v>
      </c>
      <c r="D93" s="6">
        <f t="shared" si="69"/>
        <v>8.4628682275454489E-2</v>
      </c>
      <c r="E93" s="6">
        <f>+E92/E89</f>
        <v>6.764920995291715E-2</v>
      </c>
      <c r="F93" s="6">
        <f t="shared" ref="F93:K93" si="70">+F92/F89</f>
        <v>4.8226711212852394E-2</v>
      </c>
      <c r="G93" s="6">
        <f t="shared" si="70"/>
        <v>4.9255949402080917E-2</v>
      </c>
      <c r="H93" s="6">
        <f t="shared" si="70"/>
        <v>3.7022553774729926E-2</v>
      </c>
      <c r="I93" s="6">
        <f t="shared" si="70"/>
        <v>3.5053985935076255E-2</v>
      </c>
      <c r="J93" s="6">
        <f t="shared" si="70"/>
        <v>3.8304638407803064E-2</v>
      </c>
      <c r="K93" s="6">
        <f t="shared" si="70"/>
        <v>3.4522765957446799E-2</v>
      </c>
    </row>
    <row r="94" spans="1:11" x14ac:dyDescent="0.3">
      <c r="B94" s="3" t="s">
        <v>5</v>
      </c>
      <c r="C94" s="7"/>
      <c r="D94" s="7"/>
      <c r="E94" s="7"/>
      <c r="F94" s="7"/>
      <c r="G94" s="7"/>
      <c r="H94" s="7"/>
      <c r="I94" s="7"/>
      <c r="J94" s="7"/>
      <c r="K94" s="7"/>
    </row>
    <row r="95" spans="1:11" x14ac:dyDescent="0.3">
      <c r="B95" s="3" t="s">
        <v>3</v>
      </c>
      <c r="C95" s="13">
        <f t="shared" ref="C95:D95" si="71">+C94/C89</f>
        <v>0</v>
      </c>
      <c r="D95" s="13">
        <f t="shared" si="71"/>
        <v>0</v>
      </c>
      <c r="E95" s="13">
        <f>+E94/E89</f>
        <v>0</v>
      </c>
      <c r="F95" s="13">
        <f t="shared" ref="F95:K95" si="72">+F94/F89</f>
        <v>0</v>
      </c>
      <c r="G95" s="13">
        <f t="shared" si="72"/>
        <v>0</v>
      </c>
      <c r="H95" s="13">
        <f t="shared" si="72"/>
        <v>0</v>
      </c>
      <c r="I95" s="13">
        <f t="shared" si="72"/>
        <v>0</v>
      </c>
      <c r="J95" s="13">
        <f t="shared" si="72"/>
        <v>0</v>
      </c>
      <c r="K95" s="13">
        <f t="shared" si="72"/>
        <v>0</v>
      </c>
    </row>
    <row r="96" spans="1:11" x14ac:dyDescent="0.3">
      <c r="B96" s="3" t="s">
        <v>6</v>
      </c>
      <c r="C96" s="7"/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4">
        <v>0</v>
      </c>
      <c r="K96" s="4">
        <v>0</v>
      </c>
    </row>
    <row r="97" spans="1:11" x14ac:dyDescent="0.3">
      <c r="B97" s="3" t="s">
        <v>3</v>
      </c>
      <c r="C97" s="13">
        <f t="shared" ref="C97:D97" si="73">+C96/C89</f>
        <v>0</v>
      </c>
      <c r="D97" s="13">
        <f t="shared" si="73"/>
        <v>0</v>
      </c>
      <c r="E97" s="13">
        <f>+E96/E89</f>
        <v>0</v>
      </c>
      <c r="F97" s="13">
        <f t="shared" ref="F97:K97" si="74">+F96/F89</f>
        <v>0</v>
      </c>
      <c r="G97" s="13">
        <f t="shared" si="74"/>
        <v>0</v>
      </c>
      <c r="H97" s="13">
        <f t="shared" si="74"/>
        <v>0</v>
      </c>
      <c r="I97" s="13">
        <f t="shared" si="74"/>
        <v>0</v>
      </c>
      <c r="J97" s="13">
        <f t="shared" si="74"/>
        <v>0</v>
      </c>
      <c r="K97" s="13">
        <f t="shared" si="74"/>
        <v>0</v>
      </c>
    </row>
    <row r="98" spans="1:11" x14ac:dyDescent="0.3">
      <c r="B98" s="3" t="s">
        <v>7</v>
      </c>
      <c r="C98" s="4">
        <f t="shared" ref="C98:D98" si="75">+C89-C90-C92-C94-C96</f>
        <v>167715.25423728814</v>
      </c>
      <c r="D98" s="4">
        <f t="shared" si="75"/>
        <v>54410.966101694925</v>
      </c>
      <c r="E98" s="4">
        <f>+E89-E90-E92-E94-E96</f>
        <v>32979.223220338987</v>
      </c>
      <c r="F98" s="4">
        <f t="shared" ref="F98:K98" si="76">+F89-F90-F92-F94-F96</f>
        <v>80353.391525423736</v>
      </c>
      <c r="G98" s="4">
        <f t="shared" si="76"/>
        <v>62479.982203389853</v>
      </c>
      <c r="H98" s="4">
        <f t="shared" si="76"/>
        <v>69452.42898305085</v>
      </c>
      <c r="I98" s="4">
        <f t="shared" si="76"/>
        <v>63208.800338983056</v>
      </c>
      <c r="J98" s="4">
        <f t="shared" si="76"/>
        <v>50592.77288135593</v>
      </c>
      <c r="K98" s="4">
        <f t="shared" si="76"/>
        <v>37403.154067796604</v>
      </c>
    </row>
    <row r="99" spans="1:11" x14ac:dyDescent="0.3">
      <c r="B99" s="3" t="s">
        <v>8</v>
      </c>
      <c r="C99" s="6">
        <f t="shared" ref="C99:D99" si="77">+C98/C89</f>
        <v>1</v>
      </c>
      <c r="D99" s="6">
        <f t="shared" si="77"/>
        <v>0.5792839806920197</v>
      </c>
      <c r="E99" s="6">
        <f>+E98/E89</f>
        <v>0.29648084992914719</v>
      </c>
      <c r="F99" s="6">
        <f t="shared" ref="F99:K99" si="78">+F98/F89</f>
        <v>0.48885830806987152</v>
      </c>
      <c r="G99" s="6">
        <f t="shared" si="78"/>
        <v>0.35139425006315217</v>
      </c>
      <c r="H99" s="6">
        <f t="shared" si="78"/>
        <v>0.37820613777221945</v>
      </c>
      <c r="I99" s="6">
        <f t="shared" si="78"/>
        <v>0.38380013511881034</v>
      </c>
      <c r="J99" s="6">
        <f t="shared" si="78"/>
        <v>0.37772369761419172</v>
      </c>
      <c r="K99" s="6">
        <f t="shared" si="78"/>
        <v>0.2652705962255078</v>
      </c>
    </row>
    <row r="100" spans="1:11" ht="14.5" thickBo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ht="14.5" thickTop="1" x14ac:dyDescent="0.3"/>
    <row r="102" spans="1:11" x14ac:dyDescent="0.3">
      <c r="B102" s="11" t="s">
        <v>17</v>
      </c>
      <c r="C102" s="2">
        <v>8.25</v>
      </c>
      <c r="D102" s="2">
        <v>9.25</v>
      </c>
      <c r="E102" s="2">
        <v>10.25</v>
      </c>
      <c r="F102" s="2">
        <v>11.25</v>
      </c>
      <c r="G102" s="2">
        <v>12.25</v>
      </c>
      <c r="H102" s="2">
        <v>1.26</v>
      </c>
      <c r="I102" s="2">
        <v>2.2599999999999998</v>
      </c>
      <c r="J102" s="2">
        <v>3.26</v>
      </c>
      <c r="K102" s="2">
        <v>4.26</v>
      </c>
    </row>
    <row r="103" spans="1:11" x14ac:dyDescent="0.3">
      <c r="B103" s="3" t="s">
        <v>1</v>
      </c>
      <c r="C103" s="4">
        <f>+'[1]הכנסות - מרכז'!I84</f>
        <v>156231.35593220341</v>
      </c>
      <c r="D103" s="4">
        <f>+'[1]הכנסות - מרכז'!J84</f>
        <v>173355.08474576272</v>
      </c>
      <c r="E103" s="4">
        <f>+'[1]הכנסות - מרכז'!K84</f>
        <v>165305.93220338985</v>
      </c>
      <c r="F103" s="4">
        <f>+'[1]הכנסות - מרכז'!L84</f>
        <v>218676.27118644069</v>
      </c>
      <c r="G103" s="4">
        <f>+'[1]הכנסות - מרכז'!M84</f>
        <v>235970.33898305087</v>
      </c>
      <c r="H103" s="4">
        <f>+'[1]הכנסות - מרכז'!N84</f>
        <v>172527.11864406781</v>
      </c>
      <c r="I103" s="4">
        <f>+'[1]הכנסות - מרכז'!O84</f>
        <v>196056.2</v>
      </c>
      <c r="J103" s="4">
        <f>+'[1]הכנסות - מרכז'!P84</f>
        <v>167499.39135593222</v>
      </c>
      <c r="K103" s="4">
        <f>+'[1]הכנסות - מרכז'!Q84</f>
        <v>185000</v>
      </c>
    </row>
    <row r="104" spans="1:11" x14ac:dyDescent="0.3">
      <c r="B104" s="3" t="s">
        <v>2</v>
      </c>
      <c r="C104" s="3"/>
      <c r="D104" s="4">
        <v>0</v>
      </c>
      <c r="E104" s="4">
        <f>+'[1]רופאים בחשבונית'!U4</f>
        <v>142355.93</v>
      </c>
      <c r="F104" s="4">
        <f>+'[1]רופאים בחשבונית'!V4</f>
        <v>160729.66</v>
      </c>
      <c r="G104" s="4">
        <f>+'[1]רופאים בחשבונית'!W4</f>
        <v>180990.68</v>
      </c>
      <c r="H104" s="4">
        <f>+'[1]רופאים בחשבונית'!X4</f>
        <v>142633.89830508476</v>
      </c>
      <c r="I104" s="4">
        <f>+'[1]רופאים בחשבונית'!Y4</f>
        <v>156339.30508474578</v>
      </c>
      <c r="J104" s="4">
        <f>+'[1]רופאים בחשבונית'!Z4</f>
        <v>125261.86440677967</v>
      </c>
      <c r="K104" s="4">
        <f>+'[1]רופאים בחשבונית'!AA4</f>
        <v>192828.81355932204</v>
      </c>
    </row>
    <row r="105" spans="1:11" x14ac:dyDescent="0.3">
      <c r="B105" s="5" t="s">
        <v>3</v>
      </c>
      <c r="C105" s="6">
        <f t="shared" ref="C105:D105" si="79">+C104/C103</f>
        <v>0</v>
      </c>
      <c r="D105" s="6">
        <f t="shared" si="79"/>
        <v>0</v>
      </c>
      <c r="E105" s="6">
        <f>+E104/E103</f>
        <v>0.86116649355842512</v>
      </c>
      <c r="F105" s="6">
        <f t="shared" ref="F105:K105" si="80">+F104/F103</f>
        <v>0.73501189282198742</v>
      </c>
      <c r="G105" s="6">
        <f t="shared" si="80"/>
        <v>0.76700606008367889</v>
      </c>
      <c r="H105" s="6">
        <f t="shared" si="80"/>
        <v>0.82673320824041419</v>
      </c>
      <c r="I105" s="6">
        <f t="shared" si="80"/>
        <v>0.79742086751016172</v>
      </c>
      <c r="J105" s="6">
        <f t="shared" si="80"/>
        <v>0.74783474371319469</v>
      </c>
      <c r="K105" s="6">
        <f t="shared" si="80"/>
        <v>1.0423179111314704</v>
      </c>
    </row>
    <row r="106" spans="1:11" x14ac:dyDescent="0.3">
      <c r="B106" s="3" t="s">
        <v>4</v>
      </c>
      <c r="C106" s="4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1</v>
      </c>
      <c r="J106" s="4">
        <v>2</v>
      </c>
      <c r="K106" s="4">
        <v>3</v>
      </c>
    </row>
    <row r="107" spans="1:11" x14ac:dyDescent="0.3">
      <c r="B107" s="3" t="s">
        <v>3</v>
      </c>
      <c r="C107" s="6">
        <f t="shared" ref="C107:D107" si="81">+C106/C103</f>
        <v>0</v>
      </c>
      <c r="D107" s="6">
        <f t="shared" si="81"/>
        <v>0</v>
      </c>
      <c r="E107" s="6">
        <f>+E106/E103</f>
        <v>0</v>
      </c>
      <c r="F107" s="6">
        <f t="shared" ref="F107:G107" si="82">+F106/F103</f>
        <v>0</v>
      </c>
      <c r="G107" s="6">
        <f t="shared" si="82"/>
        <v>0</v>
      </c>
      <c r="H107" s="6">
        <f>+H106/H103</f>
        <v>0</v>
      </c>
      <c r="I107" s="6">
        <f>+I106/I103</f>
        <v>5.1005783035680581E-6</v>
      </c>
      <c r="J107" s="6">
        <f>+J106/J103</f>
        <v>1.1940341895034398E-5</v>
      </c>
      <c r="K107" s="6">
        <f>+K106/K103</f>
        <v>1.6216216216216215E-5</v>
      </c>
    </row>
    <row r="108" spans="1:11" x14ac:dyDescent="0.3">
      <c r="B108" s="3" t="s">
        <v>5</v>
      </c>
      <c r="C108" s="7"/>
      <c r="D108" s="7"/>
      <c r="E108" s="7"/>
      <c r="F108" s="7"/>
      <c r="G108" s="7"/>
      <c r="H108" s="7"/>
      <c r="I108" s="7"/>
      <c r="J108" s="7"/>
      <c r="K108" s="7"/>
    </row>
    <row r="109" spans="1:11" x14ac:dyDescent="0.3">
      <c r="B109" s="3" t="s">
        <v>3</v>
      </c>
      <c r="C109" s="13">
        <f t="shared" ref="C109:D109" si="83">+C108/C103</f>
        <v>0</v>
      </c>
      <c r="D109" s="13">
        <f t="shared" si="83"/>
        <v>0</v>
      </c>
      <c r="E109" s="13">
        <f>+E108/E103</f>
        <v>0</v>
      </c>
      <c r="F109" s="13">
        <f t="shared" ref="F109:K109" si="84">+F108/F103</f>
        <v>0</v>
      </c>
      <c r="G109" s="13">
        <f t="shared" si="84"/>
        <v>0</v>
      </c>
      <c r="H109" s="13">
        <f t="shared" si="84"/>
        <v>0</v>
      </c>
      <c r="I109" s="13">
        <f t="shared" si="84"/>
        <v>0</v>
      </c>
      <c r="J109" s="13">
        <f t="shared" si="84"/>
        <v>0</v>
      </c>
      <c r="K109" s="13">
        <f t="shared" si="84"/>
        <v>0</v>
      </c>
    </row>
    <row r="110" spans="1:11" x14ac:dyDescent="0.3">
      <c r="B110" s="3" t="s">
        <v>6</v>
      </c>
      <c r="C110" s="4"/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</row>
    <row r="111" spans="1:11" x14ac:dyDescent="0.3">
      <c r="B111" s="3" t="s">
        <v>3</v>
      </c>
      <c r="C111" s="6">
        <f t="shared" ref="C111:D111" si="85">+C110/C103</f>
        <v>0</v>
      </c>
      <c r="D111" s="6">
        <f t="shared" si="85"/>
        <v>0</v>
      </c>
      <c r="E111" s="6">
        <f>+E110/E103</f>
        <v>0</v>
      </c>
      <c r="F111" s="6">
        <f t="shared" ref="F111:K111" si="86">+F110/F103</f>
        <v>0</v>
      </c>
      <c r="G111" s="6">
        <f t="shared" si="86"/>
        <v>0</v>
      </c>
      <c r="H111" s="6">
        <f t="shared" si="86"/>
        <v>0</v>
      </c>
      <c r="I111" s="6">
        <f t="shared" si="86"/>
        <v>0</v>
      </c>
      <c r="J111" s="6">
        <f t="shared" si="86"/>
        <v>0</v>
      </c>
      <c r="K111" s="6">
        <f t="shared" si="86"/>
        <v>0</v>
      </c>
    </row>
    <row r="112" spans="1:11" x14ac:dyDescent="0.3">
      <c r="B112" s="3" t="s">
        <v>7</v>
      </c>
      <c r="C112" s="4">
        <f t="shared" ref="C112:D112" si="87">+C103-C104-C106-C108-C110</f>
        <v>156231.35593220341</v>
      </c>
      <c r="D112" s="4">
        <f t="shared" si="87"/>
        <v>173355.08474576272</v>
      </c>
      <c r="E112" s="4">
        <f>+E103-E104-E106-E108-E110</f>
        <v>22950.002203389857</v>
      </c>
      <c r="F112" s="4">
        <f t="shared" ref="F112:K112" si="88">+F103-F104-F106-F108-F110</f>
        <v>57946.611186440685</v>
      </c>
      <c r="G112" s="4">
        <f t="shared" si="88"/>
        <v>54979.658983050875</v>
      </c>
      <c r="H112" s="4">
        <f t="shared" si="88"/>
        <v>29893.220338983054</v>
      </c>
      <c r="I112" s="4">
        <f t="shared" si="88"/>
        <v>39715.894915254234</v>
      </c>
      <c r="J112" s="4">
        <f t="shared" si="88"/>
        <v>42235.526949152554</v>
      </c>
      <c r="K112" s="4">
        <f t="shared" si="88"/>
        <v>-7831.8135593220359</v>
      </c>
    </row>
    <row r="113" spans="1:11" x14ac:dyDescent="0.3">
      <c r="B113" s="3" t="s">
        <v>8</v>
      </c>
      <c r="C113" s="6">
        <f t="shared" ref="C113:D113" si="89">+C112/C103</f>
        <v>1</v>
      </c>
      <c r="D113" s="6">
        <f t="shared" si="89"/>
        <v>1</v>
      </c>
      <c r="E113" s="6">
        <f>+E112/E103</f>
        <v>0.13883350644157483</v>
      </c>
      <c r="F113" s="6">
        <f t="shared" ref="F113:K113" si="90">+F112/F103</f>
        <v>0.26498810717801258</v>
      </c>
      <c r="G113" s="6">
        <f t="shared" si="90"/>
        <v>0.23299393991632109</v>
      </c>
      <c r="H113" s="6">
        <f t="shared" si="90"/>
        <v>0.17326679175958581</v>
      </c>
      <c r="I113" s="6">
        <f t="shared" si="90"/>
        <v>0.2025740319115347</v>
      </c>
      <c r="J113" s="6">
        <f t="shared" si="90"/>
        <v>0.25215331594491031</v>
      </c>
      <c r="K113" s="6">
        <f t="shared" si="90"/>
        <v>-4.2334127347686677E-2</v>
      </c>
    </row>
    <row r="114" spans="1:11" ht="14.5" thickBo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14.5" thickTop="1" x14ac:dyDescent="0.3"/>
    <row r="116" spans="1:11" x14ac:dyDescent="0.3">
      <c r="B116" s="11" t="s">
        <v>18</v>
      </c>
      <c r="C116" s="2">
        <v>8.25</v>
      </c>
      <c r="D116" s="2">
        <v>9.25</v>
      </c>
      <c r="E116" s="2">
        <v>10.25</v>
      </c>
      <c r="F116" s="2">
        <v>11.25</v>
      </c>
      <c r="G116" s="2">
        <v>12.25</v>
      </c>
      <c r="H116" s="2">
        <v>1.26</v>
      </c>
      <c r="I116" s="2">
        <v>2.2599999999999998</v>
      </c>
      <c r="J116" s="2">
        <v>3.26</v>
      </c>
      <c r="K116" s="2">
        <v>4.26</v>
      </c>
    </row>
    <row r="117" spans="1:11" x14ac:dyDescent="0.3">
      <c r="B117" s="3" t="s">
        <v>1</v>
      </c>
      <c r="C117" s="4">
        <f>+'[1]הכנסות - מרכז'!I85</f>
        <v>64957.627118644072</v>
      </c>
      <c r="D117" s="4">
        <f>+'[1]הכנסות - מרכז'!J85</f>
        <v>46516.949152542373</v>
      </c>
      <c r="E117" s="4">
        <f>+'[1]הכנסות - מרכז'!K85</f>
        <v>103983.05084745763</v>
      </c>
      <c r="F117" s="4">
        <f>+'[1]הכנסות - מרכז'!L85</f>
        <v>133347.45762711865</v>
      </c>
      <c r="G117" s="4">
        <f>+'[1]הכנסות - מרכז'!M85</f>
        <v>136186.44067796611</v>
      </c>
      <c r="H117" s="4">
        <f>+'[1]הכנסות - מרכז'!N85</f>
        <v>125381.3559322034</v>
      </c>
      <c r="I117" s="4">
        <f>+'[1]הכנסות - מרכז'!O85</f>
        <v>127245</v>
      </c>
      <c r="J117" s="4">
        <f>+'[1]הכנסות - מרכז'!P85</f>
        <v>117228.27</v>
      </c>
      <c r="K117" s="4">
        <f>+'[1]הכנסות - מרכז'!Q85</f>
        <v>125000</v>
      </c>
    </row>
    <row r="118" spans="1:11" x14ac:dyDescent="0.3">
      <c r="B118" s="3" t="s">
        <v>2</v>
      </c>
      <c r="C118" s="3"/>
      <c r="D118" s="4">
        <f>+'[1]נתוני כ"ס - הרדמה'!G10</f>
        <v>35048</v>
      </c>
      <c r="E118" s="4">
        <f>+'[1]נתוני כ"ס - הרדמה'!H10</f>
        <v>51466</v>
      </c>
      <c r="F118" s="4">
        <f>+'[1]נתוני כ"ס - הרדמה'!I10</f>
        <v>59215</v>
      </c>
      <c r="G118" s="4">
        <f>+'[1]נתוני כ"ס - הרדמה'!J10</f>
        <v>54094</v>
      </c>
      <c r="H118" s="4">
        <f>+'[1]נתוני כ"ס - הרדמה'!K10</f>
        <v>51741.72</v>
      </c>
      <c r="I118" s="4">
        <f>+'[1]נתוני כ"ס - הרדמה'!L10</f>
        <v>56467.869999999995</v>
      </c>
      <c r="J118" s="4">
        <f>+'[1]נתוני כ"ס - הרדמה'!M10</f>
        <v>34799.14</v>
      </c>
      <c r="K118" s="4">
        <f>+'[1]נתוני כ"ס - הרדמה'!N10</f>
        <v>56396.56</v>
      </c>
    </row>
    <row r="119" spans="1:11" x14ac:dyDescent="0.3">
      <c r="B119" s="5" t="s">
        <v>3</v>
      </c>
      <c r="C119" s="6">
        <f t="shared" ref="C119:D119" si="91">+C118/C117</f>
        <v>0</v>
      </c>
      <c r="D119" s="6">
        <f t="shared" si="91"/>
        <v>0.75344580069229372</v>
      </c>
      <c r="E119" s="6">
        <f>+E118/E117</f>
        <v>0.4949460472697636</v>
      </c>
      <c r="F119" s="6">
        <f t="shared" ref="F119:K119" si="92">+F118/F117</f>
        <v>0.44406545916746104</v>
      </c>
      <c r="G119" s="6">
        <f t="shared" si="92"/>
        <v>0.39720547604231488</v>
      </c>
      <c r="H119" s="6">
        <f t="shared" si="92"/>
        <v>0.41267475228117606</v>
      </c>
      <c r="I119" s="6">
        <f t="shared" si="92"/>
        <v>0.44377280050296669</v>
      </c>
      <c r="J119" s="6">
        <f t="shared" si="92"/>
        <v>0.29684938624446133</v>
      </c>
      <c r="K119" s="6">
        <f t="shared" si="92"/>
        <v>0.45117247999999999</v>
      </c>
    </row>
    <row r="120" spans="1:11" x14ac:dyDescent="0.3">
      <c r="B120" s="3" t="s">
        <v>4</v>
      </c>
      <c r="C120" s="4"/>
      <c r="D120" s="4">
        <f>+'[1]נתוני כ"ס - הרדמה'!G9</f>
        <v>3454</v>
      </c>
      <c r="E120" s="4">
        <f>+'[1]נתוני כ"ס - הרדמה'!H9</f>
        <v>2313</v>
      </c>
      <c r="F120" s="4">
        <f>+'[1]נתוני כ"ס - הרדמה'!I9</f>
        <v>4807</v>
      </c>
      <c r="G120" s="4">
        <f>+'[1]נתוני כ"ס - הרדמה'!J9</f>
        <v>3773</v>
      </c>
      <c r="H120" s="4">
        <f>+'[1]נתוני כ"ס - הרדמה'!K9</f>
        <v>5077.4700000000012</v>
      </c>
      <c r="I120" s="4">
        <f>+'[1]נתוני כ"ס - הרדמה'!L9</f>
        <v>5196.8700000000026</v>
      </c>
      <c r="J120" s="4">
        <f>+'[1]נתוני כ"ס - הרדמה'!M9</f>
        <v>4864.8399999999965</v>
      </c>
      <c r="K120" s="4">
        <f>+'[1]נתוני כ"ס - הרדמה'!N9</f>
        <v>6383.3099999999977</v>
      </c>
    </row>
    <row r="121" spans="1:11" x14ac:dyDescent="0.3">
      <c r="B121" s="3" t="s">
        <v>3</v>
      </c>
      <c r="C121" s="6">
        <f t="shared" ref="C121:D121" si="93">+C120/C117</f>
        <v>0</v>
      </c>
      <c r="D121" s="6">
        <f t="shared" si="93"/>
        <v>7.4252505010020037E-2</v>
      </c>
      <c r="E121" s="6">
        <f>+E120/E117</f>
        <v>2.2244009779951099E-2</v>
      </c>
      <c r="F121" s="6">
        <f t="shared" ref="F121:K121" si="94">+F120/F117</f>
        <v>3.6048681283762311E-2</v>
      </c>
      <c r="G121" s="6">
        <f t="shared" si="94"/>
        <v>2.7704667081518357E-2</v>
      </c>
      <c r="H121" s="6">
        <f t="shared" si="94"/>
        <v>4.0496212233862801E-2</v>
      </c>
      <c r="I121" s="6">
        <f t="shared" si="94"/>
        <v>4.0841447601084539E-2</v>
      </c>
      <c r="J121" s="6">
        <f t="shared" si="94"/>
        <v>4.1498863712652219E-2</v>
      </c>
      <c r="K121" s="6">
        <f t="shared" si="94"/>
        <v>5.1066479999999984E-2</v>
      </c>
    </row>
    <row r="122" spans="1:11" x14ac:dyDescent="0.3">
      <c r="B122" s="3" t="s">
        <v>5</v>
      </c>
      <c r="C122" s="7"/>
      <c r="D122" s="7"/>
      <c r="E122" s="7"/>
      <c r="F122" s="7"/>
      <c r="G122" s="7"/>
      <c r="H122" s="7"/>
      <c r="I122" s="7"/>
      <c r="J122" s="7"/>
      <c r="K122" s="7"/>
    </row>
    <row r="123" spans="1:11" x14ac:dyDescent="0.3">
      <c r="B123" s="3" t="s">
        <v>3</v>
      </c>
      <c r="C123" s="13">
        <f t="shared" ref="C123:D123" si="95">+C122/C117</f>
        <v>0</v>
      </c>
      <c r="D123" s="13">
        <f t="shared" si="95"/>
        <v>0</v>
      </c>
      <c r="E123" s="13">
        <f>+E122/E117</f>
        <v>0</v>
      </c>
      <c r="F123" s="13">
        <f t="shared" ref="F123:K123" si="96">+F122/F117</f>
        <v>0</v>
      </c>
      <c r="G123" s="13">
        <f t="shared" si="96"/>
        <v>0</v>
      </c>
      <c r="H123" s="13">
        <f t="shared" si="96"/>
        <v>0</v>
      </c>
      <c r="I123" s="13">
        <f t="shared" si="96"/>
        <v>0</v>
      </c>
      <c r="J123" s="13">
        <f t="shared" si="96"/>
        <v>0</v>
      </c>
      <c r="K123" s="13">
        <f t="shared" si="96"/>
        <v>0</v>
      </c>
    </row>
    <row r="124" spans="1:11" x14ac:dyDescent="0.3">
      <c r="B124" s="3" t="s">
        <v>6</v>
      </c>
      <c r="C124" s="7"/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4">
        <v>0</v>
      </c>
      <c r="K124" s="4">
        <v>0</v>
      </c>
    </row>
    <row r="125" spans="1:11" x14ac:dyDescent="0.3">
      <c r="B125" s="3" t="s">
        <v>3</v>
      </c>
      <c r="C125" s="6">
        <f t="shared" ref="C125:D125" si="97">+C124/C117</f>
        <v>0</v>
      </c>
      <c r="D125" s="6">
        <f t="shared" si="97"/>
        <v>0</v>
      </c>
      <c r="E125" s="6">
        <f>+E124/E117</f>
        <v>0</v>
      </c>
      <c r="F125" s="6">
        <f t="shared" ref="F125:K125" si="98">+F124/F117</f>
        <v>0</v>
      </c>
      <c r="G125" s="6">
        <f t="shared" si="98"/>
        <v>0</v>
      </c>
      <c r="H125" s="6">
        <f t="shared" si="98"/>
        <v>0</v>
      </c>
      <c r="I125" s="6">
        <f t="shared" si="98"/>
        <v>0</v>
      </c>
      <c r="J125" s="6">
        <f t="shared" si="98"/>
        <v>0</v>
      </c>
      <c r="K125" s="6">
        <f t="shared" si="98"/>
        <v>0</v>
      </c>
    </row>
    <row r="126" spans="1:11" x14ac:dyDescent="0.3">
      <c r="B126" s="3" t="s">
        <v>7</v>
      </c>
      <c r="C126" s="4">
        <f t="shared" ref="C126:D126" si="99">+C117-C118-C120-C122-C124</f>
        <v>64957.627118644072</v>
      </c>
      <c r="D126" s="4">
        <f t="shared" si="99"/>
        <v>8014.9491525423728</v>
      </c>
      <c r="E126" s="4">
        <f>+E117-E118-E120-E122-E124</f>
        <v>50204.050847457635</v>
      </c>
      <c r="F126" s="4">
        <f t="shared" ref="F126:K126" si="100">+F117-F118-F120-F122-F124</f>
        <v>69325.457627118652</v>
      </c>
      <c r="G126" s="4">
        <f t="shared" si="100"/>
        <v>78319.440677966108</v>
      </c>
      <c r="H126" s="4">
        <f t="shared" si="100"/>
        <v>68562.165932203396</v>
      </c>
      <c r="I126" s="4">
        <f t="shared" si="100"/>
        <v>65580.260000000009</v>
      </c>
      <c r="J126" s="4">
        <f t="shared" si="100"/>
        <v>77564.290000000008</v>
      </c>
      <c r="K126" s="4">
        <f t="shared" si="100"/>
        <v>62220.130000000005</v>
      </c>
    </row>
    <row r="127" spans="1:11" x14ac:dyDescent="0.3">
      <c r="B127" s="3" t="s">
        <v>8</v>
      </c>
      <c r="C127" s="6">
        <f t="shared" ref="C127:D127" si="101">+C126/C117</f>
        <v>1</v>
      </c>
      <c r="D127" s="6">
        <f t="shared" si="101"/>
        <v>0.17230169429768627</v>
      </c>
      <c r="E127" s="6">
        <f>+E126/E117</f>
        <v>0.48280994295028529</v>
      </c>
      <c r="F127" s="6">
        <f t="shared" ref="F127:K127" si="102">+F126/F117</f>
        <v>0.51988585954877664</v>
      </c>
      <c r="G127" s="6">
        <f t="shared" si="102"/>
        <v>0.57508985687616676</v>
      </c>
      <c r="H127" s="6">
        <f t="shared" si="102"/>
        <v>0.5468290354849612</v>
      </c>
      <c r="I127" s="6">
        <f t="shared" si="102"/>
        <v>0.51538575189594882</v>
      </c>
      <c r="J127" s="6">
        <f t="shared" si="102"/>
        <v>0.66165175004288646</v>
      </c>
      <c r="K127" s="6">
        <f t="shared" si="102"/>
        <v>0.49776104000000004</v>
      </c>
    </row>
    <row r="128" spans="1:11" ht="14.5" thickBo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1:11" ht="14.5" thickTop="1" x14ac:dyDescent="0.3"/>
    <row r="130" spans="1:11" x14ac:dyDescent="0.3">
      <c r="B130" s="11" t="s">
        <v>19</v>
      </c>
      <c r="C130" s="2">
        <v>8.25</v>
      </c>
      <c r="D130" s="2">
        <v>9.25</v>
      </c>
      <c r="E130" s="2">
        <v>10.25</v>
      </c>
      <c r="F130" s="2">
        <v>11.25</v>
      </c>
      <c r="G130" s="2">
        <v>12.25</v>
      </c>
      <c r="H130" s="2">
        <v>1.26</v>
      </c>
      <c r="I130" s="2">
        <v>2.2599999999999998</v>
      </c>
      <c r="J130" s="2">
        <v>3.26</v>
      </c>
      <c r="K130" s="2">
        <v>4.26</v>
      </c>
    </row>
    <row r="131" spans="1:11" x14ac:dyDescent="0.3">
      <c r="B131" s="3" t="s">
        <v>1</v>
      </c>
      <c r="C131" s="12">
        <f>+'[1]הכנסות - מרכז'!I82</f>
        <v>56615.47457627119</v>
      </c>
      <c r="D131" s="12">
        <f>+'[1]הכנסות - מרכז'!J82</f>
        <v>63494.91525423729</v>
      </c>
      <c r="E131" s="12">
        <f>+'[1]הכנסות - מרכז'!K82</f>
        <v>76955.08474576271</v>
      </c>
      <c r="F131" s="12">
        <f>+'[1]הכנסות - מרכז'!L82</f>
        <v>62564.406779661018</v>
      </c>
      <c r="G131" s="12">
        <f>+'[1]הכנסות - מרכז'!M82</f>
        <v>67330.508474576272</v>
      </c>
      <c r="H131" s="12">
        <f>+'[1]הכנסות - מרכז'!N82</f>
        <v>52373.728813559326</v>
      </c>
      <c r="I131" s="12">
        <f>+'[1]הכנסות - מרכז'!O82</f>
        <v>29542</v>
      </c>
      <c r="J131" s="12">
        <f>+'[1]הכנסות - מרכז'!P82</f>
        <v>40885.638644067803</v>
      </c>
      <c r="K131" s="12">
        <f>+'[1]הכנסות - מרכז'!Q82</f>
        <v>67000</v>
      </c>
    </row>
    <row r="132" spans="1:11" x14ac:dyDescent="0.3">
      <c r="B132" s="3" t="s">
        <v>2</v>
      </c>
      <c r="C132" s="3"/>
      <c r="D132" s="4">
        <v>0</v>
      </c>
      <c r="E132" s="4">
        <f>+'[1]רופאים בחשבונית'!U6+'[1]רופאים בחשבונית'!U7</f>
        <v>26233.05</v>
      </c>
      <c r="F132" s="4">
        <f>+'[1]רופאים בחשבונית'!V6+'[1]רופאים בחשבונית'!V7</f>
        <v>25593.22</v>
      </c>
      <c r="G132" s="4">
        <f>+'[1]רופאים בחשבונית'!W6+'[1]רופאים בחשבונית'!W7</f>
        <v>24500</v>
      </c>
      <c r="H132" s="4">
        <f>+'[1]רופאים בחשבונית'!X6+'[1]רופאים בחשבונית'!X7</f>
        <v>17076.271186440677</v>
      </c>
      <c r="I132" s="4">
        <f>+'[1]רופאים בחשבונית'!Y6+'[1]רופאים בחשבונית'!Y7</f>
        <v>26076.271186440681</v>
      </c>
      <c r="J132" s="4">
        <f>+'[1]רופאים בחשבונית'!Z6+'[1]רופאים בחשבונית'!Z7</f>
        <v>23377.966101694918</v>
      </c>
      <c r="K132" s="4">
        <f>+'[1]רופאים בחשבונית'!AA6+'[1]רופאים בחשבונית'!AA7</f>
        <v>27902.542372881355</v>
      </c>
    </row>
    <row r="133" spans="1:11" x14ac:dyDescent="0.3">
      <c r="B133" s="5" t="s">
        <v>3</v>
      </c>
      <c r="C133" s="6">
        <f t="shared" ref="C133:D133" si="103">+C132/C131</f>
        <v>0</v>
      </c>
      <c r="D133" s="6">
        <f t="shared" si="103"/>
        <v>0</v>
      </c>
      <c r="E133" s="6">
        <f>+E132/E131</f>
        <v>0.34088780600614488</v>
      </c>
      <c r="F133" s="6">
        <f t="shared" ref="F133:K133" si="104">+F132/F131</f>
        <v>0.40906996992929323</v>
      </c>
      <c r="G133" s="6">
        <f t="shared" si="104"/>
        <v>0.36387665198237884</v>
      </c>
      <c r="H133" s="6">
        <f t="shared" si="104"/>
        <v>0.32604650410187536</v>
      </c>
      <c r="I133" s="6">
        <f t="shared" si="104"/>
        <v>0.88268469252050241</v>
      </c>
      <c r="J133" s="6">
        <f t="shared" si="104"/>
        <v>0.57178918752408636</v>
      </c>
      <c r="K133" s="6">
        <f t="shared" si="104"/>
        <v>0.41645585631166199</v>
      </c>
    </row>
    <row r="134" spans="1:11" x14ac:dyDescent="0.3">
      <c r="B134" s="3" t="s">
        <v>4</v>
      </c>
      <c r="C134" s="4"/>
      <c r="D134" s="4">
        <f>+'[1]נתוני כ"ס - אחר'!G23</f>
        <v>185160.2</v>
      </c>
      <c r="E134" s="4">
        <f>+'[1]נתוני כ"ס - אחר'!H23</f>
        <v>176248</v>
      </c>
      <c r="F134" s="4">
        <f>+'[1]נתוני כ"ס - אחר'!I23</f>
        <v>187871</v>
      </c>
      <c r="G134" s="4">
        <f>+'[1]נתוני כ"ס - אחר'!J23</f>
        <v>201582</v>
      </c>
      <c r="H134" s="4">
        <f>+'[1]נתוני כ"ס - אחר'!K23</f>
        <v>270095.10299999994</v>
      </c>
      <c r="I134" s="4">
        <f>+'[1]נתוני כ"ס - אחר'!L23</f>
        <v>324796.31800000003</v>
      </c>
      <c r="J134" s="4">
        <f>+'[1]נתוני כ"ס - אחר'!M23</f>
        <v>330998.26299999998</v>
      </c>
      <c r="K134" s="4">
        <f>+'[1]נתוני כ"ס - אחר'!N23</f>
        <v>333568.37300000002</v>
      </c>
    </row>
    <row r="135" spans="1:11" x14ac:dyDescent="0.3">
      <c r="B135" s="3" t="s">
        <v>3</v>
      </c>
      <c r="C135" s="6">
        <f t="shared" ref="C135:D135" si="105">+C134/C131</f>
        <v>0</v>
      </c>
      <c r="D135" s="6">
        <f t="shared" si="105"/>
        <v>2.9161421707330097</v>
      </c>
      <c r="E135" s="6">
        <f>+E134/E131</f>
        <v>2.2902710143491141</v>
      </c>
      <c r="F135" s="6">
        <f t="shared" ref="F135:K135" si="106">+F134/F131</f>
        <v>3.0028415463386882</v>
      </c>
      <c r="G135" s="6">
        <f t="shared" si="106"/>
        <v>2.9939176840780366</v>
      </c>
      <c r="H135" s="6">
        <f t="shared" si="106"/>
        <v>5.1570722405786302</v>
      </c>
      <c r="I135" s="6">
        <f t="shared" si="106"/>
        <v>10.994391645792431</v>
      </c>
      <c r="J135" s="6">
        <f t="shared" si="106"/>
        <v>8.0957097400758187</v>
      </c>
      <c r="K135" s="6">
        <f t="shared" si="106"/>
        <v>4.9786324328358216</v>
      </c>
    </row>
    <row r="136" spans="1:11" x14ac:dyDescent="0.3">
      <c r="B136" s="3" t="s">
        <v>20</v>
      </c>
      <c r="C136" s="4"/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</row>
    <row r="137" spans="1:11" x14ac:dyDescent="0.3">
      <c r="B137" s="3" t="s">
        <v>3</v>
      </c>
      <c r="C137" s="6">
        <f t="shared" ref="C137:D137" si="107">+C136/C131</f>
        <v>0</v>
      </c>
      <c r="D137" s="6">
        <f t="shared" si="107"/>
        <v>0</v>
      </c>
      <c r="E137" s="6">
        <f>+E136/E131</f>
        <v>0</v>
      </c>
      <c r="F137" s="6">
        <f t="shared" ref="F137:K137" si="108">+F136/F131</f>
        <v>0</v>
      </c>
      <c r="G137" s="6">
        <f t="shared" si="108"/>
        <v>0</v>
      </c>
      <c r="H137" s="6">
        <f t="shared" si="108"/>
        <v>0</v>
      </c>
      <c r="I137" s="6">
        <f t="shared" si="108"/>
        <v>0</v>
      </c>
      <c r="J137" s="6">
        <f t="shared" si="108"/>
        <v>0</v>
      </c>
      <c r="K137" s="6">
        <f t="shared" si="108"/>
        <v>0</v>
      </c>
    </row>
    <row r="138" spans="1:11" x14ac:dyDescent="0.3">
      <c r="B138" s="3" t="s">
        <v>6</v>
      </c>
      <c r="C138" s="4"/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</row>
    <row r="139" spans="1:11" x14ac:dyDescent="0.3">
      <c r="B139" s="3" t="s">
        <v>3</v>
      </c>
      <c r="C139" s="6">
        <f t="shared" ref="C139:D139" si="109">+C138/C131</f>
        <v>0</v>
      </c>
      <c r="D139" s="6">
        <f t="shared" si="109"/>
        <v>0</v>
      </c>
      <c r="E139" s="6">
        <f>+E138/E131</f>
        <v>0</v>
      </c>
      <c r="F139" s="6">
        <f t="shared" ref="F139:K139" si="110">+F138/F131</f>
        <v>0</v>
      </c>
      <c r="G139" s="6">
        <f t="shared" si="110"/>
        <v>0</v>
      </c>
      <c r="H139" s="6">
        <f t="shared" si="110"/>
        <v>0</v>
      </c>
      <c r="I139" s="6">
        <f t="shared" si="110"/>
        <v>0</v>
      </c>
      <c r="J139" s="6">
        <f t="shared" si="110"/>
        <v>0</v>
      </c>
      <c r="K139" s="6">
        <f t="shared" si="110"/>
        <v>0</v>
      </c>
    </row>
    <row r="140" spans="1:11" x14ac:dyDescent="0.3">
      <c r="B140" s="3" t="s">
        <v>7</v>
      </c>
      <c r="C140" s="4">
        <f t="shared" ref="C140:D140" si="111">+C131-C132-C134-C136-C138</f>
        <v>56615.47457627119</v>
      </c>
      <c r="D140" s="4">
        <f t="shared" si="111"/>
        <v>-121665.28474576272</v>
      </c>
      <c r="E140" s="4">
        <f>+E131-E132-E134-E136-E138</f>
        <v>-125525.96525423729</v>
      </c>
      <c r="F140" s="4">
        <f t="shared" ref="F140:K140" si="112">+F131-F132-F134-F136-F138</f>
        <v>-150899.81322033898</v>
      </c>
      <c r="G140" s="4">
        <f t="shared" si="112"/>
        <v>-158751.49152542371</v>
      </c>
      <c r="H140" s="4">
        <f t="shared" si="112"/>
        <v>-234797.64537288129</v>
      </c>
      <c r="I140" s="4">
        <f t="shared" si="112"/>
        <v>-321330.58918644069</v>
      </c>
      <c r="J140" s="4">
        <f t="shared" si="112"/>
        <v>-313490.59045762708</v>
      </c>
      <c r="K140" s="4">
        <f t="shared" si="112"/>
        <v>-294470.9153728814</v>
      </c>
    </row>
    <row r="141" spans="1:11" x14ac:dyDescent="0.3">
      <c r="B141" s="3" t="s">
        <v>8</v>
      </c>
      <c r="C141" s="6">
        <f t="shared" ref="C141:D141" si="113">+C140/C131</f>
        <v>1</v>
      </c>
      <c r="D141" s="6">
        <f t="shared" si="113"/>
        <v>-1.9161421707330095</v>
      </c>
      <c r="E141" s="6">
        <f>+E140/E131</f>
        <v>-1.6311588203552592</v>
      </c>
      <c r="F141" s="6">
        <f t="shared" ref="F141:K141" si="114">+F140/F131</f>
        <v>-2.4119115162679816</v>
      </c>
      <c r="G141" s="6">
        <f t="shared" si="114"/>
        <v>-2.3577943360604152</v>
      </c>
      <c r="H141" s="6">
        <f t="shared" si="114"/>
        <v>-4.483118744680505</v>
      </c>
      <c r="I141" s="6">
        <f t="shared" si="114"/>
        <v>-10.877076338312934</v>
      </c>
      <c r="J141" s="6">
        <f t="shared" si="114"/>
        <v>-7.6674989275999046</v>
      </c>
      <c r="K141" s="6">
        <f t="shared" si="114"/>
        <v>-4.3950882891474832</v>
      </c>
    </row>
    <row r="142" spans="1:11" ht="14.5" thickBo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1:11" ht="14.5" thickTop="1" x14ac:dyDescent="0.3"/>
    <row r="144" spans="1:11" x14ac:dyDescent="0.3">
      <c r="B144" s="11" t="s">
        <v>21</v>
      </c>
      <c r="C144" s="2">
        <v>8.25</v>
      </c>
      <c r="D144" s="2">
        <v>9.25</v>
      </c>
      <c r="E144" s="2">
        <v>10.25</v>
      </c>
      <c r="F144" s="2">
        <v>11.25</v>
      </c>
      <c r="G144" s="2">
        <v>12.25</v>
      </c>
      <c r="H144" s="2">
        <v>1.26</v>
      </c>
      <c r="I144" s="2">
        <v>2.2599999999999998</v>
      </c>
      <c r="J144" s="2">
        <v>3.26</v>
      </c>
      <c r="K144" s="2">
        <v>4.26</v>
      </c>
    </row>
    <row r="145" spans="1:11" x14ac:dyDescent="0.3">
      <c r="B145" s="3" t="s">
        <v>1</v>
      </c>
      <c r="C145" s="4">
        <f>+'[1]הכנסות - מרכז'!I86</f>
        <v>0</v>
      </c>
      <c r="D145" s="4">
        <f>+'[1]הכנסות - מרכז'!J86</f>
        <v>586378.81355932204</v>
      </c>
      <c r="E145" s="4">
        <f>+'[1]הכנסות - מרכז'!K86</f>
        <v>870220.3389830509</v>
      </c>
      <c r="F145" s="4">
        <f>+'[1]הכנסות - מרכז'!L86</f>
        <v>850422.88135593222</v>
      </c>
      <c r="G145" s="4">
        <f>+'[1]הכנסות - מרכז'!M86</f>
        <v>820874.57627118647</v>
      </c>
      <c r="H145" s="4">
        <f>+'[1]הכנסות - מרכז'!N86</f>
        <v>773179.66101694922</v>
      </c>
      <c r="I145" s="4">
        <f>+'[1]הכנסות - מרכז'!O86</f>
        <v>776809</v>
      </c>
      <c r="J145" s="4">
        <f>+'[1]הכנסות - מרכז'!P86</f>
        <v>778910</v>
      </c>
      <c r="K145" s="4">
        <f>+'[1]הכנסות - מרכז'!Q86</f>
        <v>966035.59322033729</v>
      </c>
    </row>
    <row r="146" spans="1:11" x14ac:dyDescent="0.3">
      <c r="B146" s="3" t="s">
        <v>2</v>
      </c>
      <c r="C146" s="4">
        <f>+'[1]נתוני רחובות'!C63</f>
        <v>425374.68000000005</v>
      </c>
      <c r="D146" s="4">
        <f>+'[1]נתוני רחובות'!D63</f>
        <v>356716.17</v>
      </c>
      <c r="E146" s="4">
        <f>+'[1]נתוני רחובות'!E63+'[1]רופאים בחשבונית'!U10</f>
        <v>362125.21508474572</v>
      </c>
      <c r="F146" s="4">
        <f>+'[1]נתוני רחובות'!F63+'[1]רופאים בחשבונית'!V10</f>
        <v>356392.43406779662</v>
      </c>
      <c r="G146" s="4">
        <f>+'[1]נתוני רחובות'!G63+'[1]רופאים בחשבונית'!W10</f>
        <v>461399.69101694919</v>
      </c>
      <c r="H146" s="4">
        <f>+'[1]נתוני רחובות'!H63+'[1]רופאים בחשבונית'!X10</f>
        <v>365062.70237288141</v>
      </c>
      <c r="I146" s="4">
        <f>+'[1]נתוני רחובות'!I63+'[1]רופאים בחשבונית'!Y10</f>
        <v>329039.71033898304</v>
      </c>
      <c r="J146" s="4">
        <f>'[1]נתוני רחובות'!J64+'[1]רופאים בחשבונית'!Z10</f>
        <v>356076.65949152544</v>
      </c>
      <c r="K146" s="4">
        <f>+'[1]נתוני רחובות'!K63+'[1]רופאים בחשבונית'!AA10</f>
        <v>399399.24711864407</v>
      </c>
    </row>
    <row r="147" spans="1:11" x14ac:dyDescent="0.3">
      <c r="B147" s="5" t="s">
        <v>3</v>
      </c>
      <c r="C147" s="6" t="e">
        <f t="shared" ref="C147:D147" si="115">+C146/C145</f>
        <v>#DIV/0!</v>
      </c>
      <c r="D147" s="6">
        <f t="shared" si="115"/>
        <v>0.60833741218365522</v>
      </c>
      <c r="E147" s="6">
        <f>+E146/E145</f>
        <v>0.41613048886897913</v>
      </c>
      <c r="F147" s="6">
        <f t="shared" ref="F147:K147" si="116">+F146/F145</f>
        <v>0.41907672274710789</v>
      </c>
      <c r="G147" s="6">
        <f t="shared" si="116"/>
        <v>0.56208305672329639</v>
      </c>
      <c r="H147" s="6">
        <f t="shared" si="116"/>
        <v>0.47215766370874401</v>
      </c>
      <c r="I147" s="6">
        <f t="shared" si="116"/>
        <v>0.42357865361882141</v>
      </c>
      <c r="J147" s="6">
        <f t="shared" si="116"/>
        <v>0.4571473719576401</v>
      </c>
      <c r="K147" s="6">
        <f t="shared" si="116"/>
        <v>0.41344154389510934</v>
      </c>
    </row>
    <row r="148" spans="1:11" x14ac:dyDescent="0.3">
      <c r="B148" s="3" t="s">
        <v>4</v>
      </c>
      <c r="C148" s="4">
        <f>+'[1]נתוני רחובות'!C62</f>
        <v>231166.65999999992</v>
      </c>
      <c r="D148" s="4">
        <f>+'[1]נתוני רחובות'!D62</f>
        <v>227729.85000000015</v>
      </c>
      <c r="E148" s="4">
        <f>+'[1]נתוני רחובות'!E62</f>
        <v>241617.18000000023</v>
      </c>
      <c r="F148" s="4">
        <f>+'[1]נתוני רחובות'!F62</f>
        <v>230396.33999999997</v>
      </c>
      <c r="G148" s="4">
        <f>+'[1]נתוני רחובות'!G62</f>
        <v>250021.94000000029</v>
      </c>
      <c r="H148" s="4">
        <f>+'[1]נתוני רחובות'!H62</f>
        <v>217251.76</v>
      </c>
      <c r="I148" s="4">
        <f>+'[1]נתוני רחובות'!I62</f>
        <v>212696.52000000008</v>
      </c>
      <c r="J148" s="4">
        <f>+'[1]נתוני רחובות'!J62</f>
        <v>213807.67000000004</v>
      </c>
      <c r="K148" s="4">
        <f>+'[1]נתוני רחובות'!K62</f>
        <v>275050.90999999992</v>
      </c>
    </row>
    <row r="149" spans="1:11" x14ac:dyDescent="0.3">
      <c r="B149" s="3" t="s">
        <v>3</v>
      </c>
      <c r="C149" s="6" t="e">
        <f t="shared" ref="C149:D149" si="117">+C148/C145</f>
        <v>#DIV/0!</v>
      </c>
      <c r="D149" s="6">
        <f t="shared" si="117"/>
        <v>0.38836643605467075</v>
      </c>
      <c r="E149" s="6">
        <f>+E148/E145</f>
        <v>0.27765057787819203</v>
      </c>
      <c r="F149" s="6">
        <f t="shared" ref="F149:K149" si="118">+F148/F145</f>
        <v>0.27091973305404388</v>
      </c>
      <c r="G149" s="6">
        <f t="shared" si="118"/>
        <v>0.30457995317107045</v>
      </c>
      <c r="H149" s="6">
        <f t="shared" si="118"/>
        <v>0.2809848356774578</v>
      </c>
      <c r="I149" s="6">
        <f t="shared" si="118"/>
        <v>0.27380800170955805</v>
      </c>
      <c r="J149" s="6">
        <f t="shared" si="118"/>
        <v>0.27449598798320735</v>
      </c>
      <c r="K149" s="6">
        <f t="shared" si="118"/>
        <v>0.28472130005386376</v>
      </c>
    </row>
    <row r="150" spans="1:11" x14ac:dyDescent="0.3">
      <c r="B150" s="3" t="s">
        <v>5</v>
      </c>
      <c r="C150" s="7"/>
      <c r="D150" s="7"/>
      <c r="E150" s="7"/>
      <c r="F150" s="7"/>
      <c r="G150" s="7"/>
      <c r="H150" s="7"/>
      <c r="I150" s="7"/>
      <c r="J150" s="7"/>
      <c r="K150" s="7"/>
    </row>
    <row r="151" spans="1:11" x14ac:dyDescent="0.3">
      <c r="B151" s="3" t="s">
        <v>3</v>
      </c>
      <c r="C151" s="6" t="e">
        <f t="shared" ref="C151:D151" si="119">+C150/C145</f>
        <v>#DIV/0!</v>
      </c>
      <c r="D151" s="6">
        <f t="shared" si="119"/>
        <v>0</v>
      </c>
      <c r="E151" s="6">
        <f>+E150/E145</f>
        <v>0</v>
      </c>
      <c r="F151" s="6">
        <f t="shared" ref="F151:K151" si="120">+F150/F145</f>
        <v>0</v>
      </c>
      <c r="G151" s="6">
        <f t="shared" si="120"/>
        <v>0</v>
      </c>
      <c r="H151" s="6">
        <f t="shared" si="120"/>
        <v>0</v>
      </c>
      <c r="I151" s="6">
        <f t="shared" si="120"/>
        <v>0</v>
      </c>
      <c r="J151" s="6">
        <f t="shared" si="120"/>
        <v>0</v>
      </c>
      <c r="K151" s="6">
        <f t="shared" si="120"/>
        <v>0</v>
      </c>
    </row>
    <row r="152" spans="1:11" x14ac:dyDescent="0.3">
      <c r="B152" s="3" t="s">
        <v>6</v>
      </c>
      <c r="C152" s="4"/>
      <c r="D152" s="16"/>
      <c r="E152" s="7">
        <f>+'[1]וטרמקט ואלסמד'!N85</f>
        <v>85373.728813559326</v>
      </c>
      <c r="F152" s="7">
        <f>+'[1]וטרמקט ואלסמד'!O85</f>
        <v>86514.406779661018</v>
      </c>
      <c r="G152" s="7">
        <f>+'[1]וטרמקט ואלסמד'!P85</f>
        <v>86480</v>
      </c>
      <c r="H152" s="7">
        <f>+'[1]וטרמקט ואלסמד'!Q85</f>
        <v>86514.406779661018</v>
      </c>
      <c r="I152" s="7">
        <f>+'[1]וטרמקט ואלסמד'!R85</f>
        <v>88555.08474576271</v>
      </c>
      <c r="J152" s="7">
        <f>+'[1]וטמרקט ואלסמד 2-4.26'!L15</f>
        <v>73425.423728813563</v>
      </c>
      <c r="K152" s="7">
        <f>+'[1]וטמרקט ואלסמד 2-4.26'!S16</f>
        <v>73425.423728813563</v>
      </c>
    </row>
    <row r="153" spans="1:11" x14ac:dyDescent="0.3">
      <c r="B153" s="3" t="s">
        <v>3</v>
      </c>
      <c r="C153" s="6" t="e">
        <f t="shared" ref="C153:D153" si="121">+C152/C145</f>
        <v>#DIV/0!</v>
      </c>
      <c r="D153" s="6">
        <f t="shared" si="121"/>
        <v>0</v>
      </c>
      <c r="E153" s="6">
        <f>+E152/E145</f>
        <v>9.8105876166176498E-2</v>
      </c>
      <c r="F153" s="6">
        <f t="shared" ref="F153:K153" si="122">+F152/F145</f>
        <v>0.10173104308026217</v>
      </c>
      <c r="G153" s="6">
        <f t="shared" si="122"/>
        <v>0.10535105179263125</v>
      </c>
      <c r="H153" s="6">
        <f t="shared" si="122"/>
        <v>0.11189431272140576</v>
      </c>
      <c r="I153" s="6">
        <f t="shared" si="122"/>
        <v>0.11399853084318373</v>
      </c>
      <c r="J153" s="6">
        <f t="shared" si="122"/>
        <v>9.4266890563497144E-2</v>
      </c>
      <c r="K153" s="6">
        <f t="shared" si="122"/>
        <v>7.6006954861824017E-2</v>
      </c>
    </row>
    <row r="154" spans="1:11" x14ac:dyDescent="0.3">
      <c r="B154" s="3" t="s">
        <v>7</v>
      </c>
      <c r="C154" s="4">
        <f t="shared" ref="C154:D154" si="123">+C145-C146-C148-C150-C152</f>
        <v>-656541.34</v>
      </c>
      <c r="D154" s="4">
        <f t="shared" si="123"/>
        <v>1932.7935593219008</v>
      </c>
      <c r="E154" s="4">
        <f>+E145-E146-E148-E150-E152</f>
        <v>181104.21508474561</v>
      </c>
      <c r="F154" s="4">
        <f t="shared" ref="F154:K154" si="124">+F145-F146-F148-F150-F152</f>
        <v>177119.70050847461</v>
      </c>
      <c r="G154" s="4">
        <f t="shared" si="124"/>
        <v>22972.945254236984</v>
      </c>
      <c r="H154" s="4">
        <f t="shared" si="124"/>
        <v>104350.79186440678</v>
      </c>
      <c r="I154" s="4">
        <f t="shared" si="124"/>
        <v>146517.68491525418</v>
      </c>
      <c r="J154" s="4">
        <f t="shared" si="124"/>
        <v>135600.24677966096</v>
      </c>
      <c r="K154" s="4">
        <f t="shared" si="124"/>
        <v>218160.01237287975</v>
      </c>
    </row>
    <row r="155" spans="1:11" x14ac:dyDescent="0.3">
      <c r="B155" s="3" t="s">
        <v>8</v>
      </c>
      <c r="C155" s="6" t="e">
        <f t="shared" ref="C155:D155" si="125">+C154/C145</f>
        <v>#DIV/0!</v>
      </c>
      <c r="D155" s="6">
        <f t="shared" si="125"/>
        <v>3.2961517616740539E-3</v>
      </c>
      <c r="E155" s="6">
        <f>+E154/E145</f>
        <v>0.20811305708665231</v>
      </c>
      <c r="F155" s="6">
        <f t="shared" ref="F155:K155" si="126">+F154/F145</f>
        <v>0.20827250111858611</v>
      </c>
      <c r="G155" s="6">
        <f t="shared" si="126"/>
        <v>2.7985938313001883E-2</v>
      </c>
      <c r="H155" s="6">
        <f t="shared" si="126"/>
        <v>0.13496318789239239</v>
      </c>
      <c r="I155" s="6">
        <f t="shared" si="126"/>
        <v>0.18861481382843684</v>
      </c>
      <c r="J155" s="6">
        <f t="shared" si="126"/>
        <v>0.17408974949565542</v>
      </c>
      <c r="K155" s="6">
        <f t="shared" si="126"/>
        <v>0.22583020118920291</v>
      </c>
    </row>
    <row r="156" spans="1:11" ht="14.5" thickBo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ht="14.5" thickTop="1" x14ac:dyDescent="0.3"/>
    <row r="158" spans="1:11" x14ac:dyDescent="0.3">
      <c r="B158" s="11" t="s">
        <v>22</v>
      </c>
      <c r="C158" s="2">
        <v>8.25</v>
      </c>
      <c r="D158" s="2">
        <v>9.25</v>
      </c>
      <c r="E158" s="2">
        <v>10.25</v>
      </c>
      <c r="F158" s="2">
        <v>11.25</v>
      </c>
      <c r="G158" s="2">
        <v>12.25</v>
      </c>
      <c r="H158" s="2">
        <v>1.26</v>
      </c>
      <c r="I158" s="2">
        <v>2.2599999999999998</v>
      </c>
      <c r="J158" s="2">
        <v>3.26</v>
      </c>
      <c r="K158" s="2">
        <v>4.26</v>
      </c>
    </row>
    <row r="159" spans="1:11" x14ac:dyDescent="0.3">
      <c r="B159" s="3" t="s">
        <v>1</v>
      </c>
      <c r="C159" s="4">
        <f>+'[1]הכנסות - מרכז'!I87</f>
        <v>423524.57627118647</v>
      </c>
      <c r="D159" s="4">
        <f>+'[1]הכנסות - מרכז'!J87</f>
        <v>392874.57627118647</v>
      </c>
      <c r="E159" s="4">
        <f>+'[1]הכנסות - מרכז'!K87</f>
        <v>375400</v>
      </c>
      <c r="F159" s="4">
        <f>+'[1]הכנסות - מרכז'!L87</f>
        <v>421733.05084745766</v>
      </c>
      <c r="G159" s="4">
        <f>+'[1]הכנסות - מרכז'!M87</f>
        <v>469620.3389830509</v>
      </c>
      <c r="H159" s="4">
        <f>+'[1]הכנסות - מרכז'!N87</f>
        <v>439171.18644067796</v>
      </c>
      <c r="I159" s="4">
        <f>+'[1]הכנסות - מרכז'!O87</f>
        <v>432954</v>
      </c>
      <c r="J159" s="4">
        <f>+'[1]הכנסות - מרכז'!P87</f>
        <v>321474</v>
      </c>
      <c r="K159" s="4">
        <f>+'[1]הכנסות - מרכז'!Q87</f>
        <v>390323.72881355905</v>
      </c>
    </row>
    <row r="160" spans="1:11" x14ac:dyDescent="0.3">
      <c r="B160" s="3" t="s">
        <v>2</v>
      </c>
      <c r="C160" s="4">
        <f>+'[1]נתוני ב"ש'!J35</f>
        <v>117201.27</v>
      </c>
      <c r="D160" s="4">
        <f>+'[1]נתוני ב"ש'!K35</f>
        <v>115677.18</v>
      </c>
      <c r="E160" s="4">
        <f>+'[1]נתוני ב"ש'!L35+'[1]רופאים בחשבונית'!U12</f>
        <v>107025.67</v>
      </c>
      <c r="F160" s="4">
        <f>+'[1]נתוני ב"ש'!M35+'[1]רופאים בחשבונית'!V12</f>
        <v>99366.079999999987</v>
      </c>
      <c r="G160" s="4">
        <f>+'[1]נתוני ב"ש'!N35+'[1]רופאים בחשבונית'!W12</f>
        <v>138178.65</v>
      </c>
      <c r="H160" s="4">
        <f>+'[1]נתוני ב"ש'!O35+'[1]רופאים בחשבונית'!X12</f>
        <v>145518.64000000001</v>
      </c>
      <c r="I160" s="4">
        <f>+'[1]נתוני ב"ש'!P35+'[1]רופאים בחשבונית'!Y12</f>
        <v>101072.11186440679</v>
      </c>
      <c r="J160" s="4">
        <f>'[1]נתוני ב"ש'!Q36+'[1]רופאים בחשבונית'!Z12</f>
        <v>77810.097118644073</v>
      </c>
      <c r="K160" s="4">
        <f>+'[1]נתוני ב"ש'!R35+'[1]רופאים בחשבונית'!AA12</f>
        <v>107934.81254237288</v>
      </c>
    </row>
    <row r="161" spans="1:11" x14ac:dyDescent="0.3">
      <c r="B161" s="5" t="s">
        <v>3</v>
      </c>
      <c r="C161" s="6">
        <f>+F160/C159</f>
        <v>0.23461703421048941</v>
      </c>
      <c r="D161" s="6">
        <f>+D160/D159</f>
        <v>0.29443793766932991</v>
      </c>
      <c r="E161" s="6">
        <f t="shared" ref="E161:K161" si="127">+E160/E159</f>
        <v>0.28509768247202982</v>
      </c>
      <c r="F161" s="6">
        <f t="shared" si="127"/>
        <v>0.23561368927649223</v>
      </c>
      <c r="G161" s="6">
        <f t="shared" si="127"/>
        <v>0.29423480741745944</v>
      </c>
      <c r="H161" s="6">
        <f t="shared" si="127"/>
        <v>0.33134833179602569</v>
      </c>
      <c r="I161" s="6">
        <f t="shared" si="127"/>
        <v>0.23344769158942241</v>
      </c>
      <c r="J161" s="6">
        <f t="shared" si="127"/>
        <v>0.24204164914936846</v>
      </c>
      <c r="K161" s="6">
        <f t="shared" si="127"/>
        <v>0.27652639226022746</v>
      </c>
    </row>
    <row r="162" spans="1:11" x14ac:dyDescent="0.3">
      <c r="B162" s="3" t="s">
        <v>4</v>
      </c>
      <c r="C162" s="4">
        <f>+'[1]נתוני ב"ש'!J34</f>
        <v>67982.290000000023</v>
      </c>
      <c r="D162" s="4">
        <f>+'[1]נתוני ב"ש'!K34</f>
        <v>65735.179999999993</v>
      </c>
      <c r="E162" s="4">
        <f>+'[1]נתוני ב"ש'!L34</f>
        <v>69338.910000000018</v>
      </c>
      <c r="F162" s="4">
        <f>+'[1]נתוני ב"ש'!M34</f>
        <v>69931.63999999997</v>
      </c>
      <c r="G162" s="4">
        <f>+'[1]נתוני ב"ש'!N34</f>
        <v>75317.770000000019</v>
      </c>
      <c r="H162" s="4">
        <f>+'[1]נתוני ב"ש'!O34</f>
        <v>69939.420000000027</v>
      </c>
      <c r="I162" s="4">
        <f>+'[1]נתוני ב"ש'!P34</f>
        <v>70583.349999999991</v>
      </c>
      <c r="J162" s="4">
        <f>+'[1]נתוני ב"ש'!Q34</f>
        <v>66411.22</v>
      </c>
      <c r="K162" s="4">
        <f>+'[1]נתוני ב"ש'!R34</f>
        <v>72680.740000000049</v>
      </c>
    </row>
    <row r="163" spans="1:11" x14ac:dyDescent="0.3">
      <c r="B163" s="3" t="s">
        <v>3</v>
      </c>
      <c r="C163" s="6">
        <f>+C162/C159</f>
        <v>0.1605155729061408</v>
      </c>
      <c r="D163" s="6">
        <f>+D162/D159</f>
        <v>0.16731848780824515</v>
      </c>
      <c r="E163" s="6">
        <f>+E162/E159</f>
        <v>0.18470673947789029</v>
      </c>
      <c r="F163" s="6">
        <f t="shared" ref="F163:K163" si="128">+F162/F159</f>
        <v>0.16581968109797135</v>
      </c>
      <c r="G163" s="6">
        <f t="shared" si="128"/>
        <v>0.16038012783496228</v>
      </c>
      <c r="H163" s="6">
        <f t="shared" si="128"/>
        <v>0.15925320731269615</v>
      </c>
      <c r="I163" s="6">
        <f t="shared" si="128"/>
        <v>0.16302736549379379</v>
      </c>
      <c r="J163" s="6">
        <f t="shared" si="128"/>
        <v>0.20658348731157108</v>
      </c>
      <c r="K163" s="6">
        <f t="shared" si="128"/>
        <v>0.18620630680313194</v>
      </c>
    </row>
    <row r="164" spans="1:11" x14ac:dyDescent="0.3">
      <c r="B164" s="3" t="s">
        <v>5</v>
      </c>
      <c r="C164" s="7"/>
      <c r="D164" s="7"/>
      <c r="E164" s="7"/>
      <c r="F164" s="7"/>
      <c r="G164" s="7"/>
      <c r="H164" s="7"/>
      <c r="I164" s="7"/>
      <c r="J164" s="7"/>
      <c r="K164" s="7"/>
    </row>
    <row r="165" spans="1:11" x14ac:dyDescent="0.3">
      <c r="B165" s="3" t="s">
        <v>3</v>
      </c>
      <c r="C165" s="6">
        <f>+C164/C159</f>
        <v>0</v>
      </c>
      <c r="D165" s="6">
        <f>+D164/D159</f>
        <v>0</v>
      </c>
      <c r="E165" s="6">
        <f>+E164/E159</f>
        <v>0</v>
      </c>
      <c r="F165" s="6">
        <f t="shared" ref="F165:K165" si="129">+F164/F159</f>
        <v>0</v>
      </c>
      <c r="G165" s="6">
        <f t="shared" si="129"/>
        <v>0</v>
      </c>
      <c r="H165" s="6">
        <f t="shared" si="129"/>
        <v>0</v>
      </c>
      <c r="I165" s="6">
        <f t="shared" si="129"/>
        <v>0</v>
      </c>
      <c r="J165" s="6">
        <f t="shared" si="129"/>
        <v>0</v>
      </c>
      <c r="K165" s="6">
        <f t="shared" si="129"/>
        <v>0</v>
      </c>
    </row>
    <row r="166" spans="1:11" x14ac:dyDescent="0.3">
      <c r="B166" s="3" t="s">
        <v>6</v>
      </c>
      <c r="C166" s="4"/>
      <c r="D166" s="4">
        <f>+'[1]וטרמקט ואלסמד'!K15</f>
        <v>50127.118644067799</v>
      </c>
      <c r="E166" s="4">
        <f>+'[1]וטרמקט ואלסמד'!L15</f>
        <v>85409.322033898308</v>
      </c>
      <c r="F166" s="4">
        <f>+'[1]וטרמקט ואלסמד'!M15</f>
        <v>61106.779661016953</v>
      </c>
      <c r="G166" s="4">
        <f>+'[1]וטרמקט ואלסמד'!N15</f>
        <v>83852.542372881362</v>
      </c>
      <c r="H166" s="4">
        <f>+'[1]וטרמקט ואלסמד'!O15</f>
        <v>61106.779661016953</v>
      </c>
      <c r="I166" s="4">
        <f>+'[1]וטרמקט ואלסמד'!P15</f>
        <v>77523.728813559326</v>
      </c>
      <c r="J166" s="4">
        <f>+'[1]וטמרקט ואלסמד 2-4.26'!L14</f>
        <v>58714.406779661018</v>
      </c>
      <c r="K166" s="17">
        <f>+'[1]וטמרקט ואלסמד 2-4.26'!S15</f>
        <v>107559.32203389831</v>
      </c>
    </row>
    <row r="167" spans="1:11" x14ac:dyDescent="0.3">
      <c r="B167" s="3" t="s">
        <v>3</v>
      </c>
      <c r="C167" s="6">
        <f>+C166/C159</f>
        <v>0</v>
      </c>
      <c r="D167" s="6">
        <f>+D166/D159</f>
        <v>0.12759064004555729</v>
      </c>
      <c r="E167" s="6">
        <f>+E166/E159</f>
        <v>0.22751550888092251</v>
      </c>
      <c r="F167" s="6">
        <f t="shared" ref="F167:K167" si="130">+F166/F159</f>
        <v>0.14489445287303199</v>
      </c>
      <c r="G167" s="6">
        <f t="shared" si="130"/>
        <v>0.17855389856934559</v>
      </c>
      <c r="H167" s="6">
        <f t="shared" si="130"/>
        <v>0.13914114028350785</v>
      </c>
      <c r="I167" s="6">
        <f t="shared" si="130"/>
        <v>0.17905765696484921</v>
      </c>
      <c r="J167" s="6">
        <f t="shared" si="130"/>
        <v>0.18264123002065802</v>
      </c>
      <c r="K167" s="6">
        <f t="shared" si="130"/>
        <v>0.27556439461377147</v>
      </c>
    </row>
    <row r="168" spans="1:11" x14ac:dyDescent="0.3">
      <c r="B168" s="3" t="s">
        <v>7</v>
      </c>
      <c r="C168" s="4">
        <f>+C159-C160-C162-C164-C166</f>
        <v>238341.01627118641</v>
      </c>
      <c r="D168" s="4">
        <f>+D159-D160-D162-D164-D166</f>
        <v>161335.0976271187</v>
      </c>
      <c r="E168" s="4">
        <f>+E159-E160-E162-E164-E166</f>
        <v>113626.09796610168</v>
      </c>
      <c r="F168" s="4">
        <f t="shared" ref="F168:K168" si="131">+F159-F160-F162-F164-F166</f>
        <v>191328.55118644075</v>
      </c>
      <c r="G168" s="4">
        <f t="shared" si="131"/>
        <v>172271.37661016948</v>
      </c>
      <c r="H168" s="4">
        <f t="shared" si="131"/>
        <v>162606.34677966096</v>
      </c>
      <c r="I168" s="4">
        <f t="shared" si="131"/>
        <v>183774.80932203389</v>
      </c>
      <c r="J168" s="4">
        <f t="shared" si="131"/>
        <v>118538.27610169491</v>
      </c>
      <c r="K168" s="4">
        <f t="shared" si="131"/>
        <v>102148.85423728784</v>
      </c>
    </row>
    <row r="169" spans="1:11" x14ac:dyDescent="0.3">
      <c r="B169" s="3" t="s">
        <v>8</v>
      </c>
      <c r="C169" s="6">
        <f>+C168/C159</f>
        <v>0.56275604681456448</v>
      </c>
      <c r="D169" s="6">
        <f>+D168/D159</f>
        <v>0.41065293447686768</v>
      </c>
      <c r="E169" s="6">
        <f>+E168/E159</f>
        <v>0.30268006916915735</v>
      </c>
      <c r="F169" s="6">
        <f t="shared" ref="F169:K169" si="132">+F168/F159</f>
        <v>0.45367217675250443</v>
      </c>
      <c r="G169" s="6">
        <f t="shared" si="132"/>
        <v>0.36683116617823264</v>
      </c>
      <c r="H169" s="6">
        <f t="shared" si="132"/>
        <v>0.37025732060777028</v>
      </c>
      <c r="I169" s="6">
        <f t="shared" si="132"/>
        <v>0.42446728595193461</v>
      </c>
      <c r="J169" s="6">
        <f t="shared" si="132"/>
        <v>0.36873363351840244</v>
      </c>
      <c r="K169" s="6">
        <f t="shared" si="132"/>
        <v>0.26170290632286919</v>
      </c>
    </row>
    <row r="170" spans="1:11" ht="14.5" thickBo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1:11" ht="14.5" thickTop="1" x14ac:dyDescent="0.3"/>
    <row r="172" spans="1:11" x14ac:dyDescent="0.3">
      <c r="B172" s="11" t="s">
        <v>23</v>
      </c>
      <c r="C172" s="2">
        <v>8.25</v>
      </c>
      <c r="D172" s="2">
        <v>9.25</v>
      </c>
      <c r="E172" s="2">
        <v>10.25</v>
      </c>
      <c r="F172" s="2">
        <v>11.25</v>
      </c>
      <c r="G172" s="2">
        <v>12.25</v>
      </c>
      <c r="H172" s="2">
        <v>1.26</v>
      </c>
      <c r="I172" s="2">
        <v>2.2599999999999998</v>
      </c>
      <c r="J172" s="2">
        <v>3.26</v>
      </c>
      <c r="K172" s="2">
        <v>4.26</v>
      </c>
    </row>
    <row r="173" spans="1:11" x14ac:dyDescent="0.3">
      <c r="B173" s="3" t="s">
        <v>1</v>
      </c>
      <c r="C173" s="4">
        <f>+'[1]הכנסות - מרכז'!I88</f>
        <v>432033.05084745766</v>
      </c>
      <c r="D173" s="4">
        <f>+'[1]הכנסות - מרכז'!J88</f>
        <v>869411.86440677976</v>
      </c>
      <c r="E173" s="4">
        <f>+'[1]הכנסות - מרכז'!K88</f>
        <v>886831.35593220347</v>
      </c>
      <c r="F173" s="4">
        <f>+'[1]הכנסות - מרכז'!L88</f>
        <v>872897.45762711868</v>
      </c>
      <c r="G173" s="4">
        <f>+'[1]הכנסות - מרכז'!M88</f>
        <v>880342.37288135593</v>
      </c>
      <c r="H173" s="4">
        <f>+'[1]הכנסות - מרכז'!N88</f>
        <v>1007326.2711864407</v>
      </c>
      <c r="I173" s="4">
        <f>+'[1]הכנסות - מרכז'!O88</f>
        <v>880429</v>
      </c>
      <c r="J173" s="4">
        <f>+'[1]הכנסות - מרכז'!P88</f>
        <v>908246</v>
      </c>
      <c r="K173" s="4">
        <f>+'[1]הכנסות - מרכז'!Q88</f>
        <v>1075829</v>
      </c>
    </row>
    <row r="174" spans="1:11" x14ac:dyDescent="0.3">
      <c r="B174" s="3" t="s">
        <v>2</v>
      </c>
      <c r="C174" s="12">
        <f>+'[1]נתוני חיפה'!E57</f>
        <v>295955</v>
      </c>
      <c r="D174" s="12">
        <f>+'[1]נתוני חיפה'!F57</f>
        <v>304381</v>
      </c>
      <c r="E174" s="12">
        <f>+'[1]נתוני חיפה'!G57+'[1]רופאים בחשבונית'!U11</f>
        <v>448146.28</v>
      </c>
      <c r="F174" s="12">
        <f>+'[1]נתוני חיפה'!H57+'[1]רופאים בחשבונית'!V11</f>
        <v>429847.33999999997</v>
      </c>
      <c r="G174" s="12">
        <f>+'[1]נתוני חיפה'!I57+'[1]רופאים בחשבונית'!W11</f>
        <v>455671.66000000003</v>
      </c>
      <c r="H174" s="12">
        <f>+'[1]נתוני חיפה'!J57+'[1]רופאים בחשבונית'!X11</f>
        <v>384510.49186440679</v>
      </c>
      <c r="I174" s="12">
        <f>+'[1]נתוני חיפה'!K57+'[1]רופאים בחשבונית'!Y11</f>
        <v>374188.64254237292</v>
      </c>
      <c r="J174" s="12">
        <f>+'[1]נתוני חיפה'!L57+'[1]רופאים בחשבונית'!Z11</f>
        <v>342598.72118644067</v>
      </c>
      <c r="K174" s="12">
        <f>+'[1]נתוני חיפה'!M57+'[1]רופאים בחשבונית'!AA11</f>
        <v>356334.37677966105</v>
      </c>
    </row>
    <row r="175" spans="1:11" x14ac:dyDescent="0.3">
      <c r="B175" s="5" t="s">
        <v>3</v>
      </c>
      <c r="C175" s="6">
        <f t="shared" ref="C175" si="133">+C174/C173</f>
        <v>0.68502860931465137</v>
      </c>
      <c r="D175" s="6">
        <f>+D174/D173</f>
        <v>0.35009989219285192</v>
      </c>
      <c r="E175" s="6">
        <f>+E174/E173</f>
        <v>0.50533427466479874</v>
      </c>
      <c r="F175" s="6">
        <f t="shared" ref="F175:K175" si="134">+F174/F173</f>
        <v>0.49243738338807336</v>
      </c>
      <c r="G175" s="6">
        <f t="shared" si="134"/>
        <v>0.51760732419205169</v>
      </c>
      <c r="H175" s="6">
        <f t="shared" si="134"/>
        <v>0.3817139519368693</v>
      </c>
      <c r="I175" s="6">
        <f t="shared" si="134"/>
        <v>0.42500717552735418</v>
      </c>
      <c r="J175" s="6">
        <f t="shared" si="134"/>
        <v>0.37720917150908528</v>
      </c>
      <c r="K175" s="6">
        <f t="shared" si="134"/>
        <v>0.33121841554713716</v>
      </c>
    </row>
    <row r="176" spans="1:11" x14ac:dyDescent="0.3">
      <c r="B176" s="3" t="s">
        <v>4</v>
      </c>
      <c r="C176" s="4">
        <f>+'[1]נתוני חיפה'!E56</f>
        <v>149925</v>
      </c>
      <c r="D176" s="4">
        <f>+'[1]נתוני חיפה'!F56</f>
        <v>160972</v>
      </c>
      <c r="E176" s="4">
        <f>+'[1]נתוני חיפה'!G56</f>
        <v>210698</v>
      </c>
      <c r="F176" s="4">
        <f>+'[1]נתוני חיפה'!H56</f>
        <v>153073</v>
      </c>
      <c r="G176" s="4">
        <f>+'[1]נתוני חיפה'!I56</f>
        <v>169438</v>
      </c>
      <c r="H176" s="4">
        <f>+'[1]נתוני חיפה'!J56</f>
        <v>153759.08999999997</v>
      </c>
      <c r="I176" s="4">
        <f>+'[1]נתוני חיפה'!K56</f>
        <v>152347.02999999997</v>
      </c>
      <c r="J176" s="4">
        <f>+'[1]נתוני חיפה'!L56</f>
        <v>166724.86000000004</v>
      </c>
      <c r="K176" s="4">
        <f>+'[1]נתוני חיפה'!M56</f>
        <v>173950.54999999993</v>
      </c>
    </row>
    <row r="177" spans="1:11" x14ac:dyDescent="0.3">
      <c r="B177" s="3" t="s">
        <v>3</v>
      </c>
      <c r="C177" s="13">
        <f t="shared" ref="C177:D177" si="135">+C176/C173</f>
        <v>0.34702206163605653</v>
      </c>
      <c r="D177" s="13">
        <f t="shared" si="135"/>
        <v>0.18515045238062744</v>
      </c>
      <c r="E177" s="13">
        <f>+E176/E173</f>
        <v>0.23758519428817698</v>
      </c>
      <c r="F177" s="13">
        <f t="shared" ref="F177:K177" si="136">+F176/F173</f>
        <v>0.17536194963393878</v>
      </c>
      <c r="G177" s="13">
        <f t="shared" si="136"/>
        <v>0.19246830008355764</v>
      </c>
      <c r="H177" s="13">
        <f t="shared" si="136"/>
        <v>0.15264080208977446</v>
      </c>
      <c r="I177" s="13">
        <f t="shared" si="136"/>
        <v>0.173037269331201</v>
      </c>
      <c r="J177" s="13">
        <f t="shared" si="136"/>
        <v>0.18356795405650017</v>
      </c>
      <c r="K177" s="13">
        <f t="shared" si="136"/>
        <v>0.16168977597740899</v>
      </c>
    </row>
    <row r="178" spans="1:11" x14ac:dyDescent="0.3">
      <c r="B178" s="3" t="s">
        <v>5</v>
      </c>
      <c r="C178" s="7"/>
      <c r="D178" s="7"/>
      <c r="E178" s="7"/>
      <c r="F178" s="7"/>
      <c r="G178" s="7"/>
      <c r="H178" s="7"/>
      <c r="I178" s="7"/>
      <c r="J178" s="7"/>
      <c r="K178" s="7"/>
    </row>
    <row r="179" spans="1:11" x14ac:dyDescent="0.3">
      <c r="B179" s="3" t="s">
        <v>3</v>
      </c>
      <c r="C179" s="6">
        <f t="shared" ref="C179:D179" si="137">+C178/C173</f>
        <v>0</v>
      </c>
      <c r="D179" s="6">
        <f t="shared" si="137"/>
        <v>0</v>
      </c>
      <c r="E179" s="6">
        <f>+E178/E173</f>
        <v>0</v>
      </c>
      <c r="F179" s="6">
        <f t="shared" ref="F179:K179" si="138">+F178/F173</f>
        <v>0</v>
      </c>
      <c r="G179" s="6">
        <f t="shared" si="138"/>
        <v>0</v>
      </c>
      <c r="H179" s="6">
        <f t="shared" si="138"/>
        <v>0</v>
      </c>
      <c r="I179" s="6">
        <f t="shared" si="138"/>
        <v>0</v>
      </c>
      <c r="J179" s="6">
        <f t="shared" si="138"/>
        <v>0</v>
      </c>
      <c r="K179" s="6">
        <f t="shared" si="138"/>
        <v>0</v>
      </c>
    </row>
    <row r="180" spans="1:11" x14ac:dyDescent="0.3">
      <c r="B180" s="3" t="s">
        <v>6</v>
      </c>
      <c r="C180" s="4"/>
      <c r="D180" s="16"/>
      <c r="E180" s="7">
        <f>+'[1]וטרמקט ואלסמד'!M63</f>
        <v>113035.59322033898</v>
      </c>
      <c r="F180" s="7">
        <f>+'[1]וטרמקט ואלסמד'!N63</f>
        <v>133788.13559322036</v>
      </c>
      <c r="G180" s="7">
        <f>+'[1]וטרמקט ואלסמד'!O63</f>
        <v>115114.40677966102</v>
      </c>
      <c r="H180" s="7">
        <f>+'[1]וטרמקט ואלסמד'!P63</f>
        <v>113035.59322033898</v>
      </c>
      <c r="I180" s="7">
        <f>+'[1]וטרמקט ואלסמד'!Q63</f>
        <v>123813.55932203391</v>
      </c>
      <c r="J180" s="7">
        <f>+'[1]וטמרקט ואלסמד 2-4.26'!L12</f>
        <v>143272.03389830509</v>
      </c>
      <c r="K180" s="7">
        <f>+'[1]וטמרקט ואלסמד 2-4.26'!S13</f>
        <v>96490.677966101706</v>
      </c>
    </row>
    <row r="181" spans="1:11" x14ac:dyDescent="0.3">
      <c r="B181" s="3" t="s">
        <v>3</v>
      </c>
      <c r="C181" s="6">
        <f t="shared" ref="C181:D181" si="139">+C180/C173</f>
        <v>0</v>
      </c>
      <c r="D181" s="6">
        <f t="shared" si="139"/>
        <v>0</v>
      </c>
      <c r="E181" s="6">
        <f>+E180/E173</f>
        <v>0.12746007734640849</v>
      </c>
      <c r="F181" s="6">
        <f t="shared" ref="F181:K181" si="140">+F180/F173</f>
        <v>0.15326901736764081</v>
      </c>
      <c r="G181" s="6">
        <f t="shared" si="140"/>
        <v>0.1307609520178975</v>
      </c>
      <c r="H181" s="6">
        <f t="shared" si="140"/>
        <v>0.11221348678537325</v>
      </c>
      <c r="I181" s="6">
        <f t="shared" si="140"/>
        <v>0.14062867002567375</v>
      </c>
      <c r="J181" s="6">
        <f t="shared" si="140"/>
        <v>0.15774584627766605</v>
      </c>
      <c r="K181" s="6">
        <f t="shared" si="140"/>
        <v>8.9689604915002025E-2</v>
      </c>
    </row>
    <row r="182" spans="1:11" x14ac:dyDescent="0.3">
      <c r="B182" s="3" t="s">
        <v>7</v>
      </c>
      <c r="C182" s="4">
        <f t="shared" ref="C182:D182" si="141">+C173-C174-C176-C178-C180</f>
        <v>-13846.949152542336</v>
      </c>
      <c r="D182" s="4">
        <f t="shared" si="141"/>
        <v>404058.86440677976</v>
      </c>
      <c r="E182" s="4">
        <f>+E173-E174-E176-E178-E180</f>
        <v>114951.48271186446</v>
      </c>
      <c r="F182" s="4">
        <f t="shared" ref="F182:K182" si="142">+F173-F174-F176-F178-F180</f>
        <v>156188.98203389836</v>
      </c>
      <c r="G182" s="4">
        <f t="shared" si="142"/>
        <v>140118.30610169488</v>
      </c>
      <c r="H182" s="4">
        <f t="shared" si="142"/>
        <v>356021.09610169503</v>
      </c>
      <c r="I182" s="4">
        <f t="shared" si="142"/>
        <v>230079.76813559321</v>
      </c>
      <c r="J182" s="4">
        <f t="shared" si="142"/>
        <v>255650.3849152542</v>
      </c>
      <c r="K182" s="4">
        <f t="shared" si="142"/>
        <v>449053.39525423734</v>
      </c>
    </row>
    <row r="183" spans="1:11" x14ac:dyDescent="0.3">
      <c r="B183" s="3" t="s">
        <v>8</v>
      </c>
      <c r="C183" s="6">
        <f t="shared" ref="C183:D183" si="143">+C182/C173</f>
        <v>-3.2050670950707939E-2</v>
      </c>
      <c r="D183" s="6">
        <f t="shared" si="143"/>
        <v>0.46474965542652064</v>
      </c>
      <c r="E183" s="6">
        <f>+E182/E173</f>
        <v>0.12962045370061576</v>
      </c>
      <c r="F183" s="6">
        <f t="shared" ref="F183:K183" si="144">+F182/F173</f>
        <v>0.17893164961034705</v>
      </c>
      <c r="G183" s="6">
        <f t="shared" si="144"/>
        <v>0.1591634237064932</v>
      </c>
      <c r="H183" s="6">
        <f t="shared" si="144"/>
        <v>0.35343175918798303</v>
      </c>
      <c r="I183" s="6">
        <f t="shared" si="144"/>
        <v>0.26132688511577107</v>
      </c>
      <c r="J183" s="6">
        <f t="shared" si="144"/>
        <v>0.28147702815674852</v>
      </c>
      <c r="K183" s="6">
        <f t="shared" si="144"/>
        <v>0.41740220356045182</v>
      </c>
    </row>
    <row r="184" spans="1:11" ht="14.5" thickBo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1:11" ht="14.5" thickTop="1" x14ac:dyDescent="0.3">
      <c r="C185" s="2"/>
      <c r="D185" s="2"/>
    </row>
    <row r="186" spans="1:11" x14ac:dyDescent="0.3">
      <c r="B186" s="11" t="s">
        <v>24</v>
      </c>
      <c r="C186" s="2">
        <v>8.25</v>
      </c>
      <c r="D186" s="2">
        <v>9.25</v>
      </c>
      <c r="E186" s="2">
        <v>10.25</v>
      </c>
      <c r="F186" s="2">
        <v>11.25</v>
      </c>
      <c r="G186" s="2">
        <v>12.25</v>
      </c>
      <c r="H186" s="2">
        <v>1.26</v>
      </c>
      <c r="I186" s="2">
        <v>2.2599999999999998</v>
      </c>
      <c r="J186" s="2">
        <v>3.26</v>
      </c>
      <c r="K186" s="2">
        <v>4.26</v>
      </c>
    </row>
    <row r="187" spans="1:11" x14ac:dyDescent="0.3">
      <c r="B187" s="3" t="s">
        <v>1</v>
      </c>
      <c r="C187" s="4">
        <f>+'[1]הכנסות - מרכז'!I89</f>
        <v>49908.47457627119</v>
      </c>
      <c r="D187" s="4">
        <f>+'[1]הכנסות - מרכז'!J89</f>
        <v>94245.762711864416</v>
      </c>
      <c r="E187" s="4">
        <f>+'[1]הכנסות - מרכז'!K89</f>
        <v>108672.88135593222</v>
      </c>
      <c r="F187" s="4">
        <f>+'[1]הכנסות - מרכז'!L89</f>
        <v>129999.15254237289</v>
      </c>
      <c r="G187" s="4">
        <f>+'[1]הכנסות - מרכז'!M89</f>
        <v>85021.186440677964</v>
      </c>
      <c r="H187" s="4">
        <f>+'[1]הכנסות - מרכז'!N89</f>
        <v>127703.38983050849</v>
      </c>
      <c r="I187" s="4">
        <f>+'[1]הכנסות - מרכז'!O89</f>
        <v>134377</v>
      </c>
      <c r="J187" s="4">
        <f>+'[1]הכנסות - מרכז'!P89</f>
        <v>97514</v>
      </c>
      <c r="K187" s="4">
        <f>+'[1]הכנסות - מרכז'!Q89</f>
        <v>108245</v>
      </c>
    </row>
    <row r="188" spans="1:11" x14ac:dyDescent="0.3">
      <c r="B188" s="3" t="s">
        <v>2</v>
      </c>
      <c r="C188" s="12">
        <f>+'[1]נתוני מוצקין'!E22</f>
        <v>14949</v>
      </c>
      <c r="D188" s="12">
        <f>+'[1]נתוני מוצקין'!F22</f>
        <v>10496</v>
      </c>
      <c r="E188" s="12">
        <f>+'[1]נתוני מוצקין'!G22</f>
        <v>15968</v>
      </c>
      <c r="F188" s="12">
        <f>+'[1]נתוני מוצקין'!H22</f>
        <v>16105</v>
      </c>
      <c r="G188" s="12">
        <f>+'[1]נתוני מוצקין'!I22</f>
        <v>19462</v>
      </c>
      <c r="H188" s="12">
        <f>+'[1]נתוני מוצקין'!J22</f>
        <v>13573.83</v>
      </c>
      <c r="I188" s="12">
        <f>+'[1]נתוני מוצקין'!K22</f>
        <v>6101.08</v>
      </c>
      <c r="J188" s="12">
        <f>+'[1]נתוני מוצקין'!L22</f>
        <v>36615.58</v>
      </c>
      <c r="K188" s="12">
        <f>+'[1]נתוני מוצקין'!M22</f>
        <v>31111.11</v>
      </c>
    </row>
    <row r="189" spans="1:11" x14ac:dyDescent="0.3">
      <c r="B189" s="5" t="s">
        <v>3</v>
      </c>
      <c r="C189" s="6">
        <f t="shared" ref="C189:D189" si="145">+C188/C187</f>
        <v>0.29952828907152074</v>
      </c>
      <c r="D189" s="6">
        <f t="shared" si="145"/>
        <v>0.11136840212211131</v>
      </c>
      <c r="E189" s="6">
        <f>+E188/E187</f>
        <v>0.14693638192679007</v>
      </c>
      <c r="F189" s="6">
        <f t="shared" ref="F189:K189" si="146">+F188/F187</f>
        <v>0.12388542298189688</v>
      </c>
      <c r="G189" s="6">
        <f t="shared" si="146"/>
        <v>0.22890765013705458</v>
      </c>
      <c r="H189" s="6">
        <f t="shared" si="146"/>
        <v>0.1062918534740195</v>
      </c>
      <c r="I189" s="6">
        <f t="shared" si="146"/>
        <v>4.5402710285242266E-2</v>
      </c>
      <c r="J189" s="6">
        <f t="shared" si="146"/>
        <v>0.37549049367270343</v>
      </c>
      <c r="K189" s="6">
        <f t="shared" si="146"/>
        <v>0.28741382973809415</v>
      </c>
    </row>
    <row r="190" spans="1:11" x14ac:dyDescent="0.3">
      <c r="B190" s="3" t="s">
        <v>4</v>
      </c>
      <c r="C190" s="12">
        <f>+'[1]נתוני מוצקין'!E21</f>
        <v>38651</v>
      </c>
      <c r="D190" s="12">
        <f>+'[1]נתוני מוצקין'!F21</f>
        <v>32583</v>
      </c>
      <c r="E190" s="12">
        <f>+'[1]נתוני מוצקין'!G21</f>
        <v>35213</v>
      </c>
      <c r="F190" s="12">
        <f>+'[1]נתוני מוצקין'!H21</f>
        <v>38324</v>
      </c>
      <c r="G190" s="12">
        <f>+'[1]נתוני מוצקין'!I21</f>
        <v>74417</v>
      </c>
      <c r="H190" s="12">
        <f>+'[1]נתוני מוצקין'!J21</f>
        <v>53007.45</v>
      </c>
      <c r="I190" s="12">
        <f>+'[1]נתוני מוצקין'!K21</f>
        <v>39567.079999999994</v>
      </c>
      <c r="J190" s="12">
        <f>+'[1]נתוני מוצקין'!L21</f>
        <v>37775.729999999996</v>
      </c>
      <c r="K190" s="12">
        <f>+'[1]נתוני מוצקין'!M21</f>
        <v>31121.590000000004</v>
      </c>
    </row>
    <row r="191" spans="1:11" x14ac:dyDescent="0.3">
      <c r="B191" s="3" t="s">
        <v>3</v>
      </c>
      <c r="C191" s="6">
        <f t="shared" ref="C191:D191" si="147">+C190/C187</f>
        <v>0.77443761461658622</v>
      </c>
      <c r="D191" s="6">
        <f t="shared" si="147"/>
        <v>0.34572376584839487</v>
      </c>
      <c r="E191" s="6">
        <f>+E190/E187</f>
        <v>0.32402748101127621</v>
      </c>
      <c r="F191" s="6">
        <f t="shared" ref="F191:K191" si="148">+F190/F187</f>
        <v>0.29480192178567005</v>
      </c>
      <c r="G191" s="6">
        <f t="shared" si="148"/>
        <v>0.87527595315225515</v>
      </c>
      <c r="H191" s="6">
        <f t="shared" si="148"/>
        <v>0.41508256022297424</v>
      </c>
      <c r="I191" s="6">
        <f t="shared" si="148"/>
        <v>0.29444830588567977</v>
      </c>
      <c r="J191" s="6">
        <f t="shared" si="148"/>
        <v>0.38738775970629852</v>
      </c>
      <c r="K191" s="6">
        <f t="shared" si="148"/>
        <v>0.28751064714305513</v>
      </c>
    </row>
    <row r="192" spans="1:11" x14ac:dyDescent="0.3">
      <c r="B192" s="3" t="s">
        <v>5</v>
      </c>
      <c r="C192" s="7"/>
      <c r="D192" s="7"/>
      <c r="E192" s="7"/>
      <c r="F192" s="7"/>
      <c r="G192" s="7"/>
      <c r="H192" s="7"/>
      <c r="I192" s="7"/>
      <c r="J192" s="7"/>
      <c r="K192" s="7"/>
    </row>
    <row r="193" spans="1:11" x14ac:dyDescent="0.3">
      <c r="B193" s="3" t="s">
        <v>3</v>
      </c>
      <c r="C193" s="6">
        <f t="shared" ref="C193:D193" si="149">+C192/C187</f>
        <v>0</v>
      </c>
      <c r="D193" s="6">
        <f t="shared" si="149"/>
        <v>0</v>
      </c>
      <c r="E193" s="6">
        <f>+E192/E187</f>
        <v>0</v>
      </c>
      <c r="F193" s="6">
        <f t="shared" ref="F193:K193" si="150">+F192/F187</f>
        <v>0</v>
      </c>
      <c r="G193" s="6">
        <f t="shared" si="150"/>
        <v>0</v>
      </c>
      <c r="H193" s="6">
        <f t="shared" si="150"/>
        <v>0</v>
      </c>
      <c r="I193" s="6">
        <f t="shared" si="150"/>
        <v>0</v>
      </c>
      <c r="J193" s="6">
        <f t="shared" si="150"/>
        <v>0</v>
      </c>
      <c r="K193" s="6">
        <f t="shared" si="150"/>
        <v>0</v>
      </c>
    </row>
    <row r="194" spans="1:11" x14ac:dyDescent="0.3">
      <c r="B194" s="3" t="s">
        <v>6</v>
      </c>
      <c r="C194" s="4"/>
      <c r="D194" s="4">
        <f>+'[1]וטרמקט ואלסמד'!K43</f>
        <v>9011.8644067796613</v>
      </c>
      <c r="E194" s="4">
        <f>+'[1]וטרמקט ואלסמד'!L43</f>
        <v>9685.5932203389839</v>
      </c>
      <c r="F194" s="4">
        <f>+'[1]וטרמקט ואלסמד'!M43</f>
        <v>11928.813559322034</v>
      </c>
      <c r="G194" s="4">
        <f>+'[1]וטרמקט ואלסמד'!N43</f>
        <v>14978.813559322034</v>
      </c>
      <c r="H194" s="4">
        <f>+'[1]וטרמקט ואלסמד'!O43</f>
        <v>9685.5932203389839</v>
      </c>
      <c r="I194" s="4">
        <f>+'[1]וטרמקט ואלסמד'!P43</f>
        <v>18967.796610169491</v>
      </c>
      <c r="J194" s="4">
        <f>+'[1]וטמרקט ואלסמד 2-4.26'!L13</f>
        <v>13292.372881355934</v>
      </c>
      <c r="K194" s="4">
        <f>+'[1]וטמרקט ואלסמד 2-4.26'!S14</f>
        <v>6177.9661016949158</v>
      </c>
    </row>
    <row r="195" spans="1:11" x14ac:dyDescent="0.3">
      <c r="B195" s="3" t="s">
        <v>3</v>
      </c>
      <c r="C195" s="6">
        <f t="shared" ref="C195:D195" si="151">+C194/C187</f>
        <v>0</v>
      </c>
      <c r="D195" s="6">
        <f t="shared" si="151"/>
        <v>9.5620897401312827E-2</v>
      </c>
      <c r="E195" s="6">
        <f>+E194/E187</f>
        <v>8.9126128795795179E-2</v>
      </c>
      <c r="F195" s="6">
        <f t="shared" ref="F195:K195" si="152">+F194/F187</f>
        <v>9.176070248176324E-2</v>
      </c>
      <c r="G195" s="6">
        <f t="shared" si="152"/>
        <v>0.17617742337403439</v>
      </c>
      <c r="H195" s="6">
        <f t="shared" si="152"/>
        <v>7.5844448868538056E-2</v>
      </c>
      <c r="I195" s="6">
        <f t="shared" si="152"/>
        <v>0.14115359481287343</v>
      </c>
      <c r="J195" s="6">
        <f t="shared" si="152"/>
        <v>0.13631245648169427</v>
      </c>
      <c r="K195" s="6">
        <f t="shared" si="152"/>
        <v>5.7073916593791081E-2</v>
      </c>
    </row>
    <row r="196" spans="1:11" x14ac:dyDescent="0.3">
      <c r="B196" s="3" t="s">
        <v>7</v>
      </c>
      <c r="C196" s="4">
        <f t="shared" ref="C196:D196" si="153">+C187-C188-C190-C192-C194</f>
        <v>-3691.52542372881</v>
      </c>
      <c r="D196" s="4">
        <f t="shared" si="153"/>
        <v>42154.898305084753</v>
      </c>
      <c r="E196" s="4">
        <f>+E187-E188-E190-E192-E194</f>
        <v>47806.288135593233</v>
      </c>
      <c r="F196" s="4">
        <f t="shared" ref="F196:K196" si="154">+F187-F188-F190-F192-F194</f>
        <v>63641.338983050853</v>
      </c>
      <c r="G196" s="4">
        <f t="shared" si="154"/>
        <v>-23836.627118644072</v>
      </c>
      <c r="H196" s="4">
        <f t="shared" si="154"/>
        <v>51436.516610169507</v>
      </c>
      <c r="I196" s="4">
        <f t="shared" si="154"/>
        <v>69741.043389830505</v>
      </c>
      <c r="J196" s="4">
        <f t="shared" si="154"/>
        <v>9830.3171186440686</v>
      </c>
      <c r="K196" s="4">
        <f t="shared" si="154"/>
        <v>39834.333898305078</v>
      </c>
    </row>
    <row r="197" spans="1:11" x14ac:dyDescent="0.3">
      <c r="B197" s="3" t="s">
        <v>8</v>
      </c>
      <c r="C197" s="6">
        <f t="shared" ref="C197:D197" si="155">+C196/C187</f>
        <v>-7.396590368810696E-2</v>
      </c>
      <c r="D197" s="6">
        <f t="shared" si="155"/>
        <v>0.44728693462818098</v>
      </c>
      <c r="E197" s="6">
        <f>+E196/E187</f>
        <v>0.43991000826613852</v>
      </c>
      <c r="F197" s="6">
        <f t="shared" ref="F197:K197" si="156">+F196/F187</f>
        <v>0.48955195275066982</v>
      </c>
      <c r="G197" s="6">
        <f t="shared" si="156"/>
        <v>-0.28036102666334417</v>
      </c>
      <c r="H197" s="6">
        <f t="shared" si="156"/>
        <v>0.40278113743446819</v>
      </c>
      <c r="I197" s="6">
        <f t="shared" si="156"/>
        <v>0.51899538901620446</v>
      </c>
      <c r="J197" s="6">
        <f t="shared" si="156"/>
        <v>0.10080929013930377</v>
      </c>
      <c r="K197" s="6">
        <f t="shared" si="156"/>
        <v>0.36800160652505959</v>
      </c>
    </row>
    <row r="198" spans="1:11" ht="14.5" thickBo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ht="14.5" thickTop="1" x14ac:dyDescent="0.3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 Zeev Gans</dc:creator>
  <cp:lastModifiedBy>Dr  Zeev Gans</cp:lastModifiedBy>
  <dcterms:created xsi:type="dcterms:W3CDTF">2026-06-17T13:28:24Z</dcterms:created>
  <dcterms:modified xsi:type="dcterms:W3CDTF">2026-06-17T13:30:42Z</dcterms:modified>
</cp:coreProperties>
</file>